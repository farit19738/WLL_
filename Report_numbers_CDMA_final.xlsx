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Всего" sheetId="1" state="visible" r:id="rId3"/>
    <sheet name="Ука 800" sheetId="2" state="visible" r:id="rId4"/>
    <sheet name="Ука 450" sheetId="3" state="visible" r:id="rId5"/>
    <sheet name="Семей 800" sheetId="4" state="visible" r:id="rId6"/>
    <sheet name="Семей 450" sheetId="5" state="visible" r:id="rId7"/>
    <sheet name="Gilat 450" sheetId="6" state="visible" r:id="rId8"/>
    <sheet name="Лист2" sheetId="7" state="hidden" r:id="rId9"/>
    <sheet name="Данные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<sst xmlns="http://schemas.openxmlformats.org/spreadsheetml/2006/main" count="4000" uniqueCount="935">
  <si>
    <t xml:space="preserve">Всего регистрируется абонентов WLL в  04/2026г. на контроллерах RAC ВК ОДТ</t>
  </si>
  <si>
    <t xml:space="preserve">Контроллер</t>
  </si>
  <si>
    <t xml:space="preserve">кол-во абонентов</t>
  </si>
  <si>
    <t xml:space="preserve">Всего по контроллеру</t>
  </si>
  <si>
    <t xml:space="preserve">Ука 800</t>
  </si>
  <si>
    <t xml:space="preserve">Ука 450</t>
  </si>
  <si>
    <t xml:space="preserve">Семей 800</t>
  </si>
  <si>
    <t xml:space="preserve">Семей 450</t>
  </si>
  <si>
    <t xml:space="preserve">Гилат 450</t>
  </si>
  <si>
    <t xml:space="preserve">Всего</t>
  </si>
  <si>
    <t xml:space="preserve"> Количество зарегистр.  абонентов WLL  800 на секторах БС  по РУТам (RAC УКа)</t>
  </si>
  <si>
    <t xml:space="preserve">№ БС</t>
  </si>
  <si>
    <t xml:space="preserve">Наименование БС</t>
  </si>
  <si>
    <t xml:space="preserve">№ сектора</t>
  </si>
  <si>
    <t xml:space="preserve">Всего регистрируется абонентов на базовой станции</t>
  </si>
  <si>
    <t xml:space="preserve">Всего регистрируется абонентов по секторам</t>
  </si>
  <si>
    <t xml:space="preserve">У-Ка </t>
  </si>
  <si>
    <t xml:space="preserve">У-Ка 7723 2 (Новотроицк, Самсоновка)</t>
  </si>
  <si>
    <t xml:space="preserve">У-Ка 77232 (Ахмирово, Меновное)</t>
  </si>
  <si>
    <t xml:space="preserve">Глубокое 7723 31</t>
  </si>
  <si>
    <t xml:space="preserve">Шемонаиха 7723 32</t>
  </si>
  <si>
    <t xml:space="preserve">Бородулиха 7723 51</t>
  </si>
  <si>
    <t xml:space="preserve">Нов. Шульба 7723 53</t>
  </si>
  <si>
    <t xml:space="preserve">Риддер 7723 36</t>
  </si>
  <si>
    <t xml:space="preserve">Зыряновск 7723 35</t>
  </si>
  <si>
    <t xml:space="preserve">Серебрянск 7723 37</t>
  </si>
  <si>
    <t xml:space="preserve">Уланка 7723 38</t>
  </si>
  <si>
    <t xml:space="preserve">Таврия 7723 34</t>
  </si>
  <si>
    <t xml:space="preserve">Калбатау 7723 47</t>
  </si>
  <si>
    <t xml:space="preserve">Большенарым 7723 41</t>
  </si>
  <si>
    <t xml:space="preserve">Катон-Карагай 7723 42</t>
  </si>
  <si>
    <t xml:space="preserve">Курчум 7723 39</t>
  </si>
  <si>
    <t xml:space="preserve">Теректы  7723 43</t>
  </si>
  <si>
    <t xml:space="preserve">Зайсан 7723 40</t>
  </si>
  <si>
    <t xml:space="preserve">Акжар 7723 44</t>
  </si>
  <si>
    <t xml:space="preserve">Аксуат 7723 46</t>
  </si>
  <si>
    <t xml:space="preserve">Кокпекты 7723 48</t>
  </si>
  <si>
    <t xml:space="preserve">Самарское 7723 33</t>
  </si>
  <si>
    <t xml:space="preserve">Семей</t>
  </si>
  <si>
    <t xml:space="preserve">Шульбинск</t>
  </si>
  <si>
    <t xml:space="preserve">Аягоз</t>
  </si>
  <si>
    <t xml:space="preserve">Аягоз 772 37 </t>
  </si>
  <si>
    <t xml:space="preserve">Бескарагaй</t>
  </si>
  <si>
    <t xml:space="preserve">Бескарагай</t>
  </si>
  <si>
    <t xml:space="preserve">Курчатов</t>
  </si>
  <si>
    <t xml:space="preserve">Маканчи</t>
  </si>
  <si>
    <t xml:space="preserve">Урджар</t>
  </si>
  <si>
    <t xml:space="preserve">Караул 772 52</t>
  </si>
  <si>
    <t xml:space="preserve">Павлодар</t>
  </si>
  <si>
    <t xml:space="preserve">Норма на сектор (кол-во абонентов)</t>
  </si>
  <si>
    <t xml:space="preserve">Металлург</t>
  </si>
  <si>
    <t xml:space="preserve">Кирзавод</t>
  </si>
  <si>
    <t xml:space="preserve">ВК ОДТ</t>
  </si>
  <si>
    <t xml:space="preserve">Меновное 800</t>
  </si>
  <si>
    <t xml:space="preserve">ТВ-Центр</t>
  </si>
  <si>
    <t xml:space="preserve">АТС-47</t>
  </si>
  <si>
    <t xml:space="preserve">Радужный </t>
  </si>
  <si>
    <t xml:space="preserve">Риддер800</t>
  </si>
  <si>
    <t xml:space="preserve">Всего Усть-Каменогорск 800</t>
  </si>
  <si>
    <t xml:space="preserve">      Количество зарегистрированных абонентов WLL 450 на секторах БС  по РУТам (RAC U-Ka)</t>
  </si>
  <si>
    <t xml:space="preserve">Всего регистрируется по базовой станции</t>
  </si>
  <si>
    <t xml:space="preserve">Катон-Карагай</t>
  </si>
  <si>
    <t xml:space="preserve">Шемонаиха</t>
  </si>
  <si>
    <t xml:space="preserve">Секисовка</t>
  </si>
  <si>
    <t xml:space="preserve">Большенарым</t>
  </si>
  <si>
    <t xml:space="preserve">Орел</t>
  </si>
  <si>
    <t xml:space="preserve">Северная</t>
  </si>
  <si>
    <t xml:space="preserve">Тишинка</t>
  </si>
  <si>
    <t xml:space="preserve">Октябрьский</t>
  </si>
  <si>
    <t xml:space="preserve">Солдатово</t>
  </si>
  <si>
    <t xml:space="preserve">Первомайка</t>
  </si>
  <si>
    <t xml:space="preserve">Меновное 450</t>
  </si>
  <si>
    <t xml:space="preserve">Бородулиха</t>
  </si>
  <si>
    <t xml:space="preserve">Сосновка</t>
  </si>
  <si>
    <t xml:space="preserve">Жезкент</t>
  </si>
  <si>
    <t xml:space="preserve">Жангиз-Тобе</t>
  </si>
  <si>
    <t xml:space="preserve">Шар</t>
  </si>
  <si>
    <t xml:space="preserve">Ауэзов</t>
  </si>
  <si>
    <t xml:space="preserve">Зыряновск</t>
  </si>
  <si>
    <t xml:space="preserve">Самсоновка</t>
  </si>
  <si>
    <t xml:space="preserve">Белоусовка</t>
  </si>
  <si>
    <t xml:space="preserve">Аршалы</t>
  </si>
  <si>
    <t xml:space="preserve">Медведка</t>
  </si>
  <si>
    <t xml:space="preserve">Сулусары</t>
  </si>
  <si>
    <t xml:space="preserve">Верх-Березовка</t>
  </si>
  <si>
    <t xml:space="preserve">Сокура</t>
  </si>
  <si>
    <t xml:space="preserve">Ремки</t>
  </si>
  <si>
    <t xml:space="preserve">Кабырга</t>
  </si>
  <si>
    <t xml:space="preserve">Стаханова450</t>
  </si>
  <si>
    <t xml:space="preserve">Прибрежное</t>
  </si>
  <si>
    <t xml:space="preserve">Калбатау</t>
  </si>
  <si>
    <t xml:space="preserve">Шемонаиха_РУТ</t>
  </si>
  <si>
    <t xml:space="preserve">Риддер450</t>
  </si>
  <si>
    <t xml:space="preserve">Белоусовка ГОК</t>
  </si>
  <si>
    <t xml:space="preserve">Усть-Таловка</t>
  </si>
  <si>
    <t xml:space="preserve">Ушбиик</t>
  </si>
  <si>
    <t xml:space="preserve">Караул</t>
  </si>
  <si>
    <t xml:space="preserve">Акшаули</t>
  </si>
  <si>
    <t xml:space="preserve">Жантекей</t>
  </si>
  <si>
    <t xml:space="preserve">Самарка</t>
  </si>
  <si>
    <t xml:space="preserve">Кокпекты</t>
  </si>
  <si>
    <t xml:space="preserve">Акжар</t>
  </si>
  <si>
    <t xml:space="preserve">Куйган</t>
  </si>
  <si>
    <t xml:space="preserve">Бурабай</t>
  </si>
  <si>
    <t xml:space="preserve">Кокжаик</t>
  </si>
  <si>
    <t xml:space="preserve">Зайсан_1</t>
  </si>
  <si>
    <t xml:space="preserve">Палатцы</t>
  </si>
  <si>
    <t xml:space="preserve">Джумба</t>
  </si>
  <si>
    <t xml:space="preserve">Умыш</t>
  </si>
  <si>
    <t xml:space="preserve">Улькен Бокен</t>
  </si>
  <si>
    <t xml:space="preserve">Белая Школа</t>
  </si>
  <si>
    <t xml:space="preserve">Аксуат</t>
  </si>
  <si>
    <t xml:space="preserve">Зайсан</t>
  </si>
  <si>
    <t xml:space="preserve">Мраморная</t>
  </si>
  <si>
    <t xml:space="preserve">Сарыолен</t>
  </si>
  <si>
    <t xml:space="preserve">Буран</t>
  </si>
  <si>
    <t xml:space="preserve">Тугыл</t>
  </si>
  <si>
    <t xml:space="preserve">Каратал</t>
  </si>
  <si>
    <t xml:space="preserve">Всего Усть-Каменогорск 450</t>
  </si>
  <si>
    <t xml:space="preserve">Количество абонентов на секторах БС CDMA 800 контроллер Семей</t>
  </si>
  <si>
    <t xml:space="preserve">Аягоз 7722 37 </t>
  </si>
  <si>
    <t xml:space="preserve">Караул 7722 52</t>
  </si>
  <si>
    <t xml:space="preserve">АТС 518</t>
  </si>
  <si>
    <t xml:space="preserve">ХОЛОД</t>
  </si>
  <si>
    <t xml:space="preserve">АТС-64</t>
  </si>
  <si>
    <t xml:space="preserve">ТВ-ЦЕНТР</t>
  </si>
  <si>
    <t xml:space="preserve">Всего Семей 800</t>
  </si>
  <si>
    <t xml:space="preserve">Количество абонентов на секторах БС CDMA 450 контроллер Семей</t>
  </si>
  <si>
    <t xml:space="preserve">Аягоз_1</t>
  </si>
  <si>
    <t xml:space="preserve">Семеновка</t>
  </si>
  <si>
    <t xml:space="preserve">Южный</t>
  </si>
  <si>
    <t xml:space="preserve">Таскескен</t>
  </si>
  <si>
    <t xml:space="preserve">Аккульск</t>
  </si>
  <si>
    <t xml:space="preserve">Кабанбай</t>
  </si>
  <si>
    <t xml:space="preserve">Новопокровка</t>
  </si>
  <si>
    <t xml:space="preserve">Сарытан</t>
  </si>
  <si>
    <t xml:space="preserve">Кыземшек</t>
  </si>
  <si>
    <t xml:space="preserve">Шынгожа</t>
  </si>
  <si>
    <t xml:space="preserve">Троицкое</t>
  </si>
  <si>
    <t xml:space="preserve">Кордон</t>
  </si>
  <si>
    <t xml:space="preserve">Контрольный</t>
  </si>
  <si>
    <t xml:space="preserve">Достык</t>
  </si>
  <si>
    <t xml:space="preserve">Чаган</t>
  </si>
  <si>
    <t xml:space="preserve">Карабуйрат</t>
  </si>
  <si>
    <t xml:space="preserve">Холод450</t>
  </si>
  <si>
    <t xml:space="preserve">Всего Семей 450</t>
  </si>
  <si>
    <t xml:space="preserve">Актогай</t>
  </si>
  <si>
    <t xml:space="preserve">Тарбагатай</t>
  </si>
  <si>
    <t xml:space="preserve">Емельтау</t>
  </si>
  <si>
    <t xml:space="preserve">Уштобе</t>
  </si>
  <si>
    <t xml:space="preserve">Томкайын</t>
  </si>
  <si>
    <t xml:space="preserve">Жаксы Абралы</t>
  </si>
  <si>
    <t xml:space="preserve">Шиликты</t>
  </si>
  <si>
    <t xml:space="preserve">Берель</t>
  </si>
  <si>
    <t xml:space="preserve">Маралды</t>
  </si>
  <si>
    <t xml:space="preserve">Тоскайын</t>
  </si>
  <si>
    <t xml:space="preserve">Всего Гилат 450</t>
  </si>
  <si>
    <t xml:space="preserve">У-Ка 723 2 (Новотроицк, Самсоновка)</t>
  </si>
  <si>
    <t xml:space="preserve">У-Ка 7232 (Ахмирово, Меновное)</t>
  </si>
  <si>
    <t xml:space="preserve">Глубокое 723 31</t>
  </si>
  <si>
    <t xml:space="preserve">Шемонаиха 723 32</t>
  </si>
  <si>
    <t xml:space="preserve">Бородулиха 723 51</t>
  </si>
  <si>
    <t xml:space="preserve">Нов. Шульба 723 53</t>
  </si>
  <si>
    <t xml:space="preserve">Риддер 723 36</t>
  </si>
  <si>
    <t xml:space="preserve">Зыряновск 723 35</t>
  </si>
  <si>
    <t xml:space="preserve">Серебрянск 723 37</t>
  </si>
  <si>
    <t xml:space="preserve">Уланка 723 38</t>
  </si>
  <si>
    <t xml:space="preserve">Таврия 723 34</t>
  </si>
  <si>
    <t xml:space="preserve">Калбатау 723 47</t>
  </si>
  <si>
    <t xml:space="preserve">Большенарым 723 41</t>
  </si>
  <si>
    <t xml:space="preserve">Катон-Карагай 723 42</t>
  </si>
  <si>
    <t xml:space="preserve">Курчум 723 39</t>
  </si>
  <si>
    <t xml:space="preserve">Теректы  723 43</t>
  </si>
  <si>
    <t xml:space="preserve">Зайсан 723 40</t>
  </si>
  <si>
    <t xml:space="preserve">Акжар 723 44</t>
  </si>
  <si>
    <t xml:space="preserve">Аксуат 723 46</t>
  </si>
  <si>
    <t xml:space="preserve">Кокпекты 723 48</t>
  </si>
  <si>
    <t xml:space="preserve">Самарское 723 33</t>
  </si>
  <si>
    <t xml:space="preserve">Аягоз 722 37 </t>
  </si>
  <si>
    <t xml:space="preserve">Караул 722 52</t>
  </si>
  <si>
    <t xml:space="preserve">PN</t>
  </si>
  <si>
    <t xml:space="preserve">CellID</t>
  </si>
  <si>
    <t xml:space="preserve">SectorID</t>
  </si>
  <si>
    <t xml:space="preserve">BTSNAME</t>
  </si>
  <si>
    <t xml:space="preserve">ESN</t>
  </si>
  <si>
    <t xml:space="preserve">PDSNService</t>
  </si>
  <si>
    <t xml:space="preserve">IWFAsyncDataService</t>
  </si>
  <si>
    <t xml:space="preserve">IWFFaxService</t>
  </si>
  <si>
    <t xml:space="preserve">ODT_Ustk-09-Shemonaiha-450</t>
  </si>
  <si>
    <t xml:space="preserve">0xdd86e61f</t>
  </si>
  <si>
    <t xml:space="preserve">No</t>
  </si>
  <si>
    <t xml:space="preserve">0x0549e407</t>
  </si>
  <si>
    <t xml:space="preserve">Yes</t>
  </si>
  <si>
    <t xml:space="preserve">ODT_Ustk-36-Sokura-450</t>
  </si>
  <si>
    <t xml:space="preserve">0x0fed51f7</t>
  </si>
  <si>
    <t xml:space="preserve">0x69d9f646</t>
  </si>
  <si>
    <t xml:space="preserve">0x02fc440f</t>
  </si>
  <si>
    <t xml:space="preserve">0xdd86a4aa</t>
  </si>
  <si>
    <t xml:space="preserve">0x02f97caf</t>
  </si>
  <si>
    <t xml:space="preserve">0x0549e34f</t>
  </si>
  <si>
    <t xml:space="preserve">0x0fed5b1f</t>
  </si>
  <si>
    <t xml:space="preserve">0x054a20a1</t>
  </si>
  <si>
    <t xml:space="preserve">0x0fed5109</t>
  </si>
  <si>
    <t xml:space="preserve">0x0fed51fb</t>
  </si>
  <si>
    <t xml:space="preserve">0xffcc2488</t>
  </si>
  <si>
    <t xml:space="preserve">0x0fed5111</t>
  </si>
  <si>
    <t xml:space="preserve">0xdd86b45f</t>
  </si>
  <si>
    <t xml:space="preserve">0xdd86ac4d</t>
  </si>
  <si>
    <t xml:space="preserve">ODT_Ustk-31-Medvedka-450</t>
  </si>
  <si>
    <t xml:space="preserve">0x0549060a</t>
  </si>
  <si>
    <t xml:space="preserve">0x05490a1d</t>
  </si>
  <si>
    <t xml:space="preserve">0x03019d0e</t>
  </si>
  <si>
    <t xml:space="preserve">0x03024366</t>
  </si>
  <si>
    <t xml:space="preserve">0x11f1fea7</t>
  </si>
  <si>
    <t xml:space="preserve">0x03025d59</t>
  </si>
  <si>
    <t xml:space="preserve">0x06c0d26b</t>
  </si>
  <si>
    <t xml:space="preserve">0x06c0d328</t>
  </si>
  <si>
    <t xml:space="preserve">0x06c0d35a</t>
  </si>
  <si>
    <t xml:space="preserve">0x06c0d30c</t>
  </si>
  <si>
    <t xml:space="preserve">-</t>
  </si>
  <si>
    <t xml:space="preserve">ODT_Ustk-19-Boroduliha-450</t>
  </si>
  <si>
    <t xml:space="preserve">0xdd869564</t>
  </si>
  <si>
    <t xml:space="preserve">ODT_Ustk-37-Remki-450</t>
  </si>
  <si>
    <t xml:space="preserve">0xffcc20c8</t>
  </si>
  <si>
    <t xml:space="preserve">0x106bd903</t>
  </si>
  <si>
    <t xml:space="preserve">0x0549e7f8</t>
  </si>
  <si>
    <t xml:space="preserve">0x106ae0ee</t>
  </si>
  <si>
    <t xml:space="preserve">0xdd86d746</t>
  </si>
  <si>
    <t xml:space="preserve">0x11f202f5</t>
  </si>
  <si>
    <t xml:space="preserve">0x69d9ee80</t>
  </si>
  <si>
    <t xml:space="preserve">0xdd869e3d</t>
  </si>
  <si>
    <t xml:space="preserve">0x0fed5afe</t>
  </si>
  <si>
    <t xml:space="preserve">0x11f5c226</t>
  </si>
  <si>
    <t xml:space="preserve">0x05564124</t>
  </si>
  <si>
    <t xml:space="preserve">0x0549a20c</t>
  </si>
  <si>
    <t xml:space="preserve">0x0d3ca424</t>
  </si>
  <si>
    <t xml:space="preserve">0xdd4e0623</t>
  </si>
  <si>
    <t xml:space="preserve">0x69d9f5a3</t>
  </si>
  <si>
    <t xml:space="preserve">0x0547fc7a</t>
  </si>
  <si>
    <t xml:space="preserve">0xdd869b06</t>
  </si>
  <si>
    <t xml:space="preserve">0x030649ac</t>
  </si>
  <si>
    <t xml:space="preserve">0xdd869a8d</t>
  </si>
  <si>
    <t xml:space="preserve">0x02fc4330</t>
  </si>
  <si>
    <t xml:space="preserve">0x03029550</t>
  </si>
  <si>
    <t xml:space="preserve">0x11f1fdd9</t>
  </si>
  <si>
    <t xml:space="preserve">ODT_Ustk-17-Pervomaika-450</t>
  </si>
  <si>
    <t xml:space="preserve">0x092b96be</t>
  </si>
  <si>
    <t xml:space="preserve">0x092b96cc</t>
  </si>
  <si>
    <t xml:space="preserve">0x11f1fe75</t>
  </si>
  <si>
    <t xml:space="preserve">0x0931b046</t>
  </si>
  <si>
    <t xml:space="preserve">ODT_Ustk-10-Sekisovka-450</t>
  </si>
  <si>
    <t xml:space="preserve">0x0931baef</t>
  </si>
  <si>
    <t xml:space="preserve">0xdd1bb5e0</t>
  </si>
  <si>
    <t xml:space="preserve">0xdd86b7b3</t>
  </si>
  <si>
    <t xml:space="preserve">0x11f5a982</t>
  </si>
  <si>
    <t xml:space="preserve">0x69d9fdfb</t>
  </si>
  <si>
    <t xml:space="preserve">0x106aea33</t>
  </si>
  <si>
    <t xml:space="preserve">0x0934d15d</t>
  </si>
  <si>
    <t xml:space="preserve">0x0552a8c8</t>
  </si>
  <si>
    <t xml:space="preserve">0xffcc2252</t>
  </si>
  <si>
    <t xml:space="preserve">0x69d9ef2c</t>
  </si>
  <si>
    <t xml:space="preserve">0x69da6595</t>
  </si>
  <si>
    <t xml:space="preserve">0x11f5bc75</t>
  </si>
  <si>
    <t xml:space="preserve">0x02f8e1ca</t>
  </si>
  <si>
    <t xml:space="preserve">0x0549c5f9</t>
  </si>
  <si>
    <t xml:space="preserve">0xdd86d1fa</t>
  </si>
  <si>
    <t xml:space="preserve">0xdd86a901</t>
  </si>
  <si>
    <t xml:space="preserve">0x0549c573</t>
  </si>
  <si>
    <t xml:space="preserve">0xdd86d53d</t>
  </si>
  <si>
    <t xml:space="preserve">0x11f5a9cb</t>
  </si>
  <si>
    <t xml:space="preserve">0x054e3e5f</t>
  </si>
  <si>
    <t xml:space="preserve">0x054e3e6e</t>
  </si>
  <si>
    <t xml:space="preserve">0x054e3e62</t>
  </si>
  <si>
    <t xml:space="preserve">0x69d9f4e0</t>
  </si>
  <si>
    <t xml:space="preserve">0x055644c4</t>
  </si>
  <si>
    <t xml:space="preserve">0x03064908</t>
  </si>
  <si>
    <t xml:space="preserve">0x06c0a73f</t>
  </si>
  <si>
    <t xml:space="preserve">0x06c0d28a</t>
  </si>
  <si>
    <t xml:space="preserve">0xdd1bb5dc</t>
  </si>
  <si>
    <t xml:space="preserve">0x03064d00</t>
  </si>
  <si>
    <t xml:space="preserve">0x03064c4d</t>
  </si>
  <si>
    <t xml:space="preserve">0x69d9ef77</t>
  </si>
  <si>
    <t xml:space="preserve">0x11f1fafc</t>
  </si>
  <si>
    <t xml:space="preserve">0x054e490b</t>
  </si>
  <si>
    <t xml:space="preserve">0x0300cae9</t>
  </si>
  <si>
    <t xml:space="preserve">0x11f1fb06</t>
  </si>
  <si>
    <t xml:space="preserve">0x054e2ca7</t>
  </si>
  <si>
    <t xml:space="preserve">0xdd86a425</t>
  </si>
  <si>
    <t xml:space="preserve">0x030647f0</t>
  </si>
  <si>
    <t xml:space="preserve">0x03064869</t>
  </si>
  <si>
    <t xml:space="preserve">0x0302a8a0</t>
  </si>
  <si>
    <t xml:space="preserve">0x03064884</t>
  </si>
  <si>
    <t xml:space="preserve">0xdd86d62c</t>
  </si>
  <si>
    <t xml:space="preserve">0x054e59ad</t>
  </si>
  <si>
    <t xml:space="preserve">0xdd86e79c</t>
  </si>
  <si>
    <t xml:space="preserve">0x69da0d89</t>
  </si>
  <si>
    <t xml:space="preserve">0x0fed5193</t>
  </si>
  <si>
    <t xml:space="preserve">0x69da551a</t>
  </si>
  <si>
    <t xml:space="preserve">0x03064d05</t>
  </si>
  <si>
    <t xml:space="preserve">0x11f584a1</t>
  </si>
  <si>
    <t xml:space="preserve">0xdd4ed635</t>
  </si>
  <si>
    <t xml:space="preserve">0x0920cd52</t>
  </si>
  <si>
    <t xml:space="preserve">0x092b9659</t>
  </si>
  <si>
    <t xml:space="preserve">ODT_Ustk-63-Ustalovka-450</t>
  </si>
  <si>
    <t xml:space="preserve">0x0934d16d</t>
  </si>
  <si>
    <t xml:space="preserve">0x0934d15f</t>
  </si>
  <si>
    <t xml:space="preserve">0x11f20007</t>
  </si>
  <si>
    <t xml:space="preserve">0x69d9eda7</t>
  </si>
  <si>
    <t xml:space="preserve">0xdd4edf28</t>
  </si>
  <si>
    <t xml:space="preserve">0x0fed8f4d</t>
  </si>
  <si>
    <t xml:space="preserve">0x0fed8f48</t>
  </si>
  <si>
    <t xml:space="preserve">0x0fed8f52</t>
  </si>
  <si>
    <t xml:space="preserve">0x0fed8e3b</t>
  </si>
  <si>
    <t xml:space="preserve">0x11f202f3</t>
  </si>
  <si>
    <t xml:space="preserve">0x05493fa8</t>
  </si>
  <si>
    <t xml:space="preserve">0x69da0dc1</t>
  </si>
  <si>
    <t xml:space="preserve">0x69da5502</t>
  </si>
  <si>
    <t xml:space="preserve">0x06c0d327</t>
  </si>
  <si>
    <t xml:space="preserve">0x69d9f52c</t>
  </si>
  <si>
    <t xml:space="preserve">0x0302a295</t>
  </si>
  <si>
    <t xml:space="preserve">0x69d9fb68</t>
  </si>
  <si>
    <t xml:space="preserve">0x69da5537</t>
  </si>
  <si>
    <t xml:space="preserve">0x0301a5f4</t>
  </si>
  <si>
    <t xml:space="preserve">0x0549a5a6</t>
  </si>
  <si>
    <t xml:space="preserve">0x0301a5db</t>
  </si>
  <si>
    <t xml:space="preserve">0x11f1fb52</t>
  </si>
  <si>
    <t xml:space="preserve">0x10a3c99d</t>
  </si>
  <si>
    <t xml:space="preserve">0xdd1bb5de</t>
  </si>
  <si>
    <t xml:space="preserve">0x02fdb911</t>
  </si>
  <si>
    <t xml:space="preserve">0x02fdb720</t>
  </si>
  <si>
    <t xml:space="preserve">0x05493aaf</t>
  </si>
  <si>
    <t xml:space="preserve">0x05493ab1</t>
  </si>
  <si>
    <t xml:space="preserve">0x11f1fae7</t>
  </si>
  <si>
    <t xml:space="preserve">0x0549bc95</t>
  </si>
  <si>
    <t xml:space="preserve">0x11f5aa26</t>
  </si>
  <si>
    <t xml:space="preserve">0x69d9fde6</t>
  </si>
  <si>
    <t xml:space="preserve">0xffcc1937</t>
  </si>
  <si>
    <t xml:space="preserve">0x11f1fafe</t>
  </si>
  <si>
    <t xml:space="preserve">0x0fed5b1b</t>
  </si>
  <si>
    <t xml:space="preserve">0xdd86e6ad</t>
  </si>
  <si>
    <t xml:space="preserve">0x0549a72c</t>
  </si>
  <si>
    <t xml:space="preserve">0x0549bccf</t>
  </si>
  <si>
    <t xml:space="preserve">0xdd1b6f0d</t>
  </si>
  <si>
    <t xml:space="preserve">0x02f976a3</t>
  </si>
  <si>
    <t xml:space="preserve">0x0547fbe5</t>
  </si>
  <si>
    <t xml:space="preserve">0x69d9f954</t>
  </si>
  <si>
    <t xml:space="preserve">0x054e4912</t>
  </si>
  <si>
    <t xml:space="preserve">0x69d9ef39</t>
  </si>
  <si>
    <t xml:space="preserve">0x0da09692</t>
  </si>
  <si>
    <t xml:space="preserve">0x02f976a4</t>
  </si>
  <si>
    <t xml:space="preserve">0x02f9750b</t>
  </si>
  <si>
    <t xml:space="preserve">0x0549e513</t>
  </si>
  <si>
    <t xml:space="preserve">0x69d9f5a5</t>
  </si>
  <si>
    <t xml:space="preserve">ODT_Ustk-21-Zhezkent-450</t>
  </si>
  <si>
    <t xml:space="preserve">0x106bdf49</t>
  </si>
  <si>
    <t xml:space="preserve">0x02f39ec1</t>
  </si>
  <si>
    <t xml:space="preserve">0xdd86979f</t>
  </si>
  <si>
    <t xml:space="preserve">0x11f5bb41</t>
  </si>
  <si>
    <t xml:space="preserve">0x02f94ea7</t>
  </si>
  <si>
    <t xml:space="preserve">0xdd1b6f11</t>
  </si>
  <si>
    <t xml:space="preserve">0x02f8e0fa</t>
  </si>
  <si>
    <t xml:space="preserve">0x02f8e0f6</t>
  </si>
  <si>
    <t xml:space="preserve">0xdd869bcc</t>
  </si>
  <si>
    <t xml:space="preserve">0xdd869a98</t>
  </si>
  <si>
    <t xml:space="preserve">0x69d9f95d</t>
  </si>
  <si>
    <t xml:space="preserve">0xdd86b496</t>
  </si>
  <si>
    <t xml:space="preserve">0x11f5ac51</t>
  </si>
  <si>
    <t xml:space="preserve">0x03064938</t>
  </si>
  <si>
    <t xml:space="preserve">0x69da0d8e</t>
  </si>
  <si>
    <t xml:space="preserve">0x02f97400</t>
  </si>
  <si>
    <t xml:space="preserve">0x02f973ff</t>
  </si>
  <si>
    <t xml:space="preserve">0x02f96de6</t>
  </si>
  <si>
    <t xml:space="preserve">0x02f96df6</t>
  </si>
  <si>
    <t xml:space="preserve">0x0300c508</t>
  </si>
  <si>
    <t xml:space="preserve">0xdd86a0d3</t>
  </si>
  <si>
    <t xml:space="preserve">0x69da5524</t>
  </si>
  <si>
    <t xml:space="preserve">0x02f74131</t>
  </si>
  <si>
    <t xml:space="preserve">0x02f97515</t>
  </si>
  <si>
    <t xml:space="preserve">0x0934d148</t>
  </si>
  <si>
    <t xml:space="preserve">0x11f1fe51</t>
  </si>
  <si>
    <t xml:space="preserve">0x05564254</t>
  </si>
  <si>
    <t xml:space="preserve">0xdd1b6e7b</t>
  </si>
  <si>
    <t xml:space="preserve">0x054a2c67</t>
  </si>
  <si>
    <t xml:space="preserve">0x69d9f4d8</t>
  </si>
  <si>
    <t xml:space="preserve">0x69da65e4</t>
  </si>
  <si>
    <t xml:space="preserve">0x106bd9d4</t>
  </si>
  <si>
    <t xml:space="preserve">0x11f1fb99</t>
  </si>
  <si>
    <t xml:space="preserve">0x0fed5b18</t>
  </si>
  <si>
    <t xml:space="preserve">0x69d9ee74</t>
  </si>
  <si>
    <t xml:space="preserve">0x11f1fbf2</t>
  </si>
  <si>
    <t xml:space="preserve">0x0fed5195</t>
  </si>
  <si>
    <t xml:space="preserve">0x02f8e1c0</t>
  </si>
  <si>
    <t xml:space="preserve">0xdd1b6f2e</t>
  </si>
  <si>
    <t xml:space="preserve">0x0d3c8140</t>
  </si>
  <si>
    <t xml:space="preserve">0x055616d7</t>
  </si>
  <si>
    <t xml:space="preserve">0x11f5e32a</t>
  </si>
  <si>
    <t xml:space="preserve">0x054a1e27</t>
  </si>
  <si>
    <t xml:space="preserve">0x0555fbe7</t>
  </si>
  <si>
    <t xml:space="preserve">0x69d9f5f9</t>
  </si>
  <si>
    <t xml:space="preserve">0x106be1ac</t>
  </si>
  <si>
    <t xml:space="preserve">0x69da20fc</t>
  </si>
  <si>
    <t xml:space="preserve">0x69d9f528</t>
  </si>
  <si>
    <t xml:space="preserve">0xdd869599</t>
  </si>
  <si>
    <t xml:space="preserve">0x11f1fe74</t>
  </si>
  <si>
    <t xml:space="preserve">0x054946d7</t>
  </si>
  <si>
    <t xml:space="preserve">0xdd4eea21</t>
  </si>
  <si>
    <t xml:space="preserve">0xdd86e426</t>
  </si>
  <si>
    <t xml:space="preserve">0xdd1b6f09</t>
  </si>
  <si>
    <t xml:space="preserve">0x054e6813</t>
  </si>
  <si>
    <t xml:space="preserve">0xdd86aa46</t>
  </si>
  <si>
    <t xml:space="preserve">0x0d3cac72</t>
  </si>
  <si>
    <t xml:space="preserve">0x0fed54ab</t>
  </si>
  <si>
    <t xml:space="preserve">0x03025f4a</t>
  </si>
  <si>
    <t xml:space="preserve">0x0300c4db</t>
  </si>
  <si>
    <t xml:space="preserve">0x11f5a865</t>
  </si>
  <si>
    <t xml:space="preserve">0x69da6445</t>
  </si>
  <si>
    <t xml:space="preserve">0x10a37574</t>
  </si>
  <si>
    <t xml:space="preserve">0xffcc2473</t>
  </si>
  <si>
    <t xml:space="preserve">0x69d9f4b6</t>
  </si>
  <si>
    <t xml:space="preserve">0x11f1fc0e</t>
  </si>
  <si>
    <t xml:space="preserve">0x69da54f5</t>
  </si>
  <si>
    <t xml:space="preserve">0x69da54dc</t>
  </si>
  <si>
    <t xml:space="preserve">0x11f1fb1a</t>
  </si>
  <si>
    <t xml:space="preserve">0xdd86ade1</t>
  </si>
  <si>
    <t xml:space="preserve">0x69da55f0</t>
  </si>
  <si>
    <t xml:space="preserve">0x11f5a6bc</t>
  </si>
  <si>
    <t xml:space="preserve">0x69d9f4c0</t>
  </si>
  <si>
    <t xml:space="preserve">0xdd1b6e96</t>
  </si>
  <si>
    <t xml:space="preserve">0xdd86e424</t>
  </si>
  <si>
    <t xml:space="preserve">0x11f1fb24</t>
  </si>
  <si>
    <t xml:space="preserve">0xdd86c2af</t>
  </si>
  <si>
    <t xml:space="preserve">0x0fed5ba9</t>
  </si>
  <si>
    <t xml:space="preserve">0x0fed8982</t>
  </si>
  <si>
    <t xml:space="preserve">0xdd1b6f5d</t>
  </si>
  <si>
    <t xml:space="preserve">0x11f5a8ca</t>
  </si>
  <si>
    <t xml:space="preserve">0xdd1b6ed1</t>
  </si>
  <si>
    <t xml:space="preserve">0x0301c59a</t>
  </si>
  <si>
    <t xml:space="preserve">0xdd1b6d97</t>
  </si>
  <si>
    <t xml:space="preserve">0x0547fccf</t>
  </si>
  <si>
    <t xml:space="preserve">0xdd1b6f56</t>
  </si>
  <si>
    <t xml:space="preserve">0x11f5a9ee</t>
  </si>
  <si>
    <t xml:space="preserve">0x11f5c16b</t>
  </si>
  <si>
    <t xml:space="preserve">0xdd1b6f16</t>
  </si>
  <si>
    <t xml:space="preserve">0xdd1b6f17</t>
  </si>
  <si>
    <t xml:space="preserve">0xdd1b6f13</t>
  </si>
  <si>
    <t xml:space="preserve">0x11f5bb66</t>
  </si>
  <si>
    <t xml:space="preserve">0x0549e4b7</t>
  </si>
  <si>
    <t xml:space="preserve">0x0da09525</t>
  </si>
  <si>
    <t xml:space="preserve">0xdd86b7a6</t>
  </si>
  <si>
    <t xml:space="preserve">0xdd4ed5b1</t>
  </si>
  <si>
    <t xml:space="preserve">0x054a1f9a</t>
  </si>
  <si>
    <t xml:space="preserve">0xdd8696d8</t>
  </si>
  <si>
    <t xml:space="preserve">ODT_Ustk-20-Sosnovka-450</t>
  </si>
  <si>
    <t xml:space="preserve">0x69d9f4b4</t>
  </si>
  <si>
    <t xml:space="preserve">0x69d9f4c4</t>
  </si>
  <si>
    <t xml:space="preserve">0x69d9f4ff</t>
  </si>
  <si>
    <t xml:space="preserve">0x69da5517</t>
  </si>
  <si>
    <t xml:space="preserve">0x69da6647</t>
  </si>
  <si>
    <t xml:space="preserve">0xdd869a60</t>
  </si>
  <si>
    <t xml:space="preserve">0x02f439b5</t>
  </si>
  <si>
    <t xml:space="preserve">0x11f1fdc4</t>
  </si>
  <si>
    <t xml:space="preserve">0x03064939</t>
  </si>
  <si>
    <t xml:space="preserve">0x0da094a6</t>
  </si>
  <si>
    <t xml:space="preserve">0x054946b6</t>
  </si>
  <si>
    <t xml:space="preserve">0x0549c490</t>
  </si>
  <si>
    <t xml:space="preserve">0x11f1fbca</t>
  </si>
  <si>
    <t xml:space="preserve">0x0549a5ee</t>
  </si>
  <si>
    <t xml:space="preserve">0x054e5998</t>
  </si>
  <si>
    <t xml:space="preserve">0x69d9ef7a</t>
  </si>
  <si>
    <t xml:space="preserve">0x69da35aa</t>
  </si>
  <si>
    <t xml:space="preserve">0x69d9f653</t>
  </si>
  <si>
    <t xml:space="preserve">0x69da5566</t>
  </si>
  <si>
    <t xml:space="preserve">0x0301c5ae</t>
  </si>
  <si>
    <t xml:space="preserve">0x054e23c8</t>
  </si>
  <si>
    <t xml:space="preserve">0x02f3a002</t>
  </si>
  <si>
    <t xml:space="preserve">0x02f3a2ab</t>
  </si>
  <si>
    <t xml:space="preserve">0x10a3c233</t>
  </si>
  <si>
    <t xml:space="preserve">0x11f1fb1c</t>
  </si>
  <si>
    <t xml:space="preserve">0xffcc2231</t>
  </si>
  <si>
    <t xml:space="preserve">0x02f3a136</t>
  </si>
  <si>
    <t xml:space="preserve">0x02f3a05d</t>
  </si>
  <si>
    <t xml:space="preserve">0x106af948</t>
  </si>
  <si>
    <t xml:space="preserve">0x106afe33</t>
  </si>
  <si>
    <t xml:space="preserve">0x106af85e</t>
  </si>
  <si>
    <t xml:space="preserve">0x10a3d35d</t>
  </si>
  <si>
    <t xml:space="preserve">0x03029403</t>
  </si>
  <si>
    <t xml:space="preserve">0xffcc2258</t>
  </si>
  <si>
    <t xml:space="preserve">0xdd4e03b6</t>
  </si>
  <si>
    <t xml:space="preserve">0x69da5530</t>
  </si>
  <si>
    <t xml:space="preserve">0x11f5bb1a</t>
  </si>
  <si>
    <t xml:space="preserve">0x106ac266</t>
  </si>
  <si>
    <t xml:space="preserve">0x11f1feb3</t>
  </si>
  <si>
    <t xml:space="preserve">0x106afc2d</t>
  </si>
  <si>
    <t xml:space="preserve">0x0fed6589</t>
  </si>
  <si>
    <t xml:space="preserve">0xffcc20d0</t>
  </si>
  <si>
    <t xml:space="preserve">0x11f58523</t>
  </si>
  <si>
    <t xml:space="preserve">0x11f1fb55</t>
  </si>
  <si>
    <t xml:space="preserve">0x106b0df9</t>
  </si>
  <si>
    <t xml:space="preserve">0x11f5c204</t>
  </si>
  <si>
    <t xml:space="preserve">0x11f2060c</t>
  </si>
  <si>
    <t xml:space="preserve">0x69da0d1b</t>
  </si>
  <si>
    <t xml:space="preserve">0x11f1fb40</t>
  </si>
  <si>
    <t xml:space="preserve">0x11f5a9ce</t>
  </si>
  <si>
    <t xml:space="preserve">0x11f5a9d0</t>
  </si>
  <si>
    <t xml:space="preserve">0x11f5a9ca</t>
  </si>
  <si>
    <t xml:space="preserve">0x11f5e35b</t>
  </si>
  <si>
    <t xml:space="preserve">0x11f5e37f</t>
  </si>
  <si>
    <t xml:space="preserve">0x11f5854f</t>
  </si>
  <si>
    <t xml:space="preserve">0x11f58690</t>
  </si>
  <si>
    <t xml:space="preserve">0x69da54fb</t>
  </si>
  <si>
    <t xml:space="preserve">0x69d9ef13</t>
  </si>
  <si>
    <t xml:space="preserve">0x11f5bb29</t>
  </si>
  <si>
    <t xml:space="preserve">0x11f58c64</t>
  </si>
  <si>
    <t xml:space="preserve">0x11f5bc72</t>
  </si>
  <si>
    <t xml:space="preserve">0x11f5a59f</t>
  </si>
  <si>
    <t xml:space="preserve">0xdd4edd02</t>
  </si>
  <si>
    <t xml:space="preserve">0x11f5bb0c</t>
  </si>
  <si>
    <t xml:space="preserve">0x0549bda7</t>
  </si>
  <si>
    <t xml:space="preserve">0x69d9f513</t>
  </si>
  <si>
    <t xml:space="preserve">0x69da359c</t>
  </si>
  <si>
    <t xml:space="preserve">0x69da56c1</t>
  </si>
  <si>
    <t xml:space="preserve">0x11f58548</t>
  </si>
  <si>
    <t xml:space="preserve">0x11f5aa00</t>
  </si>
  <si>
    <t xml:space="preserve">0x11f5a9e7</t>
  </si>
  <si>
    <t xml:space="preserve">0x11f5a948</t>
  </si>
  <si>
    <t xml:space="preserve">0x11f58516</t>
  </si>
  <si>
    <t xml:space="preserve">0x11f5bc54</t>
  </si>
  <si>
    <t xml:space="preserve">0x0931bb7c</t>
  </si>
  <si>
    <t xml:space="preserve">0x11f20615</t>
  </si>
  <si>
    <t xml:space="preserve">0x0d3ccdc5</t>
  </si>
  <si>
    <t xml:space="preserve">0x11f1fbc6</t>
  </si>
  <si>
    <t xml:space="preserve">0x11f5a9d9</t>
  </si>
  <si>
    <t xml:space="preserve">0x11f1fc6d</t>
  </si>
  <si>
    <t xml:space="preserve">0x11f1fb78</t>
  </si>
  <si>
    <t xml:space="preserve">0x69da0e41</t>
  </si>
  <si>
    <t xml:space="preserve">0x11f1fb1b</t>
  </si>
  <si>
    <t xml:space="preserve">0x11f1fe20</t>
  </si>
  <si>
    <t xml:space="preserve">0x0549c536</t>
  </si>
  <si>
    <t xml:space="preserve">0x11f5aa1c</t>
  </si>
  <si>
    <t xml:space="preserve">0xdd86e60d</t>
  </si>
  <si>
    <t xml:space="preserve">0x11f5a9af</t>
  </si>
  <si>
    <t xml:space="preserve">0x11f1fe11</t>
  </si>
  <si>
    <t xml:space="preserve">0x69da1e9d</t>
  </si>
  <si>
    <t xml:space="preserve">0xdd4ede94</t>
  </si>
  <si>
    <t xml:space="preserve">0x11f1fb69</t>
  </si>
  <si>
    <t xml:space="preserve">0x11f2053e</t>
  </si>
  <si>
    <t xml:space="preserve">0x106bf061</t>
  </si>
  <si>
    <t xml:space="preserve">0x11f20485</t>
  </si>
  <si>
    <t xml:space="preserve">0x0549e81b</t>
  </si>
  <si>
    <t xml:space="preserve">0xdd86a4cc</t>
  </si>
  <si>
    <t xml:space="preserve">0x11f1fea1</t>
  </si>
  <si>
    <t xml:space="preserve">0x11f1fedd</t>
  </si>
  <si>
    <t xml:space="preserve">0x11f2060e</t>
  </si>
  <si>
    <t xml:space="preserve">0x11f5e322</t>
  </si>
  <si>
    <t xml:space="preserve">0x11f5bc6b</t>
  </si>
  <si>
    <t xml:space="preserve">0x11f205c3</t>
  </si>
  <si>
    <t xml:space="preserve">0x11f205bf</t>
  </si>
  <si>
    <t xml:space="preserve">0x69da1e9b</t>
  </si>
  <si>
    <t xml:space="preserve">0x11f202ec</t>
  </si>
  <si>
    <t xml:space="preserve">0x0fed898a</t>
  </si>
  <si>
    <t xml:space="preserve">0x0302a87d</t>
  </si>
  <si>
    <t xml:space="preserve">0x69da5426</t>
  </si>
  <si>
    <t xml:space="preserve">0xdd86adf8</t>
  </si>
  <si>
    <t xml:space="preserve">0xdd86a2f6</t>
  </si>
  <si>
    <t xml:space="preserve">0xdd86a2f8</t>
  </si>
  <si>
    <t xml:space="preserve">0x69da551b</t>
  </si>
  <si>
    <t xml:space="preserve">0x0547fc65</t>
  </si>
  <si>
    <t xml:space="preserve">0x11f5e3ee</t>
  </si>
  <si>
    <t xml:space="preserve">0x11f202fc</t>
  </si>
  <si>
    <t xml:space="preserve">0x02f73858</t>
  </si>
  <si>
    <t xml:space="preserve">0x11f5e30f</t>
  </si>
  <si>
    <t xml:space="preserve">0x11f5a8bb</t>
  </si>
  <si>
    <t xml:space="preserve">0x054e47f5</t>
  </si>
  <si>
    <t xml:space="preserve">0x0549a62a</t>
  </si>
  <si>
    <t xml:space="preserve">0xdd86d5ba</t>
  </si>
  <si>
    <t xml:space="preserve">0x69d9f4d0</t>
  </si>
  <si>
    <t xml:space="preserve">0xdd86975b</t>
  </si>
  <si>
    <t xml:space="preserve">0x0d3c9cfe</t>
  </si>
  <si>
    <t xml:space="preserve">0x11f5e30d</t>
  </si>
  <si>
    <t xml:space="preserve">0x0300cb11</t>
  </si>
  <si>
    <t xml:space="preserve">0x106adc89</t>
  </si>
  <si>
    <t xml:space="preserve">0x11f5bb63</t>
  </si>
  <si>
    <t xml:space="preserve">0x69da5539</t>
  </si>
  <si>
    <t xml:space="preserve">0xdd869b8b</t>
  </si>
  <si>
    <t xml:space="preserve">0x092b96c0</t>
  </si>
  <si>
    <t xml:space="preserve">0x11f205cf</t>
  </si>
  <si>
    <t xml:space="preserve">0x106bd501</t>
  </si>
  <si>
    <t xml:space="preserve">0x0920cd4a</t>
  </si>
  <si>
    <t xml:space="preserve">0x054e67fd</t>
  </si>
  <si>
    <t xml:space="preserve">0x10a37804</t>
  </si>
  <si>
    <t xml:space="preserve">0x106afa5a</t>
  </si>
  <si>
    <t xml:space="preserve">0x106afade</t>
  </si>
  <si>
    <t xml:space="preserve">0x106ae981</t>
  </si>
  <si>
    <t xml:space="preserve">0x106ad1a3</t>
  </si>
  <si>
    <t xml:space="preserve">0x06ddabe3</t>
  </si>
  <si>
    <t xml:space="preserve">0x10a36448</t>
  </si>
  <si>
    <t xml:space="preserve">0x10a36538</t>
  </si>
  <si>
    <t xml:space="preserve">0xdd86d626</t>
  </si>
  <si>
    <t xml:space="preserve">0x054e3320</t>
  </si>
  <si>
    <t xml:space="preserve">0x69da6552</t>
  </si>
  <si>
    <t xml:space="preserve">0x69d9f5ab</t>
  </si>
  <si>
    <t xml:space="preserve">0x106afa96</t>
  </si>
  <si>
    <t xml:space="preserve">0x69d9ea53</t>
  </si>
  <si>
    <t xml:space="preserve">0x69d9f4c3</t>
  </si>
  <si>
    <t xml:space="preserve">0x10a379af</t>
  </si>
  <si>
    <t xml:space="preserve">0x092b96c7</t>
  </si>
  <si>
    <t xml:space="preserve">0xdd1b6f1c</t>
  </si>
  <si>
    <t xml:space="preserve">0x055651aa</t>
  </si>
  <si>
    <t xml:space="preserve">0x69d9ed62</t>
  </si>
  <si>
    <t xml:space="preserve">0xdd86acdc</t>
  </si>
  <si>
    <t xml:space="preserve">0x0d3c856a</t>
  </si>
  <si>
    <t xml:space="preserve">0xdd869ba9</t>
  </si>
  <si>
    <t xml:space="preserve">0xdd8696ca</t>
  </si>
  <si>
    <t xml:space="preserve">0x0d3ca100</t>
  </si>
  <si>
    <t xml:space="preserve">0xdd4ee30f</t>
  </si>
  <si>
    <t xml:space="preserve">0x69da54ff</t>
  </si>
  <si>
    <t xml:space="preserve">0x69d9f4f7</t>
  </si>
  <si>
    <t xml:space="preserve">0x69d9fc37</t>
  </si>
  <si>
    <t xml:space="preserve">0x0302652e</t>
  </si>
  <si>
    <t xml:space="preserve">0x0d3cda14</t>
  </si>
  <si>
    <t xml:space="preserve">0x054a25b1</t>
  </si>
  <si>
    <t xml:space="preserve">0xdd1b8da0</t>
  </si>
  <si>
    <t xml:space="preserve">0x0fed5b11</t>
  </si>
  <si>
    <t xml:space="preserve">0x11f5e3d4</t>
  </si>
  <si>
    <t xml:space="preserve">0x0549bac4</t>
  </si>
  <si>
    <t xml:space="preserve">0x11f1feb4</t>
  </si>
  <si>
    <t xml:space="preserve">0x10a364d6</t>
  </si>
  <si>
    <t xml:space="preserve">0x055651b5</t>
  </si>
  <si>
    <t xml:space="preserve">0x69da0e43</t>
  </si>
  <si>
    <t xml:space="preserve">0xdd869fcf</t>
  </si>
  <si>
    <t xml:space="preserve">0xdd4eeceb</t>
  </si>
  <si>
    <t xml:space="preserve">0x0d3c7a2a</t>
  </si>
  <si>
    <t xml:space="preserve">0xffcc1c0f</t>
  </si>
  <si>
    <t xml:space="preserve">0x11f5a9e4</t>
  </si>
  <si>
    <t xml:space="preserve">0x69d9ef80</t>
  </si>
  <si>
    <t xml:space="preserve">0x69da53d0</t>
  </si>
  <si>
    <t xml:space="preserve">0x69d9f4e4</t>
  </si>
  <si>
    <t xml:space="preserve">0x0300c83a</t>
  </si>
  <si>
    <t xml:space="preserve">0x69d9ed9c</t>
  </si>
  <si>
    <t xml:space="preserve">0xdd4ee3bd</t>
  </si>
  <si>
    <t xml:space="preserve">0x054e3794</t>
  </si>
  <si>
    <t xml:space="preserve">0x11f1fc50</t>
  </si>
  <si>
    <t xml:space="preserve">0x11f5a98c</t>
  </si>
  <si>
    <t xml:space="preserve">0x0d3e24e7</t>
  </si>
  <si>
    <t xml:space="preserve">0x0301c189</t>
  </si>
  <si>
    <t xml:space="preserve">0xdd869baa</t>
  </si>
  <si>
    <t xml:space="preserve">0xdd86c8ff</t>
  </si>
  <si>
    <t xml:space="preserve">0x0d3cb005</t>
  </si>
  <si>
    <t xml:space="preserve">0xdd86e768</t>
  </si>
  <si>
    <t xml:space="preserve">0x054e2c75</t>
  </si>
  <si>
    <t xml:space="preserve">0x0306490b</t>
  </si>
  <si>
    <t xml:space="preserve">0xdd86a0b2</t>
  </si>
  <si>
    <t xml:space="preserve">0x69d9f637</t>
  </si>
  <si>
    <t xml:space="preserve">0x0d3cd803</t>
  </si>
  <si>
    <t xml:space="preserve">0xdd1b6e80</t>
  </si>
  <si>
    <t xml:space="preserve">0x11f5a94a</t>
  </si>
  <si>
    <t xml:space="preserve">0x0fed54d8</t>
  </si>
  <si>
    <t xml:space="preserve">0x0d3ca103</t>
  </si>
  <si>
    <t xml:space="preserve">0x0d3c9019</t>
  </si>
  <si>
    <t xml:space="preserve">0xdd869a6f</t>
  </si>
  <si>
    <t xml:space="preserve">0xdd1b7120</t>
  </si>
  <si>
    <t xml:space="preserve">0x0fed658b</t>
  </si>
  <si>
    <t xml:space="preserve">0x11f5bc4f</t>
  </si>
  <si>
    <t xml:space="preserve">ODT_Ustk-84-Ulkenboken-450</t>
  </si>
  <si>
    <t xml:space="preserve">0x077f8d7a</t>
  </si>
  <si>
    <t xml:space="preserve">0x0fed76a6</t>
  </si>
  <si>
    <t xml:space="preserve">ODT_Ustk-75-Kokpekty-450</t>
  </si>
  <si>
    <t xml:space="preserve">0x0fed5ed9</t>
  </si>
  <si>
    <t xml:space="preserve">ODT_Ustk-79-Kokzhaik-450</t>
  </si>
  <si>
    <t xml:space="preserve">0x0fed6180</t>
  </si>
  <si>
    <t xml:space="preserve">0x0fed6174</t>
  </si>
  <si>
    <t xml:space="preserve">0x0931c09c</t>
  </si>
  <si>
    <t xml:space="preserve">0x69d9f642</t>
  </si>
  <si>
    <t xml:space="preserve">ODT_Ustk-81-Palatsy-450</t>
  </si>
  <si>
    <t xml:space="preserve">0xdd869661</t>
  </si>
  <si>
    <t xml:space="preserve">0xdd86963b</t>
  </si>
  <si>
    <t xml:space="preserve">0x0fed634f</t>
  </si>
  <si>
    <t xml:space="preserve">0x0fed521e</t>
  </si>
  <si>
    <t xml:space="preserve">0x0fed6546</t>
  </si>
  <si>
    <t xml:space="preserve">0x0fed4d3d</t>
  </si>
  <si>
    <t xml:space="preserve">0x69da64a6</t>
  </si>
  <si>
    <t xml:space="preserve">0xdd8696b7</t>
  </si>
  <si>
    <t xml:space="preserve">0x69da0bdb</t>
  </si>
  <si>
    <t xml:space="preserve">0xdd869529</t>
  </si>
  <si>
    <t xml:space="preserve">0x69d9fc60</t>
  </si>
  <si>
    <t xml:space="preserve">0xdd8699ec</t>
  </si>
  <si>
    <t xml:space="preserve">0x09a2391b</t>
  </si>
  <si>
    <t xml:space="preserve">0x80ea6dbc</t>
  </si>
  <si>
    <t xml:space="preserve">0x0fed633d</t>
  </si>
  <si>
    <t xml:space="preserve">0x69da64ba</t>
  </si>
  <si>
    <t xml:space="preserve">0xdd8696a3</t>
  </si>
  <si>
    <t xml:space="preserve">0x02f74090</t>
  </si>
  <si>
    <t xml:space="preserve">ODT_Ustk-82-Jumba-450</t>
  </si>
  <si>
    <t xml:space="preserve">0x02f96e03</t>
  </si>
  <si>
    <t xml:space="preserve">0x02f976b6</t>
  </si>
  <si>
    <t xml:space="preserve">0x805fb9ac</t>
  </si>
  <si>
    <t xml:space="preserve">0x69d9e78a</t>
  </si>
  <si>
    <t xml:space="preserve">ODT_Ustk-77-Kuygan-450</t>
  </si>
  <si>
    <t xml:space="preserve">0x106ae7fa</t>
  </si>
  <si>
    <t xml:space="preserve">0x69da655f</t>
  </si>
  <si>
    <t xml:space="preserve">0x0d3c7431</t>
  </si>
  <si>
    <t xml:space="preserve">0x0d3c86dc</t>
  </si>
  <si>
    <t xml:space="preserve">0x80089d9f</t>
  </si>
  <si>
    <t xml:space="preserve">0xdd8696a1</t>
  </si>
  <si>
    <t xml:space="preserve">0x0fed632f</t>
  </si>
  <si>
    <t xml:space="preserve">0x0fed630d</t>
  </si>
  <si>
    <t xml:space="preserve">0x0d3c77d0</t>
  </si>
  <si>
    <t xml:space="preserve">0x0d3cafb9</t>
  </si>
  <si>
    <t xml:space="preserve">0x0d3caf9f</t>
  </si>
  <si>
    <t xml:space="preserve">0x69da1ed8</t>
  </si>
  <si>
    <t xml:space="preserve">0x0d3ca520</t>
  </si>
  <si>
    <t xml:space="preserve">0x0fed6338</t>
  </si>
  <si>
    <t xml:space="preserve">0x0d3cb0a9</t>
  </si>
  <si>
    <t xml:space="preserve">0x0301a9ed</t>
  </si>
  <si>
    <t xml:space="preserve">0x0990aad6</t>
  </si>
  <si>
    <t xml:space="preserve">OODT_Ustk-24-Auezova-450</t>
  </si>
  <si>
    <t xml:space="preserve">0x0fed8d07</t>
  </si>
  <si>
    <t xml:space="preserve">ODT_Ustk-22-Zhangiz-450</t>
  </si>
  <si>
    <t xml:space="preserve">0x030195bc</t>
  </si>
  <si>
    <t xml:space="preserve">0x0fed5ae9</t>
  </si>
  <si>
    <t xml:space="preserve">ODT_Ustk-32-Sulusary-450</t>
  </si>
  <si>
    <t xml:space="preserve">0x0301dc43</t>
  </si>
  <si>
    <t xml:space="preserve">0xdd869907</t>
  </si>
  <si>
    <t xml:space="preserve">ODT_Ustk-23-Shar-450</t>
  </si>
  <si>
    <t xml:space="preserve">0x69bfb069</t>
  </si>
  <si>
    <t xml:space="preserve">0x0547bed0</t>
  </si>
  <si>
    <t xml:space="preserve">0x0fed5af4</t>
  </si>
  <si>
    <t xml:space="preserve">0x03022f1a</t>
  </si>
  <si>
    <t xml:space="preserve">0x0fed6402</t>
  </si>
  <si>
    <t xml:space="preserve">ODT_Ustk-59-Kalbatau-450</t>
  </si>
  <si>
    <t xml:space="preserve">0x0547f0f8</t>
  </si>
  <si>
    <t xml:space="preserve">0x1203f230</t>
  </si>
  <si>
    <t xml:space="preserve">0xdd86b78e</t>
  </si>
  <si>
    <t xml:space="preserve">ODT_Ustk-70-Uschbeek-450</t>
  </si>
  <si>
    <t xml:space="preserve">0x099640f4</t>
  </si>
  <si>
    <t xml:space="preserve">0x69d9ede5</t>
  </si>
  <si>
    <t xml:space="preserve">0x0d1051a3</t>
  </si>
  <si>
    <t xml:space="preserve">0x0fed5217</t>
  </si>
  <si>
    <t xml:space="preserve">0x0301b816</t>
  </si>
  <si>
    <t xml:space="preserve">0x0300e145</t>
  </si>
  <si>
    <t xml:space="preserve">0x0301cf2e</t>
  </si>
  <si>
    <t xml:space="preserve">0x0547eede</t>
  </si>
  <si>
    <t xml:space="preserve">0x02fdb895</t>
  </si>
  <si>
    <t xml:space="preserve">0x06d8bd44</t>
  </si>
  <si>
    <t xml:space="preserve">0xdd4e0b23</t>
  </si>
  <si>
    <t xml:space="preserve">0x0993f065</t>
  </si>
  <si>
    <t xml:space="preserve">0x0fed45b4</t>
  </si>
  <si>
    <t xml:space="preserve">0x1203f16d</t>
  </si>
  <si>
    <t xml:space="preserve">0xffcc1811</t>
  </si>
  <si>
    <t xml:space="preserve">0xffcc180a</t>
  </si>
  <si>
    <t xml:space="preserve">0x0301b6fb</t>
  </si>
  <si>
    <t xml:space="preserve">0x1203fc74</t>
  </si>
  <si>
    <t xml:space="preserve">0x05492f2e</t>
  </si>
  <si>
    <t xml:space="preserve">0x0fed5218</t>
  </si>
  <si>
    <t xml:space="preserve">0x69bfab53</t>
  </si>
  <si>
    <t xml:space="preserve">0xdd4ee3e0</t>
  </si>
  <si>
    <t xml:space="preserve">0x02f3a3b5</t>
  </si>
  <si>
    <t xml:space="preserve">0x076b3c6c</t>
  </si>
  <si>
    <t xml:space="preserve">0xdd86a476</t>
  </si>
  <si>
    <t xml:space="preserve">0x11f57a9a</t>
  </si>
  <si>
    <t xml:space="preserve">0x0fed6487</t>
  </si>
  <si>
    <t xml:space="preserve">0x06d707af</t>
  </si>
  <si>
    <t xml:space="preserve">0x0fed64c8</t>
  </si>
  <si>
    <t xml:space="preserve">0x0d3cba6a</t>
  </si>
  <si>
    <t xml:space="preserve">0x0d3c7c26</t>
  </si>
  <si>
    <t xml:space="preserve">0x0d3c867d</t>
  </si>
  <si>
    <t xml:space="preserve">0x05495831</t>
  </si>
  <si>
    <t xml:space="preserve">0x0d3c89bb</t>
  </si>
  <si>
    <t xml:space="preserve">0xffcc17ed</t>
  </si>
  <si>
    <t xml:space="preserve">0xffcc1b2f</t>
  </si>
  <si>
    <t xml:space="preserve">0x093da4ec</t>
  </si>
  <si>
    <t xml:space="preserve">0x69da5860</t>
  </si>
  <si>
    <t xml:space="preserve">0x0fed6470</t>
  </si>
  <si>
    <t xml:space="preserve">0x0fed6275</t>
  </si>
  <si>
    <t xml:space="preserve">0x093c44b1</t>
  </si>
  <si>
    <t xml:space="preserve">0x0547e8bc</t>
  </si>
  <si>
    <t xml:space="preserve">0x02f4cfd3</t>
  </si>
  <si>
    <t xml:space="preserve">0x10649d51</t>
  </si>
  <si>
    <t xml:space="preserve">0xdd86a297</t>
  </si>
  <si>
    <t xml:space="preserve">0xffcc1ae3</t>
  </si>
  <si>
    <t xml:space="preserve">0x0d3eaa31</t>
  </si>
  <si>
    <t xml:space="preserve">0xdd8699cc</t>
  </si>
  <si>
    <t xml:space="preserve">0xdd868bf2</t>
  </si>
  <si>
    <t xml:space="preserve">0x1064e8e5</t>
  </si>
  <si>
    <t xml:space="preserve">0x0301db60</t>
  </si>
  <si>
    <t xml:space="preserve">0x05493fca</t>
  </si>
  <si>
    <t xml:space="preserve">0x10a3d5a6</t>
  </si>
  <si>
    <t xml:space="preserve">0x0fed511f</t>
  </si>
  <si>
    <t xml:space="preserve">0x093c2243</t>
  </si>
  <si>
    <t xml:space="preserve">0x0d13f963</t>
  </si>
  <si>
    <t xml:space="preserve">0x1203fd11</t>
  </si>
  <si>
    <t xml:space="preserve">0x076b3c7c</t>
  </si>
  <si>
    <t xml:space="preserve">0xdd4ee3a3</t>
  </si>
  <si>
    <t xml:space="preserve">0x05496357</t>
  </si>
  <si>
    <t xml:space="preserve">0xffcc21a8</t>
  </si>
  <si>
    <t xml:space="preserve">0x10a37435</t>
  </si>
  <si>
    <t xml:space="preserve">0x10a36191</t>
  </si>
  <si>
    <t xml:space="preserve">0x02f34866</t>
  </si>
  <si>
    <t xml:space="preserve">0x0fed8f97</t>
  </si>
  <si>
    <t xml:space="preserve">0x1203ee88</t>
  </si>
  <si>
    <t xml:space="preserve">0x0d3caf43</t>
  </si>
  <si>
    <t xml:space="preserve">0x0d3caf44</t>
  </si>
  <si>
    <t xml:space="preserve">0x11f57b68</t>
  </si>
  <si>
    <t xml:space="preserve">0x02f3a422</t>
  </si>
  <si>
    <t xml:space="preserve">0x0d3e9c6f</t>
  </si>
  <si>
    <t xml:space="preserve">0x0da09717</t>
  </si>
  <si>
    <t xml:space="preserve">0x0d3cac18</t>
  </si>
  <si>
    <t xml:space="preserve">0xdd86abf0</t>
  </si>
  <si>
    <t xml:space="preserve">0x80bda709</t>
  </si>
  <si>
    <t xml:space="preserve">0x078e8522</t>
  </si>
  <si>
    <t xml:space="preserve">0x0fed5abc</t>
  </si>
  <si>
    <t xml:space="preserve">0x0301c582</t>
  </si>
  <si>
    <t xml:space="preserve">0x0301b743</t>
  </si>
  <si>
    <t xml:space="preserve">0x0990aab8</t>
  </si>
  <si>
    <t xml:space="preserve">0xdd868ea4</t>
  </si>
  <si>
    <t xml:space="preserve">0x09963d74</t>
  </si>
  <si>
    <t xml:space="preserve">0x02fdcfa0</t>
  </si>
  <si>
    <t xml:space="preserve">0xdd86e13f</t>
  </si>
  <si>
    <t xml:space="preserve">0x0fed6578</t>
  </si>
  <si>
    <t xml:space="preserve">0x0547cf5f</t>
  </si>
  <si>
    <t xml:space="preserve">0x0fed64cc</t>
  </si>
  <si>
    <t xml:space="preserve">0x0fed629b</t>
  </si>
  <si>
    <t xml:space="preserve">0x0fed4da1</t>
  </si>
  <si>
    <t xml:space="preserve">0xdd4dfa45</t>
  </si>
  <si>
    <t xml:space="preserve">0x0d10503a</t>
  </si>
  <si>
    <t xml:space="preserve">0xdd4e0aef</t>
  </si>
  <si>
    <t xml:space="preserve">0x0fed8f76</t>
  </si>
  <si>
    <t xml:space="preserve">0x0da093bb</t>
  </si>
  <si>
    <t xml:space="preserve">0x0301b626</t>
  </si>
  <si>
    <t xml:space="preserve">0x0fed641e</t>
  </si>
  <si>
    <t xml:space="preserve">0x0fed61e2</t>
  </si>
  <si>
    <t xml:space="preserve">0x0301c04c</t>
  </si>
  <si>
    <t xml:space="preserve">0x0fed6248</t>
  </si>
  <si>
    <t xml:space="preserve">0xdd869805</t>
  </si>
  <si>
    <t xml:space="preserve">0x09963d47</t>
  </si>
  <si>
    <t xml:space="preserve">0x0d10515d</t>
  </si>
  <si>
    <t xml:space="preserve">ODT_Ustk-30-Arshaly-450</t>
  </si>
  <si>
    <t xml:space="preserve">0xdd869766</t>
  </si>
  <si>
    <t xml:space="preserve">0x0fed6201</t>
  </si>
  <si>
    <t xml:space="preserve">0x0da093a1</t>
  </si>
  <si>
    <t xml:space="preserve">0x02f3457a</t>
  </si>
  <si>
    <t xml:space="preserve">0xdd86965e</t>
  </si>
  <si>
    <t xml:space="preserve">0x09963de9</t>
  </si>
  <si>
    <t xml:space="preserve">0x05493d71</t>
  </si>
  <si>
    <t xml:space="preserve">0x0d140e07</t>
  </si>
  <si>
    <t xml:space="preserve">0xdd4ee44b</t>
  </si>
  <si>
    <t xml:space="preserve">0x0301dbf6</t>
  </si>
  <si>
    <t xml:space="preserve">0x076b557d</t>
  </si>
  <si>
    <t xml:space="preserve">0x0301d3cb</t>
  </si>
  <si>
    <t xml:space="preserve">0x0549c41c</t>
  </si>
  <si>
    <t xml:space="preserve">0x054919d1</t>
  </si>
  <si>
    <t xml:space="preserve">0x0301cf9d</t>
  </si>
  <si>
    <t xml:space="preserve">0x06d8bd49</t>
  </si>
  <si>
    <t xml:space="preserve">0x1203f3d5</t>
  </si>
  <si>
    <t xml:space="preserve">0x0fed5836</t>
  </si>
  <si>
    <t xml:space="preserve">0x69da3423</t>
  </si>
  <si>
    <t xml:space="preserve">0x0301b06c</t>
  </si>
  <si>
    <t xml:space="preserve">0x0301a48a</t>
  </si>
  <si>
    <t xml:space="preserve">0x0fed6408</t>
  </si>
  <si>
    <t xml:space="preserve">0xdd868ee0</t>
  </si>
  <si>
    <t xml:space="preserve">0x0301c121</t>
  </si>
  <si>
    <t xml:space="preserve">0xffcc190a</t>
  </si>
  <si>
    <t xml:space="preserve">0x02f4c568</t>
  </si>
  <si>
    <t xml:space="preserve">0x0547fa30</t>
  </si>
  <si>
    <t xml:space="preserve">0x05493c60</t>
  </si>
  <si>
    <t xml:space="preserve">0x0301a49d</t>
  </si>
  <si>
    <t xml:space="preserve">0x0fed64a7</t>
  </si>
  <si>
    <t xml:space="preserve">0xffcc1c80</t>
  </si>
  <si>
    <t xml:space="preserve">0x093c43c7</t>
  </si>
  <si>
    <t xml:space="preserve">0x0fed55a2</t>
  </si>
  <si>
    <t xml:space="preserve">0x0547f45b</t>
  </si>
  <si>
    <t xml:space="preserve">0xffcc1cb6</t>
  </si>
  <si>
    <t xml:space="preserve">0x1203fd03</t>
  </si>
  <si>
    <t xml:space="preserve">0x02f43b6d</t>
  </si>
  <si>
    <t xml:space="preserve">0x0301d977</t>
  </si>
  <si>
    <t xml:space="preserve">0x09963525</t>
  </si>
  <si>
    <t xml:space="preserve">0x076ace9d</t>
  </si>
  <si>
    <t xml:space="preserve">0x0549a7ac</t>
  </si>
  <si>
    <t xml:space="preserve">0x0fed5a85</t>
  </si>
  <si>
    <t xml:space="preserve">0x0547bddd</t>
  </si>
  <si>
    <t xml:space="preserve">0x07993a16</t>
  </si>
  <si>
    <t xml:space="preserve">0x02f5a8a2</t>
  </si>
  <si>
    <t xml:space="preserve">0xdd86960b</t>
  </si>
  <si>
    <t xml:space="preserve">0x80136ede</t>
  </si>
  <si>
    <t xml:space="preserve">0xdd86a4a1</t>
  </si>
  <si>
    <t xml:space="preserve">0x80959b2b</t>
  </si>
  <si>
    <t xml:space="preserve">0xffcc1adf</t>
  </si>
  <si>
    <t xml:space="preserve">0x093c361a</t>
  </si>
  <si>
    <t xml:space="preserve">0x0547f0fa</t>
  </si>
  <si>
    <t xml:space="preserve">0x0fed4d5d</t>
  </si>
  <si>
    <t xml:space="preserve">0x09964172</t>
  </si>
  <si>
    <t xml:space="preserve">0x0758c308</t>
  </si>
  <si>
    <t xml:space="preserve">0x0301d2c2</t>
  </si>
  <si>
    <t xml:space="preserve">0xdd86b770</t>
  </si>
  <si>
    <t xml:space="preserve">0x1203eeac</t>
  </si>
  <si>
    <t xml:space="preserve">0x0300e20d</t>
  </si>
  <si>
    <t xml:space="preserve">0x0300cf05</t>
  </si>
  <si>
    <t xml:space="preserve">0xdd86b9fc</t>
  </si>
  <si>
    <t xml:space="preserve">0x02fdb78d</t>
  </si>
  <si>
    <t xml:space="preserve">0xdd86b422</t>
  </si>
  <si>
    <t xml:space="preserve">0x0301cd35</t>
  </si>
  <si>
    <t xml:space="preserve">0x0300d696</t>
  </si>
  <si>
    <t xml:space="preserve">0x0fed512e</t>
  </si>
  <si>
    <t xml:space="preserve">0x02f870ad</t>
  </si>
  <si>
    <t xml:space="preserve">0xffcc1b0e</t>
  </si>
  <si>
    <t xml:space="preserve">0x0301dcc3</t>
  </si>
  <si>
    <t xml:space="preserve">0x0301a4ab</t>
  </si>
  <si>
    <t xml:space="preserve">0x0547d58f</t>
  </si>
  <si>
    <t xml:space="preserve">0x05493b5f</t>
  </si>
  <si>
    <t xml:space="preserve">0x0301b8a4</t>
  </si>
  <si>
    <t xml:space="preserve">0x0301c0c9</t>
  </si>
  <si>
    <t xml:space="preserve">0x0301c117</t>
  </si>
  <si>
    <t xml:space="preserve">0xdd849246</t>
  </si>
  <si>
    <t xml:space="preserve">0x0d140db0</t>
  </si>
  <si>
    <t xml:space="preserve">0x0301a42c</t>
  </si>
  <si>
    <t xml:space="preserve">0x0fed65be</t>
  </si>
  <si>
    <t xml:space="preserve">0x0547d2d6</t>
  </si>
  <si>
    <t xml:space="preserve">0xdd86aaac</t>
  </si>
  <si>
    <t xml:space="preserve">0x07992b70</t>
  </si>
  <si>
    <t xml:space="preserve">0x09963bb9</t>
  </si>
  <si>
    <t xml:space="preserve">0xdd8698ff</t>
  </si>
  <si>
    <t xml:space="preserve">0x0547e56b</t>
  </si>
  <si>
    <t xml:space="preserve">0x054915af</t>
  </si>
  <si>
    <t xml:space="preserve">0x0fed6528</t>
  </si>
  <si>
    <t xml:space="preserve">0x02f5a758</t>
  </si>
  <si>
    <t xml:space="preserve">0x0d3e5917</t>
  </si>
  <si>
    <t xml:space="preserve">0xffcc18e9</t>
  </si>
  <si>
    <t xml:space="preserve">0x05495295</t>
  </si>
  <si>
    <t xml:space="preserve">0x0301b83d</t>
  </si>
  <si>
    <t xml:space="preserve">0x02f43cd4</t>
  </si>
  <si>
    <t xml:space="preserve">0x076acde9</t>
  </si>
  <si>
    <t xml:space="preserve">0x1203f252</t>
  </si>
  <si>
    <t xml:space="preserve">0x06d71d8d</t>
  </si>
  <si>
    <t xml:space="preserve">0x0301db6b</t>
  </si>
  <si>
    <t xml:space="preserve">0x0548f989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</si>
</sst>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General"/>
    <numFmt numFmtId="167" formatCode="@"/>
    <numFmt numFmtId="168" formatCode="0;\-0;;@"/>
  </numFmts>
  <fonts count="17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204"/>
    </font>
    <font>
      <sz val="10"/>
      <name val="Arial"/>
      <family val="2"/>
      <charset val="204"/>
    </font>
    <font>
      <sz val="10"/>
      <name val="Arial Cyr"/>
      <family val="0"/>
      <charset val="204"/>
    </font>
    <font>
      <b val="true"/>
      <sz val="10"/>
      <name val="Arial"/>
      <family val="2"/>
      <charset val="204"/>
    </font>
    <font>
      <sz val="8"/>
      <name val="Times New Roman"/>
      <family val="1"/>
      <charset val="204"/>
    </font>
    <font>
      <sz val="8"/>
      <color theme="1"/>
      <name val="Times New Roman"/>
      <family val="1"/>
      <charset val="204"/>
    </font>
    <font>
      <b val="true"/>
      <sz val="8"/>
      <name val="Times New Roman"/>
      <family val="1"/>
      <charset val="204"/>
    </font>
    <font>
      <sz val="8"/>
      <color theme="1"/>
      <name val="Calibri"/>
      <family val="2"/>
      <charset val="204"/>
    </font>
    <font>
      <sz val="8"/>
      <name val="Arial"/>
      <family val="2"/>
      <charset val="204"/>
    </font>
    <font>
      <sz val="8"/>
      <name val="Arial Cyr"/>
      <family val="0"/>
      <charset val="204"/>
    </font>
    <font>
      <b val="true"/>
      <sz val="8"/>
      <name val="Arial Cyr"/>
      <family val="0"/>
      <charset val="204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FFFF99"/>
        <bgColor rgb="FFFFFFCC"/>
      </patternFill>
    </fill>
    <fill>
      <patternFill patternType="solid">
        <fgColor rgb="FF4472C4"/>
        <bgColor rgb="FF666699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</borders>
  <cellStyleXfs count="3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8" fillId="0" borderId="0" xfId="38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38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right" vertical="bottom" textRotation="9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" fillId="0" borderId="2" xfId="3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38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7" fontId="10" fillId="0" borderId="3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bottom" textRotation="90" wrapText="false" indent="0" shrinkToFit="false"/>
      <protection locked="false" hidden="false"/>
    </xf>
    <xf numFmtId="164" fontId="8" fillId="2" borderId="5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1" fillId="0" borderId="5" xfId="21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1" fillId="2" borderId="5" xfId="21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9" fillId="0" borderId="5" xfId="33" applyFont="true" applyBorder="true" applyAlignment="true" applyProtection="false">
      <alignment horizontal="left" vertical="center" textRotation="90" wrapText="false" indent="0" shrinkToFit="false"/>
      <protection locked="true" hidden="false"/>
    </xf>
    <xf numFmtId="164" fontId="8" fillId="0" borderId="5" xfId="38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9" fillId="0" borderId="5" xfId="2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8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5" xfId="3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3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9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90" wrapText="false" indent="0" shrinkToFit="false"/>
      <protection locked="true" hidden="false"/>
    </xf>
    <xf numFmtId="168" fontId="8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5" xfId="3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5" xfId="3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38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38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38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5" xfId="38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8" fillId="0" borderId="5" xfId="38" applyFont="true" applyBorder="true" applyAlignment="true" applyProtection="false">
      <alignment horizontal="left" vertical="bottom" textRotation="90" wrapText="false" indent="0" shrinkToFit="false"/>
      <protection locked="true" hidden="false"/>
    </xf>
    <xf numFmtId="164" fontId="8" fillId="0" borderId="5" xfId="38" applyFont="true" applyBorder="true" applyAlignment="true" applyProtection="false">
      <alignment horizontal="right" vertical="bottom" textRotation="90" wrapText="tru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8" fillId="0" borderId="5" xfId="3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0" borderId="5" xfId="3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5" xfId="3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5" xfId="3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3" borderId="5" xfId="3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5" xfId="3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5" xfId="3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38" applyFont="true" applyBorder="false" applyAlignment="true" applyProtection="false">
      <alignment horizontal="right" vertical="bottom" textRotation="90" wrapText="false" indent="0" shrinkToFit="false"/>
      <protection locked="true" hidden="false"/>
    </xf>
    <xf numFmtId="164" fontId="8" fillId="0" borderId="0" xfId="38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38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38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8" fillId="0" borderId="2" xfId="3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38" applyFont="true" applyBorder="false" applyAlignment="true" applyProtection="false">
      <alignment horizontal="center" vertical="center" textRotation="90" wrapText="false" indent="0" shrinkToFit="false"/>
      <protection locked="true" hidden="false"/>
    </xf>
    <xf numFmtId="164" fontId="8" fillId="3" borderId="4" xfId="3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5" xfId="3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4" xfId="3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5" xfId="3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0" xfId="3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2" xfId="3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9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5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5" xfId="33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10" xfId="20"/>
    <cellStyle name="Обычный 2" xfId="21"/>
    <cellStyle name="Обычный 2 2" xfId="22"/>
    <cellStyle name="Обычный 2 2 2" xfId="23"/>
    <cellStyle name="Обычный 2 3" xfId="24"/>
    <cellStyle name="Обычный 2 3 2" xfId="25"/>
    <cellStyle name="Обычный 2 4" xfId="26"/>
    <cellStyle name="Обычный 2 5" xfId="27"/>
    <cellStyle name="Обычный 3 2" xfId="28"/>
    <cellStyle name="Обычный 3 3" xfId="29"/>
    <cellStyle name="Обычный 3 4" xfId="30"/>
    <cellStyle name="Обычный 3 5" xfId="31"/>
    <cellStyle name="Обычный 3 6" xfId="32"/>
    <cellStyle name="Обычный 4" xfId="33"/>
    <cellStyle name="Обычный 4 2" xfId="34"/>
    <cellStyle name="Обычный 5 2" xfId="35"/>
    <cellStyle name="Обычный 5 3" xfId="36"/>
    <cellStyle name="Обычный 6 2" xfId="37"/>
    <cellStyle name="Обычный_колво абонентов на секторах Семей" xfId="38"/>
  </cellStyles>
  <dxfs count="6">
    <dxf>
      <font>
        <color rgb="FFFFFFFF"/>
      </font>
    </dxf>
    <dxf>
      <font>
        <color rgb="FFFFFF99"/>
      </font>
    </dxf>
    <dxf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 val="1"/>
        <color rgb="FF00000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4" activeCellId="0" sqref="E34"/>
    </sheetView>
  </sheetViews>
  <sheetFormatPr defaultColWidth="8.6796875" defaultRowHeight="12.75" zeroHeight="false" outlineLevelRow="0" outlineLevelCol="0"/>
  <cols>
    <col collapsed="false" customWidth="true" hidden="false" outlineLevel="0" max="2" min="2" style="0" width="16.29"/>
    <col collapsed="false" customWidth="true" hidden="false" outlineLevel="0" max="3" min="3" style="0" width="13.15"/>
    <col collapsed="false" customWidth="true" hidden="false" outlineLevel="0" max="4" min="4" style="1" width="12.86"/>
  </cols>
  <sheetData>
    <row r="3" customFormat="false" ht="28.5" hidden="false" customHeight="true" outlineLevel="0" collapsed="false">
      <c r="B3" s="2" t="s">
        <v>0</v>
      </c>
      <c r="C3" s="2"/>
      <c r="D3" s="2"/>
      <c r="E3" s="2"/>
      <c r="F3" s="2"/>
    </row>
    <row r="5" customFormat="false" ht="13.5" hidden="false" customHeight="true" outlineLevel="0" collapsed="false"/>
    <row r="6" customFormat="false" ht="27" hidden="false" customHeight="true" outlineLevel="0" collapsed="false">
      <c r="B6" s="3" t="s">
        <v>1</v>
      </c>
      <c r="C6" s="4" t="s">
        <v>2</v>
      </c>
      <c r="D6" s="5" t="s">
        <v>3</v>
      </c>
    </row>
    <row r="7" customFormat="false" ht="12.75" hidden="false" customHeight="false" outlineLevel="0" collapsed="false">
      <c r="B7" s="6" t="s">
        <v>4</v>
      </c>
      <c r="C7" s="7" t="n">
        <v>505</v>
      </c>
      <c r="D7" s="8" t="n">
        <v>505</v>
      </c>
    </row>
    <row r="8" customFormat="false" ht="12.75" hidden="false" customHeight="false" outlineLevel="0" collapsed="false">
      <c r="B8" s="6" t="s">
        <v>5</v>
      </c>
      <c r="C8" s="7" t="n">
        <f aca="false">'Ука 450'!F176</f>
        <v>721</v>
      </c>
      <c r="D8" s="8"/>
    </row>
    <row r="9" customFormat="false" ht="12.75" hidden="false" customHeight="false" outlineLevel="0" collapsed="false">
      <c r="B9" s="6" t="s">
        <v>6</v>
      </c>
      <c r="C9" s="7" t="n">
        <v>0</v>
      </c>
      <c r="D9" s="8" t="n">
        <v>0</v>
      </c>
    </row>
    <row r="10" customFormat="false" ht="12.75" hidden="false" customHeight="false" outlineLevel="0" collapsed="false">
      <c r="B10" s="6" t="s">
        <v>7</v>
      </c>
      <c r="C10" s="9" t="n">
        <v>0</v>
      </c>
      <c r="D10" s="8"/>
    </row>
    <row r="11" customFormat="false" ht="12.75" hidden="false" customHeight="false" outlineLevel="0" collapsed="false">
      <c r="B11" s="10" t="s">
        <v>8</v>
      </c>
      <c r="C11" s="11" t="n">
        <v>0</v>
      </c>
      <c r="D11" s="12" t="n">
        <v>0</v>
      </c>
    </row>
    <row r="12" customFormat="false" ht="13.5" hidden="false" customHeight="true" outlineLevel="0" collapsed="false">
      <c r="B12" s="13" t="s">
        <v>9</v>
      </c>
      <c r="C12" s="14" t="n">
        <f aca="false">SUM(C7:C11)</f>
        <v>1226</v>
      </c>
      <c r="D12" s="14"/>
    </row>
  </sheetData>
  <mergeCells count="4">
    <mergeCell ref="B3:F3"/>
    <mergeCell ref="D7:D8"/>
    <mergeCell ref="D9:D10"/>
    <mergeCell ref="C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X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ColWidth="9.1484375" defaultRowHeight="12.75" zeroHeight="false" outlineLevelRow="0" outlineLevelCol="0"/>
  <cols>
    <col collapsed="false" customWidth="true" hidden="false" outlineLevel="0" max="1" min="1" style="15" width="3.15"/>
    <col collapsed="false" customWidth="true" hidden="false" outlineLevel="0" max="2" min="2" style="15" width="13.71"/>
    <col collapsed="false" customWidth="true" hidden="false" outlineLevel="0" max="3" min="3" style="16" width="3.86"/>
    <col collapsed="false" customWidth="true" hidden="false" outlineLevel="0" max="4" min="4" style="15" width="3.86"/>
    <col collapsed="false" customWidth="true" hidden="false" outlineLevel="0" max="5" min="5" style="16" width="5.42"/>
    <col collapsed="false" customWidth="true" hidden="false" outlineLevel="0" max="6" min="6" style="15" width="7.86"/>
    <col collapsed="false" customWidth="true" hidden="false" outlineLevel="0" max="17" min="7" style="15" width="4.71"/>
    <col collapsed="false" customWidth="true" hidden="false" outlineLevel="0" max="51" min="18" style="17" width="4.71"/>
    <col collapsed="false" customWidth="true" hidden="false" outlineLevel="0" max="63" min="52" style="18" width="5.71"/>
    <col collapsed="false" customWidth="true" hidden="false" outlineLevel="0" max="64" min="64" style="17" width="4.71"/>
    <col collapsed="false" customWidth="true" hidden="false" outlineLevel="0" max="72" min="65" style="18" width="5.71"/>
    <col collapsed="false" customWidth="true" hidden="false" outlineLevel="0" max="73" min="73" style="17" width="4.71"/>
    <col collapsed="false" customWidth="true" hidden="false" outlineLevel="0" max="74" min="74" style="18" width="5.71"/>
    <col collapsed="false" customWidth="true" hidden="false" outlineLevel="0" max="76" min="75" style="17" width="4.71"/>
    <col collapsed="false" customWidth="false" hidden="false" outlineLevel="0" max="16384" min="77" style="17" width="9.14"/>
  </cols>
  <sheetData>
    <row r="1" customFormat="false" ht="13.5" hidden="false" customHeight="true" outlineLevel="0" collapsed="false">
      <c r="A1" s="15" t="s">
        <v>10</v>
      </c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M1" s="19"/>
      <c r="BN1" s="19"/>
      <c r="BO1" s="19"/>
      <c r="BP1" s="19"/>
      <c r="BQ1" s="19"/>
      <c r="BR1" s="19"/>
      <c r="BS1" s="19"/>
      <c r="BT1" s="19"/>
      <c r="BV1" s="19"/>
    </row>
    <row r="2" s="31" customFormat="true" ht="87" hidden="false" customHeight="true" outlineLevel="0" collapsed="false">
      <c r="A2" s="20" t="s">
        <v>11</v>
      </c>
      <c r="B2" s="21" t="s">
        <v>12</v>
      </c>
      <c r="C2" s="22" t="s">
        <v>13</v>
      </c>
      <c r="D2" s="23"/>
      <c r="E2" s="24" t="s">
        <v>14</v>
      </c>
      <c r="F2" s="25" t="s">
        <v>15</v>
      </c>
      <c r="G2" s="24" t="s">
        <v>16</v>
      </c>
      <c r="H2" s="24"/>
      <c r="I2" s="24"/>
      <c r="J2" s="24"/>
      <c r="K2" s="24" t="s">
        <v>17</v>
      </c>
      <c r="L2" s="24" t="s">
        <v>18</v>
      </c>
      <c r="M2" s="24" t="s">
        <v>19</v>
      </c>
      <c r="N2" s="24" t="s">
        <v>20</v>
      </c>
      <c r="O2" s="24"/>
      <c r="P2" s="24"/>
      <c r="Q2" s="24"/>
      <c r="R2" s="24"/>
      <c r="S2" s="22" t="s">
        <v>21</v>
      </c>
      <c r="T2" s="22" t="s">
        <v>22</v>
      </c>
      <c r="U2" s="24" t="s">
        <v>23</v>
      </c>
      <c r="V2" s="24"/>
      <c r="W2" s="24"/>
      <c r="X2" s="24" t="s">
        <v>24</v>
      </c>
      <c r="Y2" s="24"/>
      <c r="Z2" s="24"/>
      <c r="AA2" s="22" t="s">
        <v>25</v>
      </c>
      <c r="AB2" s="22" t="s">
        <v>26</v>
      </c>
      <c r="AC2" s="22"/>
      <c r="AD2" s="24" t="s">
        <v>27</v>
      </c>
      <c r="AE2" s="24" t="s">
        <v>28</v>
      </c>
      <c r="AF2" s="24"/>
      <c r="AG2" s="24" t="s">
        <v>29</v>
      </c>
      <c r="AH2" s="24"/>
      <c r="AI2" s="24" t="s">
        <v>30</v>
      </c>
      <c r="AJ2" s="24"/>
      <c r="AK2" s="26" t="s">
        <v>31</v>
      </c>
      <c r="AL2" s="24" t="s">
        <v>32</v>
      </c>
      <c r="AM2" s="24"/>
      <c r="AN2" s="24" t="s">
        <v>33</v>
      </c>
      <c r="AO2" s="24"/>
      <c r="AP2" s="24"/>
      <c r="AQ2" s="24" t="s">
        <v>34</v>
      </c>
      <c r="AR2" s="24"/>
      <c r="AS2" s="24" t="s">
        <v>35</v>
      </c>
      <c r="AT2" s="24"/>
      <c r="AU2" s="24" t="s">
        <v>36</v>
      </c>
      <c r="AV2" s="24"/>
      <c r="AW2" s="24" t="s">
        <v>37</v>
      </c>
      <c r="AX2" s="24"/>
      <c r="AY2" s="24"/>
      <c r="AZ2" s="27" t="s">
        <v>38</v>
      </c>
      <c r="BA2" s="27"/>
      <c r="BB2" s="27"/>
      <c r="BC2" s="27"/>
      <c r="BD2" s="27"/>
      <c r="BE2" s="27"/>
      <c r="BF2" s="27"/>
      <c r="BG2" s="27"/>
      <c r="BH2" s="27"/>
      <c r="BI2" s="27"/>
      <c r="BJ2" s="28" t="s">
        <v>39</v>
      </c>
      <c r="BK2" s="28" t="s">
        <v>40</v>
      </c>
      <c r="BL2" s="24" t="s">
        <v>41</v>
      </c>
      <c r="BM2" s="28" t="s">
        <v>42</v>
      </c>
      <c r="BN2" s="28" t="s">
        <v>43</v>
      </c>
      <c r="BO2" s="28" t="s">
        <v>44</v>
      </c>
      <c r="BP2" s="28" t="s">
        <v>45</v>
      </c>
      <c r="BQ2" s="28" t="s">
        <v>45</v>
      </c>
      <c r="BR2" s="28" t="s">
        <v>46</v>
      </c>
      <c r="BS2" s="28" t="s">
        <v>46</v>
      </c>
      <c r="BT2" s="28" t="s">
        <v>46</v>
      </c>
      <c r="BU2" s="24" t="s">
        <v>47</v>
      </c>
      <c r="BV2" s="28" t="s">
        <v>48</v>
      </c>
      <c r="BW2" s="29" t="s">
        <v>49</v>
      </c>
      <c r="BX2" s="30"/>
    </row>
    <row r="3" s="31" customFormat="true" ht="72.75" hidden="false" customHeight="true" outlineLevel="0" collapsed="false">
      <c r="A3" s="20"/>
      <c r="B3" s="21"/>
      <c r="C3" s="21"/>
      <c r="D3" s="21"/>
      <c r="E3" s="21"/>
      <c r="F3" s="21"/>
      <c r="G3" s="32" t="n">
        <v>77232216999</v>
      </c>
      <c r="H3" s="32" t="n">
        <v>77232519487</v>
      </c>
      <c r="I3" s="32" t="n">
        <v>77232529999</v>
      </c>
      <c r="J3" s="32" t="n">
        <v>77232544999</v>
      </c>
      <c r="K3" s="33" t="n">
        <v>77232296999</v>
      </c>
      <c r="L3" s="33" t="n">
        <v>77232789999</v>
      </c>
      <c r="M3" s="33" t="n">
        <v>77233155999</v>
      </c>
      <c r="N3" s="33" t="n">
        <v>77233235999</v>
      </c>
      <c r="O3" s="33" t="n">
        <v>77233239999</v>
      </c>
      <c r="P3" s="33" t="n">
        <v>772332772399</v>
      </c>
      <c r="Q3" s="33" t="n">
        <v>77233292999</v>
      </c>
      <c r="R3" s="33" t="n">
        <v>77233298399</v>
      </c>
      <c r="S3" s="33" t="n">
        <v>77235128499</v>
      </c>
      <c r="T3" s="33" t="n">
        <v>77235320999</v>
      </c>
      <c r="U3" s="34" t="n">
        <v>77233623339</v>
      </c>
      <c r="V3" s="33" t="n">
        <v>77233630999</v>
      </c>
      <c r="W3" s="33" t="n">
        <v>77233637599</v>
      </c>
      <c r="X3" s="33" t="n">
        <v>77233550999</v>
      </c>
      <c r="Y3" s="33" t="n">
        <v>77233554999</v>
      </c>
      <c r="Z3" s="33" t="n">
        <v>77233556999</v>
      </c>
      <c r="AA3" s="33" t="n">
        <v>77233726999</v>
      </c>
      <c r="AB3" s="33" t="n">
        <v>77233820999</v>
      </c>
      <c r="AC3" s="33" t="n">
        <v>77233850999</v>
      </c>
      <c r="AD3" s="33" t="n">
        <v>77233420999</v>
      </c>
      <c r="AE3" s="33" t="n">
        <v>77234742999</v>
      </c>
      <c r="AF3" s="33" t="n">
        <v>77234767999</v>
      </c>
      <c r="AG3" s="33" t="n">
        <v>77234120999</v>
      </c>
      <c r="AH3" s="33" t="n">
        <v>77234127999</v>
      </c>
      <c r="AI3" s="33" t="n">
        <v>77234220999</v>
      </c>
      <c r="AJ3" s="33" t="n">
        <v>77234250999</v>
      </c>
      <c r="AK3" s="35" t="n">
        <v>77233924999</v>
      </c>
      <c r="AL3" s="35" t="n">
        <v>77234320999</v>
      </c>
      <c r="AM3" s="35" t="n">
        <v>77234350999</v>
      </c>
      <c r="AN3" s="35" t="n">
        <v>77234020999</v>
      </c>
      <c r="AO3" s="35" t="n">
        <v>77234029999</v>
      </c>
      <c r="AP3" s="35" t="n">
        <v>77234050999</v>
      </c>
      <c r="AQ3" s="35" t="n">
        <v>77234428999</v>
      </c>
      <c r="AR3" s="35" t="n">
        <v>77234450999</v>
      </c>
      <c r="AS3" s="35" t="n">
        <v>77234620999</v>
      </c>
      <c r="AT3" s="35" t="n">
        <v>77234650999</v>
      </c>
      <c r="AU3" s="35" t="n">
        <v>77234820999</v>
      </c>
      <c r="AV3" s="35" t="n">
        <v>77234850999</v>
      </c>
      <c r="AW3" s="35" t="n">
        <v>77233327999</v>
      </c>
      <c r="AX3" s="35" t="n">
        <v>77233350599</v>
      </c>
      <c r="AY3" s="35" t="n">
        <v>77233351999</v>
      </c>
      <c r="AZ3" s="36" t="n">
        <v>7722440999</v>
      </c>
      <c r="BA3" s="36" t="n">
        <v>7722445659</v>
      </c>
      <c r="BB3" s="36" t="n">
        <v>7722450199</v>
      </c>
      <c r="BC3" s="36" t="n">
        <v>7722451374</v>
      </c>
      <c r="BD3" s="36" t="n">
        <v>7722452299</v>
      </c>
      <c r="BE3" s="36" t="n">
        <v>7722453816</v>
      </c>
      <c r="BF3" s="36" t="n">
        <v>7722454099</v>
      </c>
      <c r="BG3" s="36" t="n">
        <v>7722458999</v>
      </c>
      <c r="BH3" s="36" t="n">
        <v>7722638549</v>
      </c>
      <c r="BI3" s="36" t="n">
        <v>7722639899</v>
      </c>
      <c r="BJ3" s="37" t="n">
        <v>7725750399</v>
      </c>
      <c r="BK3" s="37" t="n">
        <v>7723724999</v>
      </c>
      <c r="BL3" s="33" t="n">
        <v>7723765499</v>
      </c>
      <c r="BM3" s="37" t="n">
        <v>7723621299</v>
      </c>
      <c r="BN3" s="37" t="n">
        <v>7723623399</v>
      </c>
      <c r="BO3" s="37" t="n">
        <v>7725127999</v>
      </c>
      <c r="BP3" s="37" t="n">
        <v>7723948999</v>
      </c>
      <c r="BQ3" s="37" t="n">
        <v>7723951099</v>
      </c>
      <c r="BR3" s="37" t="n">
        <v>7723020999</v>
      </c>
      <c r="BS3" s="37" t="n">
        <v>7723029999</v>
      </c>
      <c r="BT3" s="37" t="n">
        <v>7723056549</v>
      </c>
      <c r="BU3" s="33" t="n">
        <v>7725250499</v>
      </c>
      <c r="BV3" s="37" t="n">
        <v>7183841499</v>
      </c>
      <c r="BW3" s="29"/>
      <c r="BX3" s="30"/>
    </row>
    <row r="4" s="31" customFormat="true" ht="54.75" hidden="false" customHeight="true" outlineLevel="0" collapsed="false">
      <c r="A4" s="20"/>
      <c r="B4" s="21"/>
      <c r="C4" s="21"/>
      <c r="D4" s="21"/>
      <c r="E4" s="21"/>
      <c r="F4" s="21"/>
      <c r="G4" s="32" t="n">
        <v>77232210840</v>
      </c>
      <c r="H4" s="32" t="n">
        <v>77232510512</v>
      </c>
      <c r="I4" s="32" t="n">
        <v>77232524160</v>
      </c>
      <c r="J4" s="32" t="n">
        <v>77232544000</v>
      </c>
      <c r="K4" s="33" t="n">
        <v>77232295504</v>
      </c>
      <c r="L4" s="33" t="n">
        <v>77232785000</v>
      </c>
      <c r="M4" s="33" t="n">
        <v>77233150000</v>
      </c>
      <c r="N4" s="33" t="n">
        <v>77233235000</v>
      </c>
      <c r="O4" s="33" t="n">
        <v>77233239000</v>
      </c>
      <c r="P4" s="33" t="n">
        <v>77233272000</v>
      </c>
      <c r="Q4" s="33" t="n">
        <v>77233291100</v>
      </c>
      <c r="R4" s="33" t="n">
        <v>77233297000</v>
      </c>
      <c r="S4" s="33" t="n">
        <v>77235124000</v>
      </c>
      <c r="T4" s="33" t="n">
        <v>77235320000</v>
      </c>
      <c r="U4" s="34" t="n">
        <v>77233620000</v>
      </c>
      <c r="V4" s="33" t="n">
        <v>77233630000</v>
      </c>
      <c r="W4" s="33" t="n">
        <v>77233637000</v>
      </c>
      <c r="X4" s="33" t="n">
        <v>77233550000</v>
      </c>
      <c r="Y4" s="33" t="n">
        <v>77233554000</v>
      </c>
      <c r="Z4" s="33" t="n">
        <v>77233555000</v>
      </c>
      <c r="AA4" s="33" t="n">
        <v>77233726000</v>
      </c>
      <c r="AB4" s="33" t="n">
        <v>77233820000</v>
      </c>
      <c r="AC4" s="33" t="n">
        <v>77233850000</v>
      </c>
      <c r="AD4" s="33" t="n">
        <v>77233420000</v>
      </c>
      <c r="AE4" s="33" t="n">
        <v>77234740000</v>
      </c>
      <c r="AF4" s="33" t="n">
        <v>77234767000</v>
      </c>
      <c r="AG4" s="33" t="n">
        <v>77234120000</v>
      </c>
      <c r="AH4" s="33" t="n">
        <v>77234127000</v>
      </c>
      <c r="AI4" s="33" t="n">
        <v>77234220000</v>
      </c>
      <c r="AJ4" s="33" t="n">
        <v>77234250000</v>
      </c>
      <c r="AK4" s="35" t="n">
        <v>77233922950</v>
      </c>
      <c r="AL4" s="35" t="n">
        <v>77234320000</v>
      </c>
      <c r="AM4" s="35" t="n">
        <v>77234350000</v>
      </c>
      <c r="AN4" s="35" t="n">
        <v>77234020000</v>
      </c>
      <c r="AO4" s="35" t="n">
        <v>77234029000</v>
      </c>
      <c r="AP4" s="35" t="n">
        <v>77234050000</v>
      </c>
      <c r="AQ4" s="35" t="n">
        <v>77234427000</v>
      </c>
      <c r="AR4" s="35" t="n">
        <v>77234450000</v>
      </c>
      <c r="AS4" s="35" t="n">
        <v>77234620000</v>
      </c>
      <c r="AT4" s="35" t="n">
        <v>77234650000</v>
      </c>
      <c r="AU4" s="35" t="n">
        <v>77234820000</v>
      </c>
      <c r="AV4" s="35" t="n">
        <v>77234850000</v>
      </c>
      <c r="AW4" s="35" t="n">
        <v>77233327000</v>
      </c>
      <c r="AX4" s="35" t="n">
        <v>77233350000</v>
      </c>
      <c r="AY4" s="35" t="n">
        <v>77233351000</v>
      </c>
      <c r="AZ4" s="36" t="n">
        <v>7722440000</v>
      </c>
      <c r="BA4" s="36" t="n">
        <v>7722442000</v>
      </c>
      <c r="BB4" s="36" t="n">
        <v>7722450000</v>
      </c>
      <c r="BC4" s="36" t="n">
        <v>7722451000</v>
      </c>
      <c r="BD4" s="36" t="n">
        <v>7722452000</v>
      </c>
      <c r="BE4" s="36" t="n">
        <v>7722453000</v>
      </c>
      <c r="BF4" s="36" t="n">
        <v>7722454000</v>
      </c>
      <c r="BG4" s="36" t="n">
        <v>7722458000</v>
      </c>
      <c r="BH4" s="36" t="n">
        <v>7722630000</v>
      </c>
      <c r="BI4" s="36" t="n">
        <v>7722639400</v>
      </c>
      <c r="BJ4" s="37" t="n">
        <v>7725750000</v>
      </c>
      <c r="BK4" s="37" t="n">
        <v>7723772000</v>
      </c>
      <c r="BL4" s="33" t="n">
        <v>7723765000</v>
      </c>
      <c r="BM4" s="37" t="n">
        <v>7723620000</v>
      </c>
      <c r="BN4" s="37" t="n">
        <v>7723621600</v>
      </c>
      <c r="BO4" s="37" t="n">
        <v>7725127000</v>
      </c>
      <c r="BP4" s="37" t="n">
        <v>7723948000</v>
      </c>
      <c r="BQ4" s="37" t="n">
        <v>7723950000</v>
      </c>
      <c r="BR4" s="37" t="n">
        <v>7723020000</v>
      </c>
      <c r="BS4" s="37" t="n">
        <v>7723029000</v>
      </c>
      <c r="BT4" s="37" t="n">
        <v>7723055000</v>
      </c>
      <c r="BU4" s="33" t="n">
        <v>7725250000</v>
      </c>
      <c r="BV4" s="37" t="n">
        <v>7183841400</v>
      </c>
      <c r="BW4" s="29"/>
      <c r="BX4" s="30"/>
    </row>
    <row r="5" s="46" customFormat="true" ht="11.25" hidden="false" customHeight="true" outlineLevel="0" collapsed="false">
      <c r="A5" s="38" t="n">
        <v>1</v>
      </c>
      <c r="B5" s="39" t="s">
        <v>50</v>
      </c>
      <c r="C5" s="40" t="n">
        <v>0</v>
      </c>
      <c r="D5" s="41" t="n">
        <v>10</v>
      </c>
      <c r="E5" s="42" t="n">
        <f aca="false">SUM(F5:F7)</f>
        <v>0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1"/>
      <c r="BM5" s="43"/>
      <c r="BN5" s="43"/>
      <c r="BO5" s="43"/>
      <c r="BP5" s="43"/>
      <c r="BQ5" s="43"/>
      <c r="BR5" s="43"/>
      <c r="BS5" s="43"/>
      <c r="BT5" s="43"/>
      <c r="BU5" s="41"/>
      <c r="BV5" s="43"/>
      <c r="BW5" s="44" t="n">
        <v>780</v>
      </c>
      <c r="BX5" s="45" t="n">
        <f aca="false">AO5-BW5</f>
        <v>-780</v>
      </c>
    </row>
    <row r="6" s="46" customFormat="true" ht="11.25" hidden="false" customHeight="true" outlineLevel="0" collapsed="false">
      <c r="A6" s="38"/>
      <c r="B6" s="39"/>
      <c r="C6" s="40" t="n">
        <v>1</v>
      </c>
      <c r="D6" s="41" t="n">
        <v>11</v>
      </c>
      <c r="E6" s="42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1"/>
      <c r="BM6" s="43"/>
      <c r="BN6" s="43"/>
      <c r="BO6" s="43"/>
      <c r="BP6" s="43"/>
      <c r="BQ6" s="43"/>
      <c r="BR6" s="43"/>
      <c r="BS6" s="43"/>
      <c r="BT6" s="43"/>
      <c r="BU6" s="41"/>
      <c r="BV6" s="43"/>
      <c r="BW6" s="44" t="n">
        <v>780</v>
      </c>
      <c r="BX6" s="45" t="n">
        <f aca="false">AO6-BW6</f>
        <v>-780</v>
      </c>
    </row>
    <row r="7" s="46" customFormat="true" ht="11.25" hidden="false" customHeight="true" outlineLevel="0" collapsed="false">
      <c r="A7" s="38"/>
      <c r="B7" s="39"/>
      <c r="C7" s="40" t="n">
        <v>2</v>
      </c>
      <c r="D7" s="41" t="n">
        <v>12</v>
      </c>
      <c r="E7" s="42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1"/>
      <c r="BM7" s="43"/>
      <c r="BN7" s="43"/>
      <c r="BO7" s="43"/>
      <c r="BP7" s="43"/>
      <c r="BQ7" s="43"/>
      <c r="BR7" s="43"/>
      <c r="BS7" s="43"/>
      <c r="BT7" s="43"/>
      <c r="BU7" s="41"/>
      <c r="BV7" s="43"/>
      <c r="BW7" s="44" t="n">
        <v>780</v>
      </c>
      <c r="BX7" s="45" t="n">
        <f aca="false">AO7-BW7</f>
        <v>-780</v>
      </c>
    </row>
    <row r="8" s="46" customFormat="true" ht="11.25" hidden="false" customHeight="true" outlineLevel="0" collapsed="false">
      <c r="A8" s="47" t="n">
        <v>2</v>
      </c>
      <c r="B8" s="48" t="s">
        <v>51</v>
      </c>
      <c r="C8" s="49" t="n">
        <v>0</v>
      </c>
      <c r="D8" s="50" t="n">
        <v>20</v>
      </c>
      <c r="E8" s="51" t="n">
        <f aca="false">SUM(F8:F10)</f>
        <v>0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0"/>
      <c r="BM8" s="52"/>
      <c r="BN8" s="52"/>
      <c r="BO8" s="52"/>
      <c r="BP8" s="52"/>
      <c r="BQ8" s="52"/>
      <c r="BR8" s="52"/>
      <c r="BS8" s="52"/>
      <c r="BT8" s="52"/>
      <c r="BU8" s="50"/>
      <c r="BV8" s="52"/>
      <c r="BW8" s="53" t="n">
        <v>780</v>
      </c>
      <c r="BX8" s="54" t="n">
        <f aca="false">AO8-BW8</f>
        <v>-780</v>
      </c>
    </row>
    <row r="9" s="46" customFormat="true" ht="11.25" hidden="false" customHeight="true" outlineLevel="0" collapsed="false">
      <c r="A9" s="47"/>
      <c r="B9" s="48"/>
      <c r="C9" s="49" t="n">
        <v>1</v>
      </c>
      <c r="D9" s="50" t="n">
        <v>21</v>
      </c>
      <c r="E9" s="51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0"/>
      <c r="BM9" s="52"/>
      <c r="BN9" s="52"/>
      <c r="BO9" s="52"/>
      <c r="BP9" s="52"/>
      <c r="BQ9" s="52"/>
      <c r="BR9" s="52"/>
      <c r="BS9" s="52"/>
      <c r="BT9" s="52"/>
      <c r="BU9" s="50"/>
      <c r="BV9" s="52"/>
      <c r="BW9" s="53" t="n">
        <v>780</v>
      </c>
      <c r="BX9" s="54" t="n">
        <f aca="false">AO9-BW9</f>
        <v>-780</v>
      </c>
    </row>
    <row r="10" s="46" customFormat="true" ht="11.25" hidden="false" customHeight="true" outlineLevel="0" collapsed="false">
      <c r="A10" s="47"/>
      <c r="B10" s="48"/>
      <c r="C10" s="49" t="n">
        <v>2</v>
      </c>
      <c r="D10" s="50" t="n">
        <v>22</v>
      </c>
      <c r="E10" s="51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0"/>
      <c r="BM10" s="52"/>
      <c r="BN10" s="52"/>
      <c r="BO10" s="52"/>
      <c r="BP10" s="52"/>
      <c r="BQ10" s="52"/>
      <c r="BR10" s="52"/>
      <c r="BS10" s="52"/>
      <c r="BT10" s="52"/>
      <c r="BU10" s="50"/>
      <c r="BV10" s="52"/>
      <c r="BW10" s="53" t="n">
        <v>780</v>
      </c>
      <c r="BX10" s="54" t="n">
        <f aca="false">AO10-BW10</f>
        <v>-780</v>
      </c>
    </row>
    <row r="11" s="46" customFormat="true" ht="11.25" hidden="false" customHeight="true" outlineLevel="0" collapsed="false">
      <c r="A11" s="38" t="n">
        <v>3</v>
      </c>
      <c r="B11" s="39" t="s">
        <v>52</v>
      </c>
      <c r="C11" s="40" t="n">
        <v>0</v>
      </c>
      <c r="D11" s="41" t="n">
        <v>30</v>
      </c>
      <c r="E11" s="42" t="n">
        <f aca="false">SUM(F11:F13)</f>
        <v>0</v>
      </c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1"/>
      <c r="BM11" s="43"/>
      <c r="BN11" s="43"/>
      <c r="BO11" s="43"/>
      <c r="BP11" s="43"/>
      <c r="BQ11" s="43"/>
      <c r="BR11" s="43"/>
      <c r="BS11" s="43"/>
      <c r="BT11" s="43"/>
      <c r="BU11" s="41"/>
      <c r="BV11" s="43"/>
      <c r="BW11" s="44" t="n">
        <v>780</v>
      </c>
      <c r="BX11" s="45" t="n">
        <f aca="false">AO11-BW11</f>
        <v>-780</v>
      </c>
    </row>
    <row r="12" s="46" customFormat="true" ht="11.25" hidden="false" customHeight="true" outlineLevel="0" collapsed="false">
      <c r="A12" s="38"/>
      <c r="B12" s="39"/>
      <c r="C12" s="40" t="n">
        <v>1</v>
      </c>
      <c r="D12" s="41" t="n">
        <v>31</v>
      </c>
      <c r="E12" s="42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1"/>
      <c r="BM12" s="43"/>
      <c r="BN12" s="43"/>
      <c r="BO12" s="43"/>
      <c r="BP12" s="43"/>
      <c r="BQ12" s="43"/>
      <c r="BR12" s="43"/>
      <c r="BS12" s="43"/>
      <c r="BT12" s="43"/>
      <c r="BU12" s="41"/>
      <c r="BV12" s="43"/>
      <c r="BW12" s="44" t="n">
        <v>780</v>
      </c>
      <c r="BX12" s="45" t="n">
        <f aca="false">AO12-BW12</f>
        <v>-780</v>
      </c>
    </row>
    <row r="13" s="46" customFormat="true" ht="11.25" hidden="false" customHeight="true" outlineLevel="0" collapsed="false">
      <c r="A13" s="38"/>
      <c r="B13" s="39"/>
      <c r="C13" s="40" t="n">
        <v>2</v>
      </c>
      <c r="D13" s="41" t="n">
        <v>32</v>
      </c>
      <c r="E13" s="42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1"/>
      <c r="BM13" s="43"/>
      <c r="BN13" s="43"/>
      <c r="BO13" s="43"/>
      <c r="BP13" s="43"/>
      <c r="BQ13" s="43"/>
      <c r="BR13" s="43"/>
      <c r="BS13" s="43"/>
      <c r="BT13" s="43"/>
      <c r="BU13" s="41"/>
      <c r="BV13" s="43"/>
      <c r="BW13" s="44" t="n">
        <v>780</v>
      </c>
      <c r="BX13" s="45" t="n">
        <f aca="false">AO13-BW13</f>
        <v>-780</v>
      </c>
    </row>
    <row r="14" s="46" customFormat="true" ht="11.25" hidden="false" customHeight="true" outlineLevel="0" collapsed="false">
      <c r="A14" s="47" t="n">
        <v>4</v>
      </c>
      <c r="B14" s="48" t="s">
        <v>53</v>
      </c>
      <c r="C14" s="49" t="n">
        <v>0</v>
      </c>
      <c r="D14" s="50" t="n">
        <v>40</v>
      </c>
      <c r="E14" s="51" t="n">
        <f aca="false">SUM(F14:F16)</f>
        <v>0</v>
      </c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0"/>
      <c r="BM14" s="52"/>
      <c r="BN14" s="52"/>
      <c r="BO14" s="52"/>
      <c r="BP14" s="52"/>
      <c r="BQ14" s="52"/>
      <c r="BR14" s="52"/>
      <c r="BS14" s="52"/>
      <c r="BT14" s="52"/>
      <c r="BU14" s="50"/>
      <c r="BV14" s="52"/>
      <c r="BW14" s="53" t="n">
        <v>780</v>
      </c>
      <c r="BX14" s="54" t="n">
        <f aca="false">AO14-BW14</f>
        <v>-780</v>
      </c>
    </row>
    <row r="15" s="46" customFormat="true" ht="11.25" hidden="false" customHeight="true" outlineLevel="0" collapsed="false">
      <c r="A15" s="47"/>
      <c r="B15" s="48"/>
      <c r="C15" s="49" t="n">
        <v>1</v>
      </c>
      <c r="D15" s="50" t="n">
        <v>41</v>
      </c>
      <c r="E15" s="51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0"/>
      <c r="BM15" s="52"/>
      <c r="BN15" s="52"/>
      <c r="BO15" s="52"/>
      <c r="BP15" s="52"/>
      <c r="BQ15" s="52"/>
      <c r="BR15" s="52"/>
      <c r="BS15" s="52"/>
      <c r="BT15" s="52"/>
      <c r="BU15" s="50"/>
      <c r="BV15" s="52"/>
      <c r="BW15" s="53" t="n">
        <v>780</v>
      </c>
      <c r="BX15" s="54" t="n">
        <f aca="false">AO15-BW15</f>
        <v>-780</v>
      </c>
    </row>
    <row r="16" s="46" customFormat="true" ht="11.25" hidden="false" customHeight="true" outlineLevel="0" collapsed="false">
      <c r="A16" s="47"/>
      <c r="B16" s="48"/>
      <c r="C16" s="49" t="n">
        <v>2</v>
      </c>
      <c r="D16" s="50" t="n">
        <v>42</v>
      </c>
      <c r="E16" s="51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0"/>
      <c r="BM16" s="52"/>
      <c r="BN16" s="52"/>
      <c r="BO16" s="52"/>
      <c r="BP16" s="52"/>
      <c r="BQ16" s="52"/>
      <c r="BR16" s="52"/>
      <c r="BS16" s="52"/>
      <c r="BT16" s="52"/>
      <c r="BU16" s="50"/>
      <c r="BV16" s="52"/>
      <c r="BW16" s="53" t="n">
        <v>780</v>
      </c>
      <c r="BX16" s="54" t="n">
        <f aca="false">AO16-BW16</f>
        <v>-780</v>
      </c>
    </row>
    <row r="17" s="46" customFormat="true" ht="11.25" hidden="false" customHeight="true" outlineLevel="0" collapsed="false">
      <c r="A17" s="38" t="n">
        <v>5</v>
      </c>
      <c r="B17" s="39" t="s">
        <v>54</v>
      </c>
      <c r="C17" s="40" t="n">
        <v>0</v>
      </c>
      <c r="D17" s="41" t="n">
        <v>50</v>
      </c>
      <c r="E17" s="42" t="n">
        <f aca="false">SUM(F17:F19)</f>
        <v>0</v>
      </c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1"/>
      <c r="BM17" s="43"/>
      <c r="BN17" s="43"/>
      <c r="BO17" s="43"/>
      <c r="BP17" s="43"/>
      <c r="BQ17" s="43"/>
      <c r="BR17" s="43"/>
      <c r="BS17" s="43"/>
      <c r="BT17" s="43"/>
      <c r="BU17" s="41"/>
      <c r="BV17" s="43"/>
      <c r="BW17" s="44" t="n">
        <v>780</v>
      </c>
      <c r="BX17" s="45" t="n">
        <f aca="false">AO17-BW17</f>
        <v>-780</v>
      </c>
    </row>
    <row r="18" s="46" customFormat="true" ht="11.25" hidden="false" customHeight="true" outlineLevel="0" collapsed="false">
      <c r="A18" s="38"/>
      <c r="B18" s="39"/>
      <c r="C18" s="40" t="n">
        <v>1</v>
      </c>
      <c r="D18" s="41" t="n">
        <v>51</v>
      </c>
      <c r="E18" s="42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1"/>
      <c r="BM18" s="43"/>
      <c r="BN18" s="43"/>
      <c r="BO18" s="43"/>
      <c r="BP18" s="43"/>
      <c r="BQ18" s="43"/>
      <c r="BR18" s="43"/>
      <c r="BS18" s="43"/>
      <c r="BT18" s="43"/>
      <c r="BU18" s="41"/>
      <c r="BV18" s="43"/>
      <c r="BW18" s="44" t="n">
        <v>780</v>
      </c>
      <c r="BX18" s="45" t="n">
        <f aca="false">AO18-BW18</f>
        <v>-780</v>
      </c>
    </row>
    <row r="19" s="46" customFormat="true" ht="11.25" hidden="false" customHeight="true" outlineLevel="0" collapsed="false">
      <c r="A19" s="38"/>
      <c r="B19" s="39"/>
      <c r="C19" s="40" t="n">
        <v>2</v>
      </c>
      <c r="D19" s="41" t="n">
        <v>52</v>
      </c>
      <c r="E19" s="42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1"/>
      <c r="BM19" s="43"/>
      <c r="BN19" s="43"/>
      <c r="BO19" s="43"/>
      <c r="BP19" s="43"/>
      <c r="BQ19" s="43"/>
      <c r="BR19" s="43"/>
      <c r="BS19" s="43"/>
      <c r="BT19" s="43"/>
      <c r="BU19" s="41"/>
      <c r="BV19" s="43"/>
      <c r="BW19" s="44" t="n">
        <v>780</v>
      </c>
      <c r="BX19" s="45" t="n">
        <f aca="false">AO19-BW19</f>
        <v>-780</v>
      </c>
    </row>
    <row r="20" s="46" customFormat="true" ht="11.25" hidden="false" customHeight="true" outlineLevel="0" collapsed="false">
      <c r="A20" s="47" t="n">
        <v>6</v>
      </c>
      <c r="B20" s="48" t="s">
        <v>55</v>
      </c>
      <c r="C20" s="49" t="n">
        <v>0</v>
      </c>
      <c r="D20" s="50" t="n">
        <v>60</v>
      </c>
      <c r="E20" s="51" t="n">
        <f aca="false">SUM(F20:F22)</f>
        <v>0</v>
      </c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0"/>
      <c r="BM20" s="52"/>
      <c r="BN20" s="52"/>
      <c r="BO20" s="52"/>
      <c r="BP20" s="52"/>
      <c r="BQ20" s="52"/>
      <c r="BR20" s="52"/>
      <c r="BS20" s="52"/>
      <c r="BT20" s="52"/>
      <c r="BU20" s="50"/>
      <c r="BV20" s="52"/>
      <c r="BW20" s="53" t="n">
        <v>780</v>
      </c>
      <c r="BX20" s="54" t="n">
        <f aca="false">AO20-BW20</f>
        <v>-780</v>
      </c>
    </row>
    <row r="21" s="46" customFormat="true" ht="11.25" hidden="false" customHeight="true" outlineLevel="0" collapsed="false">
      <c r="A21" s="47"/>
      <c r="B21" s="48"/>
      <c r="C21" s="49" t="n">
        <v>1</v>
      </c>
      <c r="D21" s="50" t="n">
        <v>61</v>
      </c>
      <c r="E21" s="51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0"/>
      <c r="BM21" s="52"/>
      <c r="BN21" s="52"/>
      <c r="BO21" s="52"/>
      <c r="BP21" s="52"/>
      <c r="BQ21" s="52"/>
      <c r="BR21" s="52"/>
      <c r="BS21" s="52"/>
      <c r="BT21" s="52"/>
      <c r="BU21" s="50"/>
      <c r="BV21" s="52"/>
      <c r="BW21" s="53" t="n">
        <v>780</v>
      </c>
      <c r="BX21" s="54" t="n">
        <f aca="false">AO21-BW21</f>
        <v>-780</v>
      </c>
    </row>
    <row r="22" s="46" customFormat="true" ht="11.25" hidden="false" customHeight="true" outlineLevel="0" collapsed="false">
      <c r="A22" s="47"/>
      <c r="B22" s="48"/>
      <c r="C22" s="49" t="n">
        <v>2</v>
      </c>
      <c r="D22" s="50" t="n">
        <v>62</v>
      </c>
      <c r="E22" s="51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0"/>
      <c r="BM22" s="52"/>
      <c r="BN22" s="52"/>
      <c r="BO22" s="52"/>
      <c r="BP22" s="52"/>
      <c r="BQ22" s="52"/>
      <c r="BR22" s="52"/>
      <c r="BS22" s="52"/>
      <c r="BT22" s="52"/>
      <c r="BU22" s="50"/>
      <c r="BV22" s="52"/>
      <c r="BW22" s="53" t="n">
        <v>780</v>
      </c>
      <c r="BX22" s="54" t="n">
        <f aca="false">AO22-BW22</f>
        <v>-780</v>
      </c>
    </row>
    <row r="23" s="46" customFormat="true" ht="11.25" hidden="false" customHeight="true" outlineLevel="0" collapsed="false">
      <c r="A23" s="38" t="n">
        <v>7</v>
      </c>
      <c r="B23" s="39" t="s">
        <v>56</v>
      </c>
      <c r="C23" s="40" t="n">
        <v>0</v>
      </c>
      <c r="D23" s="41" t="n">
        <v>70</v>
      </c>
      <c r="E23" s="42" t="n">
        <f aca="false">SUM(F23:F25)</f>
        <v>0</v>
      </c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1"/>
      <c r="BM23" s="43"/>
      <c r="BN23" s="43"/>
      <c r="BO23" s="43"/>
      <c r="BP23" s="43"/>
      <c r="BQ23" s="43"/>
      <c r="BR23" s="43"/>
      <c r="BS23" s="43"/>
      <c r="BT23" s="43"/>
      <c r="BU23" s="41"/>
      <c r="BV23" s="43"/>
      <c r="BW23" s="44" t="n">
        <v>780</v>
      </c>
      <c r="BX23" s="45" t="n">
        <f aca="false">AO23-BW23</f>
        <v>-780</v>
      </c>
    </row>
    <row r="24" s="46" customFormat="true" ht="11.25" hidden="false" customHeight="true" outlineLevel="0" collapsed="false">
      <c r="A24" s="38"/>
      <c r="B24" s="39"/>
      <c r="C24" s="40" t="n">
        <v>1</v>
      </c>
      <c r="D24" s="41" t="n">
        <v>71</v>
      </c>
      <c r="E24" s="42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1"/>
      <c r="BM24" s="43"/>
      <c r="BN24" s="43"/>
      <c r="BO24" s="43"/>
      <c r="BP24" s="43"/>
      <c r="BQ24" s="43"/>
      <c r="BR24" s="43"/>
      <c r="BS24" s="43"/>
      <c r="BT24" s="43"/>
      <c r="BU24" s="41"/>
      <c r="BV24" s="43"/>
      <c r="BW24" s="44" t="n">
        <v>780</v>
      </c>
      <c r="BX24" s="45" t="n">
        <f aca="false">AO24-BW24</f>
        <v>-780</v>
      </c>
    </row>
    <row r="25" s="46" customFormat="true" ht="11.25" hidden="false" customHeight="true" outlineLevel="0" collapsed="false">
      <c r="A25" s="38"/>
      <c r="B25" s="39"/>
      <c r="C25" s="40" t="n">
        <v>2</v>
      </c>
      <c r="D25" s="41" t="n">
        <v>72</v>
      </c>
      <c r="E25" s="42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1"/>
      <c r="BM25" s="43"/>
      <c r="BN25" s="43"/>
      <c r="BO25" s="43"/>
      <c r="BP25" s="43"/>
      <c r="BQ25" s="43"/>
      <c r="BR25" s="43"/>
      <c r="BS25" s="43"/>
      <c r="BT25" s="43"/>
      <c r="BU25" s="41"/>
      <c r="BV25" s="43"/>
      <c r="BW25" s="44" t="n">
        <v>780</v>
      </c>
      <c r="BX25" s="45" t="n">
        <f aca="false">AO25-BW25</f>
        <v>-780</v>
      </c>
    </row>
    <row r="26" s="46" customFormat="true" ht="11.25" hidden="false" customHeight="true" outlineLevel="0" collapsed="false">
      <c r="A26" s="47" t="n">
        <v>25</v>
      </c>
      <c r="B26" s="48" t="s">
        <v>57</v>
      </c>
      <c r="C26" s="49" t="n">
        <v>0</v>
      </c>
      <c r="D26" s="50" t="n">
        <v>250</v>
      </c>
      <c r="E26" s="51" t="n">
        <f aca="false">SUM(F26:F28)</f>
        <v>0</v>
      </c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0"/>
      <c r="BM26" s="52"/>
      <c r="BN26" s="52"/>
      <c r="BO26" s="52"/>
      <c r="BP26" s="52"/>
      <c r="BQ26" s="52"/>
      <c r="BR26" s="52"/>
      <c r="BS26" s="52"/>
      <c r="BT26" s="52"/>
      <c r="BU26" s="50"/>
      <c r="BV26" s="52"/>
      <c r="BW26" s="53" t="n">
        <v>780</v>
      </c>
      <c r="BX26" s="54" t="n">
        <f aca="false">AO26-BW26</f>
        <v>-780</v>
      </c>
    </row>
    <row r="27" s="46" customFormat="true" ht="11.25" hidden="false" customHeight="true" outlineLevel="0" collapsed="false">
      <c r="A27" s="47"/>
      <c r="B27" s="48"/>
      <c r="C27" s="49" t="n">
        <v>1</v>
      </c>
      <c r="D27" s="50" t="n">
        <v>251</v>
      </c>
      <c r="E27" s="51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0"/>
      <c r="BM27" s="52"/>
      <c r="BN27" s="52"/>
      <c r="BO27" s="52"/>
      <c r="BP27" s="52"/>
      <c r="BQ27" s="52"/>
      <c r="BR27" s="52"/>
      <c r="BS27" s="52"/>
      <c r="BT27" s="52"/>
      <c r="BU27" s="50"/>
      <c r="BV27" s="52"/>
      <c r="BW27" s="53" t="n">
        <v>780</v>
      </c>
      <c r="BX27" s="54" t="n">
        <f aca="false">AO27-BW27</f>
        <v>-780</v>
      </c>
    </row>
    <row r="28" s="46" customFormat="true" ht="11.25" hidden="false" customHeight="true" outlineLevel="0" collapsed="false">
      <c r="A28" s="47"/>
      <c r="B28" s="48"/>
      <c r="C28" s="49" t="n">
        <v>2</v>
      </c>
      <c r="D28" s="50" t="n">
        <v>252</v>
      </c>
      <c r="E28" s="51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0"/>
      <c r="BM28" s="52"/>
      <c r="BN28" s="52"/>
      <c r="BO28" s="52"/>
      <c r="BP28" s="52"/>
      <c r="BQ28" s="52"/>
      <c r="BR28" s="52"/>
      <c r="BS28" s="52"/>
      <c r="BT28" s="52"/>
      <c r="BU28" s="50"/>
      <c r="BV28" s="52"/>
      <c r="BW28" s="53" t="n">
        <v>780</v>
      </c>
      <c r="BX28" s="54" t="n">
        <f aca="false">AO28-BW28</f>
        <v>-780</v>
      </c>
    </row>
    <row r="29" s="46" customFormat="true" ht="13.5" hidden="false" customHeight="true" outlineLevel="0" collapsed="false">
      <c r="A29" s="55" t="s">
        <v>58</v>
      </c>
      <c r="B29" s="55"/>
      <c r="C29" s="55"/>
      <c r="D29" s="55"/>
      <c r="E29" s="56"/>
      <c r="F29" s="56" t="n">
        <f aca="false">SUM(F5:F28)</f>
        <v>0</v>
      </c>
      <c r="G29" s="56" t="n">
        <f aca="false">SUM(G5:G28)</f>
        <v>0</v>
      </c>
      <c r="H29" s="56" t="n">
        <f aca="false">SUM(H5:H28)</f>
        <v>0</v>
      </c>
      <c r="I29" s="56" t="n">
        <f aca="false">SUM(I5:I28)</f>
        <v>0</v>
      </c>
      <c r="J29" s="56" t="n">
        <f aca="false">SUM(J5:J28)</f>
        <v>0</v>
      </c>
      <c r="K29" s="56" t="n">
        <f aca="false">SUM(K5:K28)</f>
        <v>0</v>
      </c>
      <c r="L29" s="56" t="n">
        <f aca="false">SUM(L5:L28)</f>
        <v>0</v>
      </c>
      <c r="M29" s="56" t="n">
        <f aca="false">SUM(M5:M28)</f>
        <v>0</v>
      </c>
      <c r="N29" s="56" t="n">
        <f aca="false">SUM(N5:N28)</f>
        <v>0</v>
      </c>
      <c r="O29" s="56" t="n">
        <f aca="false">SUM(O5:O28)</f>
        <v>0</v>
      </c>
      <c r="P29" s="56" t="n">
        <f aca="false">SUM(P5:P28)</f>
        <v>0</v>
      </c>
      <c r="Q29" s="56" t="n">
        <f aca="false">SUM(Q5:Q28)</f>
        <v>0</v>
      </c>
      <c r="R29" s="56" t="n">
        <f aca="false">SUM(R5:R28)</f>
        <v>0</v>
      </c>
      <c r="S29" s="56" t="n">
        <f aca="false">SUM(S5:S28)</f>
        <v>0</v>
      </c>
      <c r="T29" s="56" t="n">
        <f aca="false">SUM(T5:T28)</f>
        <v>0</v>
      </c>
      <c r="U29" s="56" t="n">
        <f aca="false">SUM(U5:U28)</f>
        <v>0</v>
      </c>
      <c r="V29" s="56" t="n">
        <f aca="false">SUM(V5:V28)</f>
        <v>0</v>
      </c>
      <c r="W29" s="56" t="n">
        <f aca="false">SUM(W5:W28)</f>
        <v>0</v>
      </c>
      <c r="X29" s="56" t="n">
        <f aca="false">SUM(X5:X28)</f>
        <v>0</v>
      </c>
      <c r="Y29" s="56" t="n">
        <f aca="false">SUM(Y5:Y28)</f>
        <v>0</v>
      </c>
      <c r="Z29" s="56" t="n">
        <f aca="false">SUM(Z5:Z28)</f>
        <v>0</v>
      </c>
      <c r="AA29" s="56" t="n">
        <f aca="false">SUM(AA5:AA28)</f>
        <v>0</v>
      </c>
      <c r="AB29" s="56" t="n">
        <f aca="false">SUM(AB5:AB28)</f>
        <v>0</v>
      </c>
      <c r="AC29" s="56" t="n">
        <f aca="false">SUM(AC5:AC28)</f>
        <v>0</v>
      </c>
      <c r="AD29" s="56" t="n">
        <f aca="false">SUM(AD5:AD28)</f>
        <v>0</v>
      </c>
      <c r="AE29" s="56" t="n">
        <f aca="false">SUM(AE5:AE28)</f>
        <v>0</v>
      </c>
      <c r="AF29" s="56" t="n">
        <f aca="false">SUM(AF5:AF28)</f>
        <v>0</v>
      </c>
      <c r="AG29" s="56" t="n">
        <f aca="false">SUM(AG5:AG28)</f>
        <v>0</v>
      </c>
      <c r="AH29" s="56" t="n">
        <f aca="false">SUM(AH5:AH28)</f>
        <v>0</v>
      </c>
      <c r="AI29" s="56" t="n">
        <f aca="false">SUM(AI5:AI28)</f>
        <v>0</v>
      </c>
      <c r="AJ29" s="56" t="n">
        <f aca="false">SUM(AJ5:AJ28)</f>
        <v>0</v>
      </c>
      <c r="AK29" s="56" t="n">
        <f aca="false">SUM(AK5:AK28)</f>
        <v>0</v>
      </c>
      <c r="AL29" s="56" t="n">
        <f aca="false">SUM(AL5:AL28)</f>
        <v>0</v>
      </c>
      <c r="AM29" s="56" t="n">
        <f aca="false">SUM(AM5:AM28)</f>
        <v>0</v>
      </c>
      <c r="AN29" s="56" t="n">
        <f aca="false">SUM(AN5:AN28)</f>
        <v>0</v>
      </c>
      <c r="AO29" s="56" t="n">
        <f aca="false">SUM(AO5:AO28)</f>
        <v>0</v>
      </c>
      <c r="AP29" s="56" t="n">
        <f aca="false">SUM(AP5:AP28)</f>
        <v>0</v>
      </c>
      <c r="AQ29" s="56" t="n">
        <f aca="false">SUM(AQ5:AQ28)</f>
        <v>0</v>
      </c>
      <c r="AR29" s="56" t="n">
        <f aca="false">SUM(AR5:AR28)</f>
        <v>0</v>
      </c>
      <c r="AS29" s="56" t="n">
        <f aca="false">SUM(AS5:AS28)</f>
        <v>0</v>
      </c>
      <c r="AT29" s="56" t="n">
        <f aca="false">SUM(AT5:AT28)</f>
        <v>0</v>
      </c>
      <c r="AU29" s="56" t="n">
        <f aca="false">SUM(AU5:AU28)</f>
        <v>0</v>
      </c>
      <c r="AV29" s="56" t="n">
        <f aca="false">SUM(AV5:AV28)</f>
        <v>0</v>
      </c>
      <c r="AW29" s="56" t="n">
        <f aca="false">SUM(AW5:AW28)</f>
        <v>0</v>
      </c>
      <c r="AX29" s="56" t="n">
        <f aca="false">SUM(AX5:AX28)</f>
        <v>0</v>
      </c>
      <c r="AY29" s="56" t="n">
        <f aca="false">SUM(AY5:AY28)</f>
        <v>0</v>
      </c>
      <c r="AZ29" s="52" t="n">
        <f aca="false">SUM(AZ5:AZ28)</f>
        <v>0</v>
      </c>
      <c r="BA29" s="52" t="n">
        <f aca="false">SUM(BA5:BA28)</f>
        <v>0</v>
      </c>
      <c r="BB29" s="52" t="n">
        <f aca="false">SUM(BB5:BB28)</f>
        <v>0</v>
      </c>
      <c r="BC29" s="52" t="n">
        <f aca="false">SUM(BC5:BC28)</f>
        <v>0</v>
      </c>
      <c r="BD29" s="52" t="n">
        <f aca="false">SUM(BD5:BD28)</f>
        <v>0</v>
      </c>
      <c r="BE29" s="52" t="n">
        <f aca="false">SUM(BE5:BE28)</f>
        <v>0</v>
      </c>
      <c r="BF29" s="52" t="n">
        <f aca="false">SUM(BF5:BF28)</f>
        <v>0</v>
      </c>
      <c r="BG29" s="52" t="n">
        <f aca="false">SUM(BG5:BG28)</f>
        <v>0</v>
      </c>
      <c r="BH29" s="52" t="n">
        <f aca="false">SUM(BH5:BH28)</f>
        <v>0</v>
      </c>
      <c r="BI29" s="52" t="n">
        <f aca="false">SUM(BI5:BI28)</f>
        <v>0</v>
      </c>
      <c r="BJ29" s="52" t="n">
        <f aca="false">SUM(BJ5:BJ28)</f>
        <v>0</v>
      </c>
      <c r="BK29" s="52" t="n">
        <f aca="false">SUM(BK5:BK28)</f>
        <v>0</v>
      </c>
      <c r="BL29" s="56" t="n">
        <f aca="false">SUM(BL5:BL28)</f>
        <v>0</v>
      </c>
      <c r="BM29" s="52" t="n">
        <f aca="false">SUM(BM5:BM28)</f>
        <v>0</v>
      </c>
      <c r="BN29" s="52" t="n">
        <f aca="false">SUM(BN5:BN28)</f>
        <v>0</v>
      </c>
      <c r="BO29" s="52" t="n">
        <f aca="false">SUM(BO5:BO28)</f>
        <v>0</v>
      </c>
      <c r="BP29" s="52" t="n">
        <f aca="false">SUM(BP5:BP28)</f>
        <v>0</v>
      </c>
      <c r="BQ29" s="52" t="n">
        <f aca="false">SUM(BQ5:BQ28)</f>
        <v>0</v>
      </c>
      <c r="BR29" s="52" t="n">
        <f aca="false">SUM(BR5:BR28)</f>
        <v>0</v>
      </c>
      <c r="BS29" s="52" t="n">
        <f aca="false">SUM(BS5:BS28)</f>
        <v>0</v>
      </c>
      <c r="BT29" s="52" t="n">
        <f aca="false">SUM(BT5:BT28)</f>
        <v>0</v>
      </c>
      <c r="BU29" s="56" t="n">
        <f aca="false">SUM(BU5:BU28)</f>
        <v>0</v>
      </c>
      <c r="BV29" s="52" t="n">
        <f aca="false">SUM(BV5:BV28)</f>
        <v>0</v>
      </c>
      <c r="BW29" s="56"/>
      <c r="BX29" s="57"/>
    </row>
  </sheetData>
  <mergeCells count="48">
    <mergeCell ref="A2:A4"/>
    <mergeCell ref="B2:B4"/>
    <mergeCell ref="C2:C4"/>
    <mergeCell ref="D2:D4"/>
    <mergeCell ref="E2:E4"/>
    <mergeCell ref="F2:F4"/>
    <mergeCell ref="G2:J2"/>
    <mergeCell ref="N2:R2"/>
    <mergeCell ref="U2:W2"/>
    <mergeCell ref="X2:Z2"/>
    <mergeCell ref="AB2:AC2"/>
    <mergeCell ref="AE2:AF2"/>
    <mergeCell ref="AG2:AH2"/>
    <mergeCell ref="AI2:AJ2"/>
    <mergeCell ref="AL2:AM2"/>
    <mergeCell ref="AN2:AP2"/>
    <mergeCell ref="AQ2:AR2"/>
    <mergeCell ref="AS2:AT2"/>
    <mergeCell ref="AU2:AV2"/>
    <mergeCell ref="AW2:AY2"/>
    <mergeCell ref="AZ2:BI2"/>
    <mergeCell ref="BW2:BW4"/>
    <mergeCell ref="BX2:BX4"/>
    <mergeCell ref="A5:A7"/>
    <mergeCell ref="B5:B7"/>
    <mergeCell ref="E5:E7"/>
    <mergeCell ref="A8:A10"/>
    <mergeCell ref="B8:B10"/>
    <mergeCell ref="E8:E10"/>
    <mergeCell ref="A11:A13"/>
    <mergeCell ref="B11:B13"/>
    <mergeCell ref="E11:E13"/>
    <mergeCell ref="A14:A16"/>
    <mergeCell ref="B14:B16"/>
    <mergeCell ref="E14:E16"/>
    <mergeCell ref="A17:A19"/>
    <mergeCell ref="B17:B19"/>
    <mergeCell ref="E17:E19"/>
    <mergeCell ref="A20:A22"/>
    <mergeCell ref="B20:B22"/>
    <mergeCell ref="E20:E22"/>
    <mergeCell ref="A23:A25"/>
    <mergeCell ref="B23:B25"/>
    <mergeCell ref="E23:E25"/>
    <mergeCell ref="A26:A28"/>
    <mergeCell ref="B26:B28"/>
    <mergeCell ref="E26:E28"/>
    <mergeCell ref="A29:D29"/>
  </mergeCells>
  <conditionalFormatting sqref="G8:AY10 G14:AY16 G20:AY22 G26:BV28 AZ5:BK22 AZ29:BK29 BL8:BL10 BL14:BL16 BL20:BL22 BM5:BT22 BM29:BT29 BU8:BU10 BU14:BU16 BU20:BU22 BV5:BV22 BV29">
    <cfRule type="cellIs" priority="2" operator="equal" aboveAverage="0" equalAverage="0" bottom="0" percent="0" rank="0" text="" dxfId="0">
      <formula>0</formula>
    </cfRule>
  </conditionalFormatting>
  <conditionalFormatting sqref="G5:BV7 G11:BV13 G17:BV19 G23:BV25">
    <cfRule type="cellIs" priority="3" operator="equal" aboveAverage="0" equalAverage="0" bottom="0" percent="0" rank="0" text="" dxfId="1">
      <formula>0</formula>
    </cfRule>
  </conditionalFormatting>
  <conditionalFormatting sqref="E5:E28">
    <cfRule type="cellIs" priority="4" operator="greaterThan" aboveAverage="0" equalAverage="0" bottom="0" percent="0" rank="0" text="" dxfId="2">
      <formula>2340</formula>
    </cfRule>
  </conditionalFormatting>
  <conditionalFormatting sqref="F5:F28">
    <cfRule type="cellIs" priority="5" operator="greaterThan" aboveAverage="0" equalAverage="0" bottom="0" percent="0" rank="0" text="" dxfId="2">
      <formula>780</formula>
    </cfRule>
  </conditionalFormatting>
  <conditionalFormatting sqref="Q8:Q10 Q14:Q16 Q20:Q22 Q26:Q28 BX8:BX10 BX14:BX16 BX20:BX22 BX26:BX28">
    <cfRule type="cellIs" priority="6" operator="lessThan" aboveAverage="0" equalAverage="0" bottom="0" percent="0" rank="0" text="" dxfId="0">
      <formula>0</formula>
    </cfRule>
  </conditionalFormatting>
  <conditionalFormatting sqref="Q5:Q7 Q11:Q13 Q17:Q19 Q23:Q25 BX5:BX7 BX11:BX13 BX17:BX19 BX23:BX25">
    <cfRule type="cellIs" priority="7" operator="lessThan" aboveAverage="0" equalAverage="0" bottom="0" percent="0" rank="0" text="" dxfId="1">
      <formula>0</formula>
    </cfRule>
  </conditionalFormatting>
  <conditionalFormatting sqref="Q5:Q28 BX5:BX28">
    <cfRule type="cellIs" priority="8" operator="greaterThan" aboveAverage="0" equalAverage="0" bottom="0" percent="0" rank="0" text="" dxfId="3">
      <formula>0</formula>
    </cfRule>
  </conditionalFormatting>
  <conditionalFormatting sqref="G3:BV4">
    <cfRule type="duplicateValues" priority="9" aboveAverage="0" equalAverage="0" bottom="0" percent="0" rank="0" text="" dxfId="4"/>
    <cfRule type="duplicateValues" priority="10" aboveAverage="0" equalAverage="0" bottom="0" percent="0" rank="0" text="" dxfId="4"/>
  </conditionalFormatting>
  <conditionalFormatting sqref="G3:AJ4 BL3:BL4 BU3:BU4">
    <cfRule type="duplicateValues" priority="11" aboveAverage="0" equalAverage="0" bottom="0" percent="0" rank="0" text="" dxfId="4"/>
  </conditionalFormatting>
  <printOptions headings="false" gridLines="false" gridLinesSet="true" horizontalCentered="false" verticalCentered="false"/>
  <pageMargins left="0.7875" right="0.7875" top="0.984027777777778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X176"/>
  <sheetViews>
    <sheetView showFormulas="false" showGridLines="true" showRowColHeaders="true" showZeros="true" rightToLeft="false" tabSelected="false" showOutlineSymbols="true" defaultGridColor="true" view="normal" topLeftCell="AG1" colorId="64" zoomScale="115" zoomScaleNormal="115" zoomScalePageLayoutView="100" workbookViewId="0">
      <selection pane="topLeft" activeCell="AG4" activeCellId="0" sqref="AG4"/>
    </sheetView>
  </sheetViews>
  <sheetFormatPr defaultColWidth="9.1484375" defaultRowHeight="11.25" zeroHeight="false" outlineLevelRow="0" outlineLevelCol="0"/>
  <cols>
    <col collapsed="false" customWidth="true" hidden="false" outlineLevel="0" max="1" min="1" style="58" width="4.42"/>
    <col collapsed="false" customWidth="true" hidden="false" outlineLevel="0" max="2" min="2" style="58" width="16"/>
    <col collapsed="false" customWidth="true" hidden="false" outlineLevel="0" max="4" min="3" style="58" width="3.86"/>
    <col collapsed="false" customWidth="true" hidden="false" outlineLevel="0" max="6" min="5" style="58" width="5.71"/>
    <col collapsed="false" customWidth="true" hidden="false" outlineLevel="0" max="36" min="7" style="59" width="4.71"/>
    <col collapsed="false" customWidth="true" hidden="false" outlineLevel="0" max="46" min="37" style="60" width="4.71"/>
    <col collapsed="false" customWidth="true" hidden="false" outlineLevel="0" max="51" min="47" style="58" width="4.71"/>
    <col collapsed="false" customWidth="true" hidden="false" outlineLevel="0" max="66" min="52" style="18" width="5.71"/>
    <col collapsed="false" customWidth="true" hidden="false" outlineLevel="0" max="67" min="67" style="59" width="4.71"/>
    <col collapsed="false" customWidth="true" hidden="false" outlineLevel="0" max="72" min="68" style="18" width="5.71"/>
    <col collapsed="false" customWidth="true" hidden="false" outlineLevel="0" max="73" min="73" style="59" width="4.71"/>
    <col collapsed="false" customWidth="true" hidden="false" outlineLevel="0" max="74" min="74" style="18" width="5.71"/>
    <col collapsed="false" customWidth="true" hidden="false" outlineLevel="0" max="76" min="75" style="58" width="4.71"/>
    <col collapsed="false" customWidth="false" hidden="false" outlineLevel="0" max="16384" min="77" style="58" width="9.14"/>
  </cols>
  <sheetData>
    <row r="1" s="58" customFormat="true" ht="24.75" hidden="false" customHeight="true" outlineLevel="0" collapsed="false">
      <c r="B1" s="58" t="s">
        <v>59</v>
      </c>
      <c r="AK1" s="60"/>
      <c r="AL1" s="60"/>
      <c r="AM1" s="60"/>
      <c r="AN1" s="60"/>
      <c r="AO1" s="60"/>
      <c r="AP1" s="60"/>
      <c r="AQ1" s="60"/>
      <c r="AR1" s="60"/>
      <c r="AS1" s="60"/>
      <c r="AT1" s="60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P1" s="19"/>
      <c r="BQ1" s="19"/>
      <c r="BR1" s="19"/>
      <c r="BS1" s="19"/>
      <c r="BT1" s="19"/>
      <c r="BV1" s="19"/>
    </row>
    <row r="2" s="61" customFormat="true" ht="81.75" hidden="false" customHeight="true" outlineLevel="0" collapsed="false">
      <c r="A2" s="20" t="s">
        <v>11</v>
      </c>
      <c r="B2" s="21" t="s">
        <v>12</v>
      </c>
      <c r="C2" s="23" t="s">
        <v>13</v>
      </c>
      <c r="D2" s="23"/>
      <c r="E2" s="25" t="s">
        <v>60</v>
      </c>
      <c r="F2" s="25" t="s">
        <v>15</v>
      </c>
      <c r="G2" s="24" t="s">
        <v>16</v>
      </c>
      <c r="H2" s="24"/>
      <c r="I2" s="24"/>
      <c r="J2" s="24"/>
      <c r="K2" s="24" t="s">
        <v>17</v>
      </c>
      <c r="L2" s="24" t="s">
        <v>18</v>
      </c>
      <c r="M2" s="24" t="s">
        <v>19</v>
      </c>
      <c r="N2" s="24" t="s">
        <v>20</v>
      </c>
      <c r="O2" s="24"/>
      <c r="P2" s="24"/>
      <c r="Q2" s="24"/>
      <c r="R2" s="24"/>
      <c r="S2" s="22" t="s">
        <v>21</v>
      </c>
      <c r="T2" s="22" t="s">
        <v>22</v>
      </c>
      <c r="U2" s="24" t="s">
        <v>23</v>
      </c>
      <c r="V2" s="24"/>
      <c r="W2" s="24"/>
      <c r="X2" s="24" t="s">
        <v>24</v>
      </c>
      <c r="Y2" s="24"/>
      <c r="Z2" s="24"/>
      <c r="AA2" s="22" t="s">
        <v>25</v>
      </c>
      <c r="AB2" s="22" t="s">
        <v>26</v>
      </c>
      <c r="AC2" s="22"/>
      <c r="AD2" s="24" t="s">
        <v>27</v>
      </c>
      <c r="AE2" s="24" t="s">
        <v>28</v>
      </c>
      <c r="AF2" s="24"/>
      <c r="AG2" s="24" t="s">
        <v>29</v>
      </c>
      <c r="AH2" s="24"/>
      <c r="AI2" s="24" t="s">
        <v>30</v>
      </c>
      <c r="AJ2" s="24"/>
      <c r="AK2" s="26" t="s">
        <v>31</v>
      </c>
      <c r="AL2" s="24" t="s">
        <v>32</v>
      </c>
      <c r="AM2" s="24"/>
      <c r="AN2" s="24" t="s">
        <v>33</v>
      </c>
      <c r="AO2" s="24"/>
      <c r="AP2" s="24"/>
      <c r="AQ2" s="24" t="s">
        <v>34</v>
      </c>
      <c r="AR2" s="24"/>
      <c r="AS2" s="24" t="s">
        <v>35</v>
      </c>
      <c r="AT2" s="24"/>
      <c r="AU2" s="24" t="s">
        <v>36</v>
      </c>
      <c r="AV2" s="24"/>
      <c r="AW2" s="24" t="s">
        <v>37</v>
      </c>
      <c r="AX2" s="24"/>
      <c r="AY2" s="24"/>
      <c r="AZ2" s="27" t="s">
        <v>38</v>
      </c>
      <c r="BA2" s="27"/>
      <c r="BB2" s="27"/>
      <c r="BC2" s="27"/>
      <c r="BD2" s="27"/>
      <c r="BE2" s="27"/>
      <c r="BF2" s="27"/>
      <c r="BG2" s="27"/>
      <c r="BH2" s="27"/>
      <c r="BI2" s="27"/>
      <c r="BJ2" s="28" t="s">
        <v>39</v>
      </c>
      <c r="BK2" s="28" t="s">
        <v>42</v>
      </c>
      <c r="BL2" s="28" t="s">
        <v>43</v>
      </c>
      <c r="BM2" s="28" t="s">
        <v>44</v>
      </c>
      <c r="BN2" s="24" t="s">
        <v>41</v>
      </c>
      <c r="BO2" s="24"/>
      <c r="BP2" s="28" t="s">
        <v>45</v>
      </c>
      <c r="BQ2" s="28" t="s">
        <v>45</v>
      </c>
      <c r="BR2" s="28" t="s">
        <v>46</v>
      </c>
      <c r="BS2" s="28" t="s">
        <v>46</v>
      </c>
      <c r="BT2" s="28" t="s">
        <v>46</v>
      </c>
      <c r="BU2" s="24" t="s">
        <v>47</v>
      </c>
      <c r="BV2" s="28" t="s">
        <v>48</v>
      </c>
      <c r="BW2" s="29" t="s">
        <v>49</v>
      </c>
      <c r="BX2" s="30"/>
    </row>
    <row r="3" s="61" customFormat="true" ht="68.25" hidden="false" customHeight="true" outlineLevel="0" collapsed="false">
      <c r="A3" s="20"/>
      <c r="B3" s="21"/>
      <c r="C3" s="21"/>
      <c r="D3" s="21"/>
      <c r="E3" s="21"/>
      <c r="F3" s="21"/>
      <c r="G3" s="32" t="n">
        <v>77232216999</v>
      </c>
      <c r="H3" s="32" t="n">
        <v>77232519487</v>
      </c>
      <c r="I3" s="32" t="n">
        <v>77232529999</v>
      </c>
      <c r="J3" s="32" t="n">
        <v>77232544999</v>
      </c>
      <c r="K3" s="33" t="n">
        <v>77232296999</v>
      </c>
      <c r="L3" s="33" t="n">
        <v>77232789999</v>
      </c>
      <c r="M3" s="33" t="n">
        <v>77233155999</v>
      </c>
      <c r="N3" s="33" t="n">
        <v>77233235999</v>
      </c>
      <c r="O3" s="33" t="n">
        <v>77233239999</v>
      </c>
      <c r="P3" s="33" t="n">
        <v>77233272999</v>
      </c>
      <c r="Q3" s="33" t="n">
        <v>77233292999</v>
      </c>
      <c r="R3" s="33" t="n">
        <v>77233298399</v>
      </c>
      <c r="S3" s="33" t="n">
        <v>77235128499</v>
      </c>
      <c r="T3" s="33" t="n">
        <v>77235320999</v>
      </c>
      <c r="U3" s="34" t="n">
        <v>77233623339</v>
      </c>
      <c r="V3" s="33" t="n">
        <v>77233630999</v>
      </c>
      <c r="W3" s="33" t="n">
        <v>77233637599</v>
      </c>
      <c r="X3" s="33" t="n">
        <v>77233550999</v>
      </c>
      <c r="Y3" s="33" t="n">
        <v>77233554999</v>
      </c>
      <c r="Z3" s="33" t="n">
        <v>77233556999</v>
      </c>
      <c r="AA3" s="33" t="n">
        <v>77233726999</v>
      </c>
      <c r="AB3" s="33" t="n">
        <v>77233820999</v>
      </c>
      <c r="AC3" s="33" t="n">
        <v>77233850999</v>
      </c>
      <c r="AD3" s="33" t="n">
        <v>77233420999</v>
      </c>
      <c r="AE3" s="33" t="n">
        <v>77234742999</v>
      </c>
      <c r="AF3" s="33" t="n">
        <v>77234767999</v>
      </c>
      <c r="AG3" s="33" t="n">
        <v>77234120999</v>
      </c>
      <c r="AH3" s="33" t="n">
        <v>77234127999</v>
      </c>
      <c r="AI3" s="33" t="n">
        <v>77234220999</v>
      </c>
      <c r="AJ3" s="33" t="n">
        <v>77234250999</v>
      </c>
      <c r="AK3" s="35" t="n">
        <v>77233924999</v>
      </c>
      <c r="AL3" s="35" t="n">
        <v>77234320999</v>
      </c>
      <c r="AM3" s="35" t="n">
        <v>77234350999</v>
      </c>
      <c r="AN3" s="35" t="n">
        <v>77234020999</v>
      </c>
      <c r="AO3" s="35" t="n">
        <v>77234029999</v>
      </c>
      <c r="AP3" s="35" t="n">
        <v>77234050999</v>
      </c>
      <c r="AQ3" s="35" t="n">
        <v>77234428999</v>
      </c>
      <c r="AR3" s="35" t="n">
        <v>77234450999</v>
      </c>
      <c r="AS3" s="35" t="n">
        <v>77234620999</v>
      </c>
      <c r="AT3" s="35" t="n">
        <v>77234650999</v>
      </c>
      <c r="AU3" s="35" t="n">
        <v>77234820999</v>
      </c>
      <c r="AV3" s="35" t="n">
        <v>77234850999</v>
      </c>
      <c r="AW3" s="35" t="n">
        <v>77233327999</v>
      </c>
      <c r="AX3" s="35" t="n">
        <v>77233350599</v>
      </c>
      <c r="AY3" s="35" t="n">
        <v>77233351999</v>
      </c>
      <c r="AZ3" s="36" t="n">
        <v>7722440999</v>
      </c>
      <c r="BA3" s="36" t="n">
        <v>7722445659</v>
      </c>
      <c r="BB3" s="36" t="n">
        <v>7722450199</v>
      </c>
      <c r="BC3" s="36" t="n">
        <v>7722451374</v>
      </c>
      <c r="BD3" s="36" t="n">
        <v>7722452299</v>
      </c>
      <c r="BE3" s="36" t="n">
        <v>7722453816</v>
      </c>
      <c r="BF3" s="36" t="n">
        <v>7722454099</v>
      </c>
      <c r="BG3" s="36" t="n">
        <v>7722458999</v>
      </c>
      <c r="BH3" s="36" t="n">
        <v>7722638549</v>
      </c>
      <c r="BI3" s="36" t="n">
        <v>7722639899</v>
      </c>
      <c r="BJ3" s="37" t="n">
        <v>7725750399</v>
      </c>
      <c r="BK3" s="37" t="n">
        <v>7723621299</v>
      </c>
      <c r="BL3" s="37" t="n">
        <v>7723623399</v>
      </c>
      <c r="BM3" s="37" t="n">
        <v>7725127999</v>
      </c>
      <c r="BN3" s="37" t="n">
        <v>7723724999</v>
      </c>
      <c r="BO3" s="33" t="n">
        <v>7723765499</v>
      </c>
      <c r="BP3" s="37" t="n">
        <v>7723948999</v>
      </c>
      <c r="BQ3" s="37" t="n">
        <v>7723951099</v>
      </c>
      <c r="BR3" s="37" t="n">
        <v>7723020999</v>
      </c>
      <c r="BS3" s="37" t="n">
        <v>7723029999</v>
      </c>
      <c r="BT3" s="37" t="n">
        <v>7723056549</v>
      </c>
      <c r="BU3" s="33" t="n">
        <v>7725250499</v>
      </c>
      <c r="BV3" s="37" t="n">
        <v>7183841499</v>
      </c>
      <c r="BW3" s="29"/>
      <c r="BX3" s="30"/>
    </row>
    <row r="4" s="61" customFormat="true" ht="68.25" hidden="false" customHeight="true" outlineLevel="0" collapsed="false">
      <c r="A4" s="20"/>
      <c r="B4" s="21"/>
      <c r="C4" s="21"/>
      <c r="D4" s="21"/>
      <c r="E4" s="21"/>
      <c r="F4" s="21"/>
      <c r="G4" s="32" t="n">
        <v>77232210840</v>
      </c>
      <c r="H4" s="32" t="n">
        <v>77232510512</v>
      </c>
      <c r="I4" s="32" t="n">
        <v>77232524160</v>
      </c>
      <c r="J4" s="32" t="n">
        <v>77232544000</v>
      </c>
      <c r="K4" s="33" t="n">
        <v>77232295504</v>
      </c>
      <c r="L4" s="33" t="n">
        <v>77232785000</v>
      </c>
      <c r="M4" s="33" t="n">
        <v>77233150000</v>
      </c>
      <c r="N4" s="33" t="n">
        <v>77233235000</v>
      </c>
      <c r="O4" s="33" t="n">
        <v>77233239000</v>
      </c>
      <c r="P4" s="33" t="n">
        <v>77233272000</v>
      </c>
      <c r="Q4" s="33" t="n">
        <v>77233291100</v>
      </c>
      <c r="R4" s="33" t="n">
        <v>77233297000</v>
      </c>
      <c r="S4" s="33" t="n">
        <v>77235124000</v>
      </c>
      <c r="T4" s="33" t="n">
        <v>77235320000</v>
      </c>
      <c r="U4" s="34" t="n">
        <v>77233620000</v>
      </c>
      <c r="V4" s="33" t="n">
        <v>77233630000</v>
      </c>
      <c r="W4" s="33" t="n">
        <v>77233637000</v>
      </c>
      <c r="X4" s="33" t="n">
        <v>77233550000</v>
      </c>
      <c r="Y4" s="33" t="n">
        <v>77233554000</v>
      </c>
      <c r="Z4" s="33" t="n">
        <v>77233555000</v>
      </c>
      <c r="AA4" s="33" t="n">
        <v>77233726000</v>
      </c>
      <c r="AB4" s="33" t="n">
        <v>77233820000</v>
      </c>
      <c r="AC4" s="33" t="n">
        <v>77233850000</v>
      </c>
      <c r="AD4" s="33" t="n">
        <v>77233420000</v>
      </c>
      <c r="AE4" s="33" t="n">
        <v>77234740000</v>
      </c>
      <c r="AF4" s="33" t="n">
        <v>77234767000</v>
      </c>
      <c r="AG4" s="33" t="n">
        <v>77234120000</v>
      </c>
      <c r="AH4" s="33" t="n">
        <v>77234127000</v>
      </c>
      <c r="AI4" s="33" t="n">
        <v>77234220000</v>
      </c>
      <c r="AJ4" s="33" t="n">
        <v>77234250000</v>
      </c>
      <c r="AK4" s="35" t="n">
        <v>77233922950</v>
      </c>
      <c r="AL4" s="35" t="n">
        <v>77234320000</v>
      </c>
      <c r="AM4" s="35" t="n">
        <v>77234350000</v>
      </c>
      <c r="AN4" s="35" t="n">
        <v>77234020000</v>
      </c>
      <c r="AO4" s="35" t="n">
        <v>77234029000</v>
      </c>
      <c r="AP4" s="35" t="n">
        <v>77234050000</v>
      </c>
      <c r="AQ4" s="35" t="n">
        <v>77234427000</v>
      </c>
      <c r="AR4" s="35" t="n">
        <v>77234450000</v>
      </c>
      <c r="AS4" s="35" t="n">
        <v>77234620000</v>
      </c>
      <c r="AT4" s="35" t="n">
        <v>77234650000</v>
      </c>
      <c r="AU4" s="35" t="n">
        <v>77234820000</v>
      </c>
      <c r="AV4" s="35" t="n">
        <v>77234850000</v>
      </c>
      <c r="AW4" s="35" t="n">
        <v>77233327000</v>
      </c>
      <c r="AX4" s="35" t="n">
        <v>77233350000</v>
      </c>
      <c r="AY4" s="35" t="n">
        <v>77233351000</v>
      </c>
      <c r="AZ4" s="36" t="n">
        <v>7722440000</v>
      </c>
      <c r="BA4" s="36" t="n">
        <v>7722442000</v>
      </c>
      <c r="BB4" s="36" t="n">
        <v>7722450000</v>
      </c>
      <c r="BC4" s="36" t="n">
        <v>7722451000</v>
      </c>
      <c r="BD4" s="36" t="n">
        <v>7722452000</v>
      </c>
      <c r="BE4" s="36" t="n">
        <v>7722453000</v>
      </c>
      <c r="BF4" s="36" t="n">
        <v>7722454000</v>
      </c>
      <c r="BG4" s="36" t="n">
        <v>7722458000</v>
      </c>
      <c r="BH4" s="36" t="n">
        <v>7722630000</v>
      </c>
      <c r="BI4" s="36" t="n">
        <v>7722639400</v>
      </c>
      <c r="BJ4" s="37" t="n">
        <v>7725750000</v>
      </c>
      <c r="BK4" s="37" t="n">
        <v>7723620000</v>
      </c>
      <c r="BL4" s="37" t="n">
        <v>7723621600</v>
      </c>
      <c r="BM4" s="37" t="n">
        <v>7725127000</v>
      </c>
      <c r="BN4" s="37" t="n">
        <v>7723772000</v>
      </c>
      <c r="BO4" s="33" t="n">
        <v>7723765000</v>
      </c>
      <c r="BP4" s="37" t="n">
        <v>7723948000</v>
      </c>
      <c r="BQ4" s="37" t="n">
        <v>7723950000</v>
      </c>
      <c r="BR4" s="37" t="n">
        <v>7723020000</v>
      </c>
      <c r="BS4" s="37" t="n">
        <v>7723029000</v>
      </c>
      <c r="BT4" s="37" t="n">
        <v>7723055000</v>
      </c>
      <c r="BU4" s="33" t="n">
        <v>7725250000</v>
      </c>
      <c r="BV4" s="37" t="n">
        <v>7183841400</v>
      </c>
      <c r="BW4" s="29"/>
      <c r="BX4" s="30"/>
    </row>
    <row r="5" s="15" customFormat="true" ht="12" hidden="false" customHeight="true" outlineLevel="0" collapsed="false">
      <c r="A5" s="38" t="n">
        <v>8</v>
      </c>
      <c r="B5" s="39" t="s">
        <v>61</v>
      </c>
      <c r="C5" s="41" t="n">
        <v>0</v>
      </c>
      <c r="D5" s="41" t="n">
        <v>80</v>
      </c>
      <c r="E5" s="42" t="n">
        <f aca="false">SUM(F5:F7)</f>
        <v>0</v>
      </c>
      <c r="F5" s="62" t="n">
        <f aca="false">COUNTIFS(Данные!$B$2:$B$722,8,Данные!$C$2:$C$722,0)</f>
        <v>0</v>
      </c>
      <c r="G5" s="62" t="n">
        <f aca="false">COUNTIFS(Данные!$B$2:$B$722,8,Данные!$C$2:$C$722,0,Данные!$A$2:$A$722,"&gt;="&amp;77232210840,Данные!$A$2:$A$722,"&lt;="&amp;77232216999)</f>
        <v>0</v>
      </c>
      <c r="H5" s="62" t="n">
        <f aca="false">COUNTIFS(Данные!$B$2:$B$722,8,Данные!$C$2:$C$722,0,Данные!$A$2:$A$722,"&gt;="&amp;77232510512,Данные!$A$2:$A$722,"&lt;="&amp;77232519487)</f>
        <v>0</v>
      </c>
      <c r="I5" s="62" t="n">
        <f aca="false">COUNTIFS(Данные!$B$2:$B$722,8,Данные!$C$2:$C$722,0,Данные!$A$2:$A$722,"&gt;="&amp;77232524160,Данные!$A$2:$A$722,"&lt;="&amp;77232529999)</f>
        <v>0</v>
      </c>
      <c r="J5" s="62" t="n">
        <f aca="false">COUNTIFS(Данные!$B$2:$B$722,8,Данные!$C$2:$C$722,0,Данные!$A$2:$A$722,"&gt;="&amp;77232544000,Данные!$A$2:$A$722,"&lt;="&amp;77232544999)</f>
        <v>0</v>
      </c>
      <c r="K5" s="62" t="n">
        <f aca="false">COUNTIFS(Данные!$B$2:$B$722,8,Данные!$C$2:$C$722,0,Данные!$A$2:$A$722,"&gt;="&amp;77232295504,Данные!$A$2:$A$722,"&lt;="&amp;77232296999)</f>
        <v>0</v>
      </c>
      <c r="L5" s="62" t="n">
        <f aca="false">COUNTIFS(Данные!$B$2:$B$722,8,Данные!$C$2:$C$722,0,Данные!$A$2:$A$722,"&gt;="&amp;77232785000,Данные!$A$2:$A$722,"&lt;="&amp;77232789999)</f>
        <v>0</v>
      </c>
      <c r="M5" s="62" t="n">
        <f aca="false">COUNTIFS(Данные!$B$2:$B$722,8,Данные!$C$2:$C$722,0,Данные!$A$2:$A$722,"&gt;="&amp;77233150000,Данные!$A$2:$A$722,"&lt;="&amp;77233155999)</f>
        <v>0</v>
      </c>
      <c r="N5" s="62" t="n">
        <f aca="false">COUNTIFS(Данные!$B$2:$B$722,8,Данные!$C$2:$C$722,0,Данные!$A$2:$A$722,"&gt;="&amp;77233235000,Данные!$A$2:$A$722,"&lt;="&amp;77233235999)</f>
        <v>0</v>
      </c>
      <c r="O5" s="62" t="n">
        <f aca="false">COUNTIFS(Данные!$B$2:$B$722,8,Данные!$C$2:$C$722,0,Данные!$A$2:$A$722,"&gt;="&amp;77233239000,Данные!$A$2:$A$722,"&lt;="&amp;77233239999)</f>
        <v>0</v>
      </c>
      <c r="P5" s="62" t="n">
        <f aca="false">COUNTIFS(Данные!$B$2:$B$722,8,Данные!$C$2:$C$722,0,Данные!$A$2:$A$722,"&gt;="&amp;77233272000,Данные!$A$2:$A$722,"&lt;="&amp;77233272999)</f>
        <v>0</v>
      </c>
      <c r="Q5" s="62" t="n">
        <f aca="false">COUNTIFS(Данные!$B$2:$B$722,8,Данные!$C$2:$C$722,0,Данные!$A$2:$A$722,"&gt;="&amp;77233291100,Данные!$A$2:$A$722,"&lt;="&amp;77233292999)</f>
        <v>0</v>
      </c>
      <c r="R5" s="62" t="n">
        <f aca="false">COUNTIFS(Данные!$B$2:$B$722,8,Данные!$C$2:$C$722,0,Данные!$A$2:$A$722,"&gt;="&amp;77233297000,Данные!$A$2:$A$722,"&lt;="&amp;77233298399)</f>
        <v>0</v>
      </c>
      <c r="S5" s="62" t="n">
        <f aca="false">COUNTIFS(Данные!$B$2:$B$722,8,Данные!$C$2:$C$722,0,Данные!$A$2:$A$722,"&gt;="&amp;77235124000,Данные!$A$2:$A$722,"&lt;="&amp;77235128499)</f>
        <v>0</v>
      </c>
      <c r="T5" s="62" t="n">
        <f aca="false">COUNTIFS(Данные!$B$2:$B$722,8,Данные!$C$2:$C$722,0,Данные!$A$2:$A$722,"&gt;="&amp;77235320000,Данные!$A$2:$A$722,"&lt;="&amp;77235320999)</f>
        <v>0</v>
      </c>
      <c r="U5" s="62" t="n">
        <f aca="false">COUNTIFS(Данные!$B$2:$B$722,8,Данные!$C$2:$C$722,0,Данные!$A$2:$A$722,"&gt;="&amp;77233620000,Данные!$A$2:$A$722,"&lt;="&amp;77233623339)</f>
        <v>0</v>
      </c>
      <c r="V5" s="62" t="n">
        <f aca="false">COUNTIFS(Данные!$B$2:$B$722,8,Данные!$C$2:$C$722,0,Данные!$A$2:$A$722,"&gt;="&amp;77233630000,Данные!$A$2:$A$722,"&lt;="&amp;77233630999)</f>
        <v>0</v>
      </c>
      <c r="W5" s="62" t="n">
        <f aca="false">COUNTIFS(Данные!$B$2:$B$722,8,Данные!$C$2:$C$722,0,Данные!$A$2:$A$722,"&gt;="&amp;77233637000,Данные!$A$2:$A$722,"&lt;="&amp;77233637599)</f>
        <v>0</v>
      </c>
      <c r="X5" s="62" t="n">
        <f aca="false">COUNTIFS(Данные!$B$2:$B$722,8,Данные!$C$2:$C$722,0,Данные!$A$2:$A$722,"&gt;="&amp;77233550000,Данные!$A$2:$A$722,"&lt;="&amp;77233550999)</f>
        <v>0</v>
      </c>
      <c r="Y5" s="62" t="n">
        <f aca="false">COUNTIFS(Данные!$B$2:$B$722,8,Данные!$C$2:$C$722,0,Данные!$A$2:$A$722,"&gt;="&amp;77233554000,Данные!$A$2:$A$722,"&lt;="&amp;77233554999)</f>
        <v>0</v>
      </c>
      <c r="Z5" s="62" t="n">
        <f aca="false">COUNTIFS(Данные!$B$2:$B$722,8,Данные!$C$2:$C$722,0,Данные!$A$2:$A$722,"&gt;="&amp;77233555000,Данные!$A$2:$A$722,"&lt;="&amp;77233556999)</f>
        <v>0</v>
      </c>
      <c r="AA5" s="62" t="n">
        <f aca="false">COUNTIFS(Данные!$B$2:$B$722,8,Данные!$C$2:$C$722,0,Данные!$A$2:$A$722,"&gt;="&amp;77233726000,Данные!$A$2:$A$722,"&lt;="&amp;77233726999)</f>
        <v>0</v>
      </c>
      <c r="AB5" s="62" t="n">
        <f aca="false">COUNTIFS(Данные!$B$2:$B$722,8,Данные!$C$2:$C$722,0,Данные!$A$2:$A$722,"&gt;="&amp;77233820000,Данные!$A$2:$A$722,"&lt;="&amp;77233820999)</f>
        <v>0</v>
      </c>
      <c r="AC5" s="62" t="n">
        <f aca="false">COUNTIFS(Данные!$B$2:$B$722,8,Данные!$C$2:$C$722,0,Данные!$A$2:$A$722,"&gt;="&amp;77233850000,Данные!$A$2:$A$722,"&lt;="&amp;77233850999)</f>
        <v>0</v>
      </c>
      <c r="AD5" s="62" t="n">
        <f aca="false">COUNTIFS(Данные!$B$2:$B$722,8,Данные!$C$2:$C$722,0,Данные!$A$2:$A$722,"&gt;="&amp;77233420000,Данные!$A$2:$A$722,"&lt;="&amp;77233420999)</f>
        <v>0</v>
      </c>
      <c r="AE5" s="62" t="n">
        <f aca="false">COUNTIFS(Данные!$B$2:$B$722,8,Данные!$C$2:$C$722,0,Данные!$A$2:$A$722,"&gt;="&amp;77234740000,Данные!$A$2:$A$722,"&lt;="&amp;77234742999)</f>
        <v>0</v>
      </c>
      <c r="AF5" s="62" t="n">
        <f aca="false">COUNTIFS(Данные!$B$2:$B$722,8,Данные!$C$2:$C$722,0,Данные!$A$2:$A$722,"&gt;="&amp;77234767000,Данные!$A$2:$A$722,"&lt;="&amp;77234767999)</f>
        <v>0</v>
      </c>
      <c r="AG5" s="62" t="n">
        <f aca="false">COUNTIFS(Данные!$B$2:$B$722,8,Данные!$C$2:$C$722,0,Данные!$A$2:$A$722,"&gt;="&amp;77234120000,Данные!$A$2:$A$722,"&lt;="&amp;77234120999)</f>
        <v>0</v>
      </c>
      <c r="AH5" s="62" t="n">
        <f aca="false">COUNTIFS(Данные!$B$2:$B$722,8,Данные!$C$2:$C$722,0,Данные!$A$2:$A$722,"&gt;="&amp;77234127000,Данные!$A$2:$A$722,"&lt;="&amp;77234127999)</f>
        <v>0</v>
      </c>
      <c r="AI5" s="62" t="n">
        <f aca="false">COUNTIFS(Данные!$B$2:$B$722,8,Данные!$C$2:$C$722,0,Данные!$A$2:$A$722,"&gt;="&amp;77234220000,Данные!$A$2:$A$722,"&lt;="&amp;77234220999)</f>
        <v>0</v>
      </c>
      <c r="AJ5" s="62" t="n">
        <f aca="false">COUNTIFS(Данные!$B$2:$B$722,8,Данные!$C$2:$C$722,0,Данные!$A$2:$A$722,"&gt;="&amp;77234250000,Данные!$A$2:$A$722,"&lt;="&amp;77234250999)</f>
        <v>0</v>
      </c>
      <c r="AK5" s="62" t="n">
        <f aca="false">COUNTIFS(Данные!$B$2:$B$722,8,Данные!$C$2:$C$722,0,Данные!$A$2:$A$722,"&gt;="&amp;77233922950,Данные!$A$2:$A$722,"&lt;="&amp;77233924999)</f>
        <v>0</v>
      </c>
      <c r="AL5" s="62" t="n">
        <f aca="false">COUNTIFS(Данные!$B$2:$B$722,8,Данные!$C$2:$C$722,0,Данные!$A$2:$A$722,"&gt;="&amp;77234320000,Данные!$A$2:$A$722,"&lt;="&amp;77234320999)</f>
        <v>0</v>
      </c>
      <c r="AM5" s="62" t="n">
        <f aca="false">COUNTIFS(Данные!$B$2:$B$722,8,Данные!$C$2:$C$722,0,Данные!$A$2:$A$722,"&gt;="&amp;77234350000,Данные!$A$2:$A$722,"&lt;="&amp;77234350999)</f>
        <v>0</v>
      </c>
      <c r="AN5" s="62" t="n">
        <f aca="false">COUNTIFS(Данные!$B$2:$B$722,8,Данные!$C$2:$C$722,0,Данные!$A$2:$A$722,"&gt;="&amp;77234020000,Данные!$A$2:$A$722,"&lt;="&amp;77234020999)</f>
        <v>0</v>
      </c>
      <c r="AO5" s="62" t="n">
        <f aca="false">COUNTIFS(Данные!$B$2:$B$722,8,Данные!$C$2:$C$722,0,Данные!$A$2:$A$722,"&gt;="&amp;77234029000,Данные!$A$2:$A$722,"&lt;="&amp;77234029999)</f>
        <v>0</v>
      </c>
      <c r="AP5" s="62" t="n">
        <f aca="false">COUNTIFS(Данные!$B$2:$B$722,8,Данные!$C$2:$C$722,0,Данные!$A$2:$A$722,"&gt;="&amp;77234050000,Данные!$A$2:$A$722,"&lt;="&amp;77234050999)</f>
        <v>0</v>
      </c>
      <c r="AQ5" s="62" t="n">
        <f aca="false">COUNTIFS(Данные!$B$2:$B$722,8,Данные!$C$2:$C$722,0,Данные!$A$2:$A$722,"&gt;="&amp;77234427000,Данные!$A$2:$A$722,"&lt;="&amp;77234428999)</f>
        <v>0</v>
      </c>
      <c r="AR5" s="62" t="n">
        <f aca="false">COUNTIFS(Данные!$B$2:$B$722,8,Данные!$C$2:$C$722,0,Данные!$A$2:$A$722,"&gt;="&amp;77234450000,Данные!$A$2:$A$722,"&lt;="&amp;77234450999)</f>
        <v>0</v>
      </c>
      <c r="AS5" s="62" t="n">
        <f aca="false">COUNTIFS(Данные!$B$2:$B$722,8,Данные!$C$2:$C$722,0,Данные!$A$2:$A$722,"&gt;="&amp;77234620000,Данные!$A$2:$A$722,"&lt;="&amp;77234620999)</f>
        <v>0</v>
      </c>
      <c r="AT5" s="62" t="n">
        <f aca="false">COUNTIFS(Данные!$B$2:$B$722,8,Данные!$C$2:$C$722,0,Данные!$A$2:$A$722,"&gt;="&amp;77234650000,Данные!$A$2:$A$722,"&lt;="&amp;77234650999)</f>
        <v>0</v>
      </c>
      <c r="AU5" s="62" t="n">
        <f aca="false">COUNTIFS(Данные!$B$2:$B$722,8,Данные!$C$2:$C$722,0,Данные!$A$2:$A$722,"&gt;="&amp;77234820000,Данные!$A$2:$A$722,"&lt;="&amp;77234820999)</f>
        <v>0</v>
      </c>
      <c r="AV5" s="62" t="n">
        <f aca="false">COUNTIFS(Данные!$B$2:$B$722,8,Данные!$C$2:$C$722,0,Данные!$A$2:$A$722,"&gt;="&amp;77234850000,Данные!$A$2:$A$722,"&lt;="&amp;77234850999)</f>
        <v>0</v>
      </c>
      <c r="AW5" s="62" t="n">
        <f aca="false">COUNTIFS(Данные!$B$2:$B$722,8,Данные!$C$2:$C$722,0,Данные!$A$2:$A$722,"&gt;="&amp;77233327000,Данные!$A$2:$A$722,"&lt;="&amp;77233327999)</f>
        <v>0</v>
      </c>
      <c r="AX5" s="62" t="n">
        <f aca="false">COUNTIFS(Данные!$B$2:$B$722,8,Данные!$C$2:$C$722,0,Данные!$A$2:$A$722,"&gt;="&amp;77233350000,Данные!$A$2:$A$722,"&lt;="&amp;77233350599)</f>
        <v>0</v>
      </c>
      <c r="AY5" s="62" t="n">
        <f aca="false">COUNTIFS(Данные!$B$2:$B$722,8,Данные!$C$2:$C$722,0,Данные!$A$2:$A$722,"&gt;="&amp;77233351000,Данные!$A$2:$A$722,"&lt;="&amp;77233351999)</f>
        <v>0</v>
      </c>
      <c r="AZ5" s="62" t="n">
        <f aca="false">COUNTIFS(Данные!$B$2:$B$722,8,Данные!$C$2:$C$722,0,Данные!$A$2:$A$722,"&gt;="&amp;7722440000,Данные!$A$2:$A$722,"&lt;="&amp;7722440999)</f>
        <v>0</v>
      </c>
      <c r="BA5" s="63" t="n">
        <f aca="false">COUNTIFS(Данные!$B$2:$B$722,8,Данные!$C$2:$C$722,0,Данные!$A$2:$A$722,"&gt;="&amp;7722442000,Данные!$A$2:$A$722,"&lt;="&amp;7722445659)</f>
        <v>0</v>
      </c>
      <c r="BB5" s="63" t="n">
        <f aca="false">COUNTIFS(Данные!$B$2:$B$722,8,Данные!$C$2:$C$722,0,Данные!$A$2:$A$722,"&gt;="&amp;7722450000,Данные!$A$2:$A$722,"&lt;="&amp;7722450199)</f>
        <v>0</v>
      </c>
      <c r="BC5" s="63" t="n">
        <f aca="false">COUNTIFS(Данные!$B$2:$B$722,8,Данные!$C$2:$C$722,0,Данные!$A$2:$A$722,"&gt;="&amp;7722451000,Данные!$A$2:$A$722,"&lt;="&amp;7722451374)</f>
        <v>0</v>
      </c>
      <c r="BD5" s="63" t="n">
        <f aca="false">COUNTIFS(Данные!$B$2:$B$722,8,Данные!$C$2:$C$722,0,Данные!$A$2:$A$722,"&gt;="&amp;7722452000,Данные!$A$2:$A$722,"&lt;="&amp;7722452299)</f>
        <v>0</v>
      </c>
      <c r="BE5" s="63" t="n">
        <f aca="false">COUNTIFS(Данные!$B$2:$B$722,8,Данные!$C$2:$C$722,0,Данные!$A$2:$A$722,"&gt;="&amp;7722453000,Данные!$A$2:$A$722,"&lt;="&amp;7722453816)</f>
        <v>0</v>
      </c>
      <c r="BF5" s="63" t="n">
        <f aca="false">COUNTIFS(Данные!$B$2:$B$722,8,Данные!$C$2:$C$722,0,Данные!$A$2:$A$722,"&gt;="&amp;7722454000,Данные!$A$2:$A$722,"&lt;="&amp;7722454099)</f>
        <v>0</v>
      </c>
      <c r="BG5" s="63" t="n">
        <f aca="false">COUNTIFS(Данные!$B$2:$B$722,8,Данные!$C$2:$C$722,0,Данные!$A$2:$A$722,"&gt;="&amp;7722458000,Данные!$A$2:$A$722,"&lt;="&amp;7722458999)</f>
        <v>0</v>
      </c>
      <c r="BH5" s="63" t="n">
        <f aca="false">COUNTIFS(Данные!$B$2:$B$722,8,Данные!$C$2:$C$722,0,Данные!$A$2:$A$722,"&gt;="&amp;7722630000,Данные!$A$2:$A$722,"&lt;="&amp;7722638549)</f>
        <v>0</v>
      </c>
      <c r="BI5" s="63" t="n">
        <f aca="false">COUNTIFS(Данные!$B$2:$B$722,8,Данные!$C$2:$C$722,0,Данные!$A$2:$A$722,"&gt;="&amp;7722639400,Данные!$A$2:$A$722,"&lt;="&amp;7722639899)</f>
        <v>0</v>
      </c>
      <c r="BJ5" s="63" t="n">
        <f aca="false">COUNTIFS(Данные!$B$2:$B$722,8,Данные!$C$2:$C$722,0,Данные!$A$2:$A$722,"&gt;="&amp;7725750000,Данные!$A$2:$A$722,"&lt;="&amp;7725750399)</f>
        <v>0</v>
      </c>
      <c r="BK5" s="63" t="n">
        <f aca="false">COUNTIFS(Данные!$B$2:$B$722,8,Данные!$C$2:$C$722,0,Данные!$A$2:$A$722,"&gt;="&amp;7723620000,Данные!$A$2:$A$722,"&lt;="&amp;7723621299)</f>
        <v>0</v>
      </c>
      <c r="BL5" s="63" t="n">
        <f aca="false">COUNTIFS(Данные!$B$2:$B$722,8,Данные!$C$2:$C$722,0,Данные!$A$2:$A$722,"&gt;="&amp;7723621600,Данные!$A$2:$A$722,"&lt;="&amp;7723623399)</f>
        <v>0</v>
      </c>
      <c r="BM5" s="63" t="n">
        <f aca="false">COUNTIFS(Данные!$B$2:$B$722,8,Данные!$C$2:$C$722,0,Данные!$A$2:$A$722,"&gt;="&amp;7725127000,Данные!$A$2:$A$722,"&lt;="&amp;7725127999)</f>
        <v>0</v>
      </c>
      <c r="BN5" s="63" t="n">
        <f aca="false">COUNTIFS(Данные!$B$2:$B$722,8,Данные!$C$2:$C$722,0,Данные!$A$2:$A$722,"&gt;="&amp;7723772000,Данные!$A$2:$A$722,"&lt;="&amp;7723724999)</f>
        <v>0</v>
      </c>
      <c r="BO5" s="62" t="n">
        <f aca="false">COUNTIFS(Данные!$B$2:$B$722,8,Данные!$C$2:$C$722,0,Данные!$A$2:$A$722,"&gt;="&amp;7723765000,Данные!$A$2:$A$722,"&lt;="&amp;7723765499)</f>
        <v>0</v>
      </c>
      <c r="BP5" s="63" t="n">
        <f aca="false">COUNTIFS(Данные!$B$2:$B$722,8,Данные!$C$2:$C$722,0,Данные!$A$2:$A$722,"&gt;="&amp;7723948000,Данные!$A$2:$A$722,"&lt;="&amp;7723948999)</f>
        <v>0</v>
      </c>
      <c r="BQ5" s="63" t="n">
        <f aca="false">COUNTIFS(Данные!$B$2:$B$722,8,Данные!$C$2:$C$722,0,Данные!$A$2:$A$722,"&gt;="&amp;7723950000,Данные!$A$2:$A$722,"&lt;="&amp;7723951099)</f>
        <v>0</v>
      </c>
      <c r="BR5" s="63" t="n">
        <f aca="false">COUNTIFS(Данные!$B$2:$B$722,8,Данные!$C$2:$C$722,0,Данные!$A$2:$A$722,"&gt;="&amp;7723020000,Данные!$A$2:$A$722,"&lt;="&amp;7723020999)</f>
        <v>0</v>
      </c>
      <c r="BS5" s="63" t="n">
        <f aca="false">COUNTIFS(Данные!$B$2:$B$722,8,Данные!$C$2:$C$722,0,Данные!$A$2:$A$722,"&gt;="&amp;7723029000,Данные!$A$2:$A$722,"&lt;="&amp;7723029999)</f>
        <v>0</v>
      </c>
      <c r="BT5" s="63" t="n">
        <f aca="false">COUNTIFS(Данные!$B$2:$B$722,8,Данные!$C$2:$C$722,0,Данные!$A$2:$A$722,"&gt;="&amp;7723055000,Данные!$A$2:$A$722,"&lt;="&amp;7723056549)</f>
        <v>0</v>
      </c>
      <c r="BU5" s="62" t="n">
        <f aca="false">COUNTIFS(Данные!$B$2:$B$722,8,Данные!$C$2:$C$722,0,Данные!$A$2:$A$722,"&gt;="&amp;7725250000,Данные!$A$2:$A$722,"&lt;="&amp;7725250499)</f>
        <v>0</v>
      </c>
      <c r="BV5" s="63" t="n">
        <f aca="false">COUNTIFS(Данные!$B$2:$B$722,8,Данные!$C$2:$C$722,0,Данные!$A$2:$A$722,"&gt;="&amp;7183841400,Данные!$A$2:$A$722,"&lt;="&amp;7183841499)</f>
        <v>0</v>
      </c>
      <c r="BW5" s="40" t="n">
        <v>300</v>
      </c>
      <c r="BX5" s="64" t="n">
        <f aca="false">F5-BW5</f>
        <v>-300</v>
      </c>
    </row>
    <row r="6" s="15" customFormat="true" ht="12" hidden="false" customHeight="true" outlineLevel="0" collapsed="false">
      <c r="A6" s="38"/>
      <c r="B6" s="39"/>
      <c r="C6" s="41" t="n">
        <v>1</v>
      </c>
      <c r="D6" s="41" t="n">
        <v>81</v>
      </c>
      <c r="E6" s="42"/>
      <c r="F6" s="62" t="n">
        <f aca="false">COUNTIFS(Данные!$B$2:$B$722,8,Данные!$C$2:$C$722,1)</f>
        <v>0</v>
      </c>
      <c r="G6" s="62" t="n">
        <f aca="false">COUNTIFS(Данные!$B$2:$B$722,8,Данные!$C$2:$C$722,1,Данные!$A$2:$A$722,"&gt;="&amp;77232210840,Данные!$A$2:$A$722,"&lt;="&amp;77232216999)</f>
        <v>0</v>
      </c>
      <c r="H6" s="62" t="n">
        <f aca="false">COUNTIFS(Данные!$B$2:$B$722,8,Данные!$C$2:$C$722,1,Данные!$A$2:$A$722,"&gt;="&amp;77232510512,Данные!$A$2:$A$722,"&lt;="&amp;77232519487)</f>
        <v>0</v>
      </c>
      <c r="I6" s="62" t="n">
        <f aca="false">COUNTIFS(Данные!$B$2:$B$722,8,Данные!$C$2:$C$722,1,Данные!$A$2:$A$722,"&gt;="&amp;77232524160,Данные!$A$2:$A$722,"&lt;="&amp;77232529999)</f>
        <v>0</v>
      </c>
      <c r="J6" s="62" t="n">
        <f aca="false">COUNTIFS(Данные!$B$2:$B$722,8,Данные!$C$2:$C$722,1,Данные!$A$2:$A$722,"&gt;="&amp;77232544000,Данные!$A$2:$A$722,"&lt;="&amp;77232544999)</f>
        <v>0</v>
      </c>
      <c r="K6" s="62" t="n">
        <f aca="false">COUNTIFS(Данные!$B$2:$B$722,8,Данные!$C$2:$C$722,1,Данные!$A$2:$A$722,"&gt;="&amp;77232295504,Данные!$A$2:$A$722,"&lt;="&amp;77232296999)</f>
        <v>0</v>
      </c>
      <c r="L6" s="62" t="n">
        <f aca="false">COUNTIFS(Данные!$B$2:$B$722,8,Данные!$C$2:$C$722,1,Данные!$A$2:$A$722,"&gt;="&amp;77232785000,Данные!$A$2:$A$722,"&lt;="&amp;77232789999)</f>
        <v>0</v>
      </c>
      <c r="M6" s="62" t="n">
        <f aca="false">COUNTIFS(Данные!$B$2:$B$722,8,Данные!$C$2:$C$722,1,Данные!$A$2:$A$722,"&gt;="&amp;77233150000,Данные!$A$2:$A$722,"&lt;="&amp;77233155999)</f>
        <v>0</v>
      </c>
      <c r="N6" s="62" t="n">
        <f aca="false">COUNTIFS(Данные!$B$2:$B$722,8,Данные!$C$2:$C$722,1,Данные!$A$2:$A$722,"&gt;="&amp;77233235000,Данные!$A$2:$A$722,"&lt;="&amp;77233235999)</f>
        <v>0</v>
      </c>
      <c r="O6" s="62" t="n">
        <f aca="false">COUNTIFS(Данные!$B$2:$B$722,8,Данные!$C$2:$C$722,1,Данные!$A$2:$A$722,"&gt;="&amp;77233239000,Данные!$A$2:$A$722,"&lt;="&amp;77233239999)</f>
        <v>0</v>
      </c>
      <c r="P6" s="62" t="n">
        <f aca="false">COUNTIFS(Данные!$B$2:$B$722,8,Данные!$C$2:$C$722,1,Данные!$A$2:$A$722,"&gt;="&amp;77233272000,Данные!$A$2:$A$722,"&lt;="&amp;77233272999)</f>
        <v>0</v>
      </c>
      <c r="Q6" s="62" t="n">
        <f aca="false">COUNTIFS(Данные!$B$2:$B$722,8,Данные!$C$2:$C$722,1,Данные!$A$2:$A$722,"&gt;="&amp;77233291100,Данные!$A$2:$A$722,"&lt;="&amp;77233292999)</f>
        <v>0</v>
      </c>
      <c r="R6" s="62" t="n">
        <f aca="false">COUNTIFS(Данные!$B$2:$B$722,8,Данные!$C$2:$C$722,1,Данные!$A$2:$A$722,"&gt;="&amp;77233297000,Данные!$A$2:$A$722,"&lt;="&amp;77233298399)</f>
        <v>0</v>
      </c>
      <c r="S6" s="62" t="n">
        <f aca="false">COUNTIFS(Данные!$B$2:$B$722,8,Данные!$C$2:$C$722,1,Данные!$A$2:$A$722,"&gt;="&amp;77235124000,Данные!$A$2:$A$722,"&lt;="&amp;77235128499)</f>
        <v>0</v>
      </c>
      <c r="T6" s="62" t="n">
        <f aca="false">COUNTIFS(Данные!$B$2:$B$722,8,Данные!$C$2:$C$722,1,Данные!$A$2:$A$722,"&gt;="&amp;77235320000,Данные!$A$2:$A$722,"&lt;="&amp;77235320999)</f>
        <v>0</v>
      </c>
      <c r="U6" s="62" t="n">
        <f aca="false">COUNTIFS(Данные!$B$2:$B$722,8,Данные!$C$2:$C$722,1,Данные!$A$2:$A$722,"&gt;="&amp;77233620000,Данные!$A$2:$A$722,"&lt;="&amp;77233623339)</f>
        <v>0</v>
      </c>
      <c r="V6" s="62" t="n">
        <f aca="false">COUNTIFS(Данные!$B$2:$B$722,8,Данные!$C$2:$C$722,1,Данные!$A$2:$A$722,"&gt;="&amp;77233630000,Данные!$A$2:$A$722,"&lt;="&amp;77233630999)</f>
        <v>0</v>
      </c>
      <c r="W6" s="62" t="n">
        <f aca="false">COUNTIFS(Данные!$B$2:$B$722,8,Данные!$C$2:$C$722,1,Данные!$A$2:$A$722,"&gt;="&amp;77233637000,Данные!$A$2:$A$722,"&lt;="&amp;77233637599)</f>
        <v>0</v>
      </c>
      <c r="X6" s="62" t="n">
        <f aca="false">COUNTIFS(Данные!$B$2:$B$722,8,Данные!$C$2:$C$722,1,Данные!$A$2:$A$722,"&gt;="&amp;77233550000,Данные!$A$2:$A$722,"&lt;="&amp;77233550999)</f>
        <v>0</v>
      </c>
      <c r="Y6" s="62" t="n">
        <f aca="false">COUNTIFS(Данные!$B$2:$B$722,8,Данные!$C$2:$C$722,1,Данные!$A$2:$A$722,"&gt;="&amp;77233554000,Данные!$A$2:$A$722,"&lt;="&amp;77233554999)</f>
        <v>0</v>
      </c>
      <c r="Z6" s="62" t="n">
        <f aca="false">COUNTIFS(Данные!$B$2:$B$722,8,Данные!$C$2:$C$722,1,Данные!$A$2:$A$722,"&gt;="&amp;77233555000,Данные!$A$2:$A$722,"&lt;="&amp;77233556999)</f>
        <v>0</v>
      </c>
      <c r="AA6" s="62" t="n">
        <f aca="false">COUNTIFS(Данные!$B$2:$B$722,8,Данные!$C$2:$C$722,1,Данные!$A$2:$A$722,"&gt;="&amp;77233726000,Данные!$A$2:$A$722,"&lt;="&amp;77233726999)</f>
        <v>0</v>
      </c>
      <c r="AB6" s="62" t="n">
        <f aca="false">COUNTIFS(Данные!$B$2:$B$722,8,Данные!$C$2:$C$722,1,Данные!$A$2:$A$722,"&gt;="&amp;77233820000,Данные!$A$2:$A$722,"&lt;="&amp;77233820999)</f>
        <v>0</v>
      </c>
      <c r="AC6" s="62" t="n">
        <f aca="false">COUNTIFS(Данные!$B$2:$B$722,8,Данные!$C$2:$C$722,1,Данные!$A$2:$A$722,"&gt;="&amp;77233850000,Данные!$A$2:$A$722,"&lt;="&amp;77233850999)</f>
        <v>0</v>
      </c>
      <c r="AD6" s="62" t="n">
        <f aca="false">COUNTIFS(Данные!$B$2:$B$722,8,Данные!$C$2:$C$722,1,Данные!$A$2:$A$722,"&gt;="&amp;77233420000,Данные!$A$2:$A$722,"&lt;="&amp;77233420999)</f>
        <v>0</v>
      </c>
      <c r="AE6" s="62" t="n">
        <f aca="false">COUNTIFS(Данные!$B$2:$B$722,8,Данные!$C$2:$C$722,1,Данные!$A$2:$A$722,"&gt;="&amp;77234740000,Данные!$A$2:$A$722,"&lt;="&amp;77234742999)</f>
        <v>0</v>
      </c>
      <c r="AF6" s="62" t="n">
        <f aca="false">COUNTIFS(Данные!$B$2:$B$722,8,Данные!$C$2:$C$722,1,Данные!$A$2:$A$722,"&gt;="&amp;77234767000,Данные!$A$2:$A$722,"&lt;="&amp;77234767999)</f>
        <v>0</v>
      </c>
      <c r="AG6" s="62" t="n">
        <f aca="false">COUNTIFS(Данные!$B$2:$B$722,8,Данные!$C$2:$C$722,1,Данные!$A$2:$A$722,"&gt;="&amp;77234120000,Данные!$A$2:$A$722,"&lt;="&amp;77234120999)</f>
        <v>0</v>
      </c>
      <c r="AH6" s="62" t="n">
        <f aca="false">COUNTIFS(Данные!$B$2:$B$722,8,Данные!$C$2:$C$722,1,Данные!$A$2:$A$722,"&gt;="&amp;77234127000,Данные!$A$2:$A$722,"&lt;="&amp;77234127999)</f>
        <v>0</v>
      </c>
      <c r="AI6" s="62" t="n">
        <f aca="false">COUNTIFS(Данные!$B$2:$B$722,8,Данные!$C$2:$C$722,1,Данные!$A$2:$A$722,"&gt;="&amp;77234220000,Данные!$A$2:$A$722,"&lt;="&amp;77234220999)</f>
        <v>0</v>
      </c>
      <c r="AJ6" s="62" t="n">
        <f aca="false">COUNTIFS(Данные!$B$2:$B$722,8,Данные!$C$2:$C$722,1,Данные!$A$2:$A$722,"&gt;="&amp;77234250000,Данные!$A$2:$A$722,"&lt;="&amp;77234250999)</f>
        <v>0</v>
      </c>
      <c r="AK6" s="62" t="n">
        <f aca="false">COUNTIFS(Данные!$B$2:$B$722,8,Данные!$C$2:$C$722,1,Данные!$A$2:$A$722,"&gt;="&amp;77233922950,Данные!$A$2:$A$722,"&lt;="&amp;77233924999)</f>
        <v>0</v>
      </c>
      <c r="AL6" s="62" t="n">
        <f aca="false">COUNTIFS(Данные!$B$2:$B$722,8,Данные!$C$2:$C$722,1,Данные!$A$2:$A$722,"&gt;="&amp;77234320000,Данные!$A$2:$A$722,"&lt;="&amp;77234320999)</f>
        <v>0</v>
      </c>
      <c r="AM6" s="62" t="n">
        <f aca="false">COUNTIFS(Данные!$B$2:$B$722,8,Данные!$C$2:$C$722,1,Данные!$A$2:$A$722,"&gt;="&amp;77234350000,Данные!$A$2:$A$722,"&lt;="&amp;77234350999)</f>
        <v>0</v>
      </c>
      <c r="AN6" s="62" t="n">
        <f aca="false">COUNTIFS(Данные!$B$2:$B$722,8,Данные!$C$2:$C$722,1,Данные!$A$2:$A$722,"&gt;="&amp;77234020000,Данные!$A$2:$A$722,"&lt;="&amp;77234020999)</f>
        <v>0</v>
      </c>
      <c r="AO6" s="62" t="n">
        <f aca="false">COUNTIFS(Данные!$B$2:$B$722,8,Данные!$C$2:$C$722,1,Данные!$A$2:$A$722,"&gt;="&amp;77234029000,Данные!$A$2:$A$722,"&lt;="&amp;77234029999)</f>
        <v>0</v>
      </c>
      <c r="AP6" s="62" t="n">
        <f aca="false">COUNTIFS(Данные!$B$2:$B$722,8,Данные!$C$2:$C$722,1,Данные!$A$2:$A$722,"&gt;="&amp;77234050000,Данные!$A$2:$A$722,"&lt;="&amp;77234050999)</f>
        <v>0</v>
      </c>
      <c r="AQ6" s="62" t="n">
        <f aca="false">COUNTIFS(Данные!$B$2:$B$722,8,Данные!$C$2:$C$722,1,Данные!$A$2:$A$722,"&gt;="&amp;77234427000,Данные!$A$2:$A$722,"&lt;="&amp;77234428999)</f>
        <v>0</v>
      </c>
      <c r="AR6" s="62" t="n">
        <f aca="false">COUNTIFS(Данные!$B$2:$B$722,8,Данные!$C$2:$C$722,1,Данные!$A$2:$A$722,"&gt;="&amp;77234450000,Данные!$A$2:$A$722,"&lt;="&amp;77234450999)</f>
        <v>0</v>
      </c>
      <c r="AS6" s="62" t="n">
        <f aca="false">COUNTIFS(Данные!$B$2:$B$722,8,Данные!$C$2:$C$722,1,Данные!$A$2:$A$722,"&gt;="&amp;77234620000,Данные!$A$2:$A$722,"&lt;="&amp;77234620999)</f>
        <v>0</v>
      </c>
      <c r="AT6" s="62" t="n">
        <f aca="false">COUNTIFS(Данные!$B$2:$B$722,8,Данные!$C$2:$C$722,1,Данные!$A$2:$A$722,"&gt;="&amp;77234650000,Данные!$A$2:$A$722,"&lt;="&amp;77234650999)</f>
        <v>0</v>
      </c>
      <c r="AU6" s="62" t="n">
        <f aca="false">COUNTIFS(Данные!$B$2:$B$722,8,Данные!$C$2:$C$722,1,Данные!$A$2:$A$722,"&gt;="&amp;77234820000,Данные!$A$2:$A$722,"&lt;="&amp;77234820999)</f>
        <v>0</v>
      </c>
      <c r="AV6" s="62" t="n">
        <f aca="false">COUNTIFS(Данные!$B$2:$B$722,8,Данные!$C$2:$C$722,1,Данные!$A$2:$A$722,"&gt;="&amp;77234850000,Данные!$A$2:$A$722,"&lt;="&amp;77234850999)</f>
        <v>0</v>
      </c>
      <c r="AW6" s="62" t="n">
        <f aca="false">COUNTIFS(Данные!$B$2:$B$722,8,Данные!$C$2:$C$722,1,Данные!$A$2:$A$722,"&gt;="&amp;77233327000,Данные!$A$2:$A$722,"&lt;="&amp;77233327999)</f>
        <v>0</v>
      </c>
      <c r="AX6" s="62" t="n">
        <f aca="false">COUNTIFS(Данные!$B$2:$B$722,8,Данные!$C$2:$C$722,1,Данные!$A$2:$A$722,"&gt;="&amp;77233350000,Данные!$A$2:$A$722,"&lt;="&amp;77233350599)</f>
        <v>0</v>
      </c>
      <c r="AY6" s="62" t="n">
        <f aca="false">COUNTIFS(Данные!$B$2:$B$722,8,Данные!$C$2:$C$722,1,Данные!$A$2:$A$722,"&gt;="&amp;77233351000,Данные!$A$2:$A$722,"&lt;="&amp;77233351999)</f>
        <v>0</v>
      </c>
      <c r="AZ6" s="63" t="n">
        <f aca="false">COUNTIFS(Данные!$B$2:$B$722,8,Данные!$C$2:$C$722,1,Данные!$A$2:$A$722,"&gt;="&amp;7722440000,Данные!$A$2:$A$722,"&lt;="&amp;7722440999)</f>
        <v>0</v>
      </c>
      <c r="BA6" s="63" t="n">
        <f aca="false">COUNTIFS(Данные!$B$2:$B$722,8,Данные!$C$2:$C$722,1,Данные!$A$2:$A$722,"&gt;="&amp;7722442000,Данные!$A$2:$A$722,"&lt;="&amp;7722445659)</f>
        <v>0</v>
      </c>
      <c r="BB6" s="63" t="n">
        <f aca="false">COUNTIFS(Данные!$B$2:$B$722,8,Данные!$C$2:$C$722,1,Данные!$A$2:$A$722,"&gt;="&amp;7722450000,Данные!$A$2:$A$722,"&lt;="&amp;7722450199)</f>
        <v>0</v>
      </c>
      <c r="BC6" s="63" t="n">
        <f aca="false">COUNTIFS(Данные!$B$2:$B$722,8,Данные!$C$2:$C$722,1,Данные!$A$2:$A$722,"&gt;="&amp;7722451000,Данные!$A$2:$A$722,"&lt;="&amp;7722451374)</f>
        <v>0</v>
      </c>
      <c r="BD6" s="63" t="n">
        <f aca="false">COUNTIFS(Данные!$B$2:$B$722,8,Данные!$C$2:$C$722,1,Данные!$A$2:$A$722,"&gt;="&amp;7722452000,Данные!$A$2:$A$722,"&lt;="&amp;7722452299)</f>
        <v>0</v>
      </c>
      <c r="BE6" s="63" t="n">
        <f aca="false">COUNTIFS(Данные!$B$2:$B$722,8,Данные!$C$2:$C$722,1,Данные!$A$2:$A$722,"&gt;="&amp;7722453000,Данные!$A$2:$A$722,"&lt;="&amp;7722453816)</f>
        <v>0</v>
      </c>
      <c r="BF6" s="63" t="n">
        <f aca="false">COUNTIFS(Данные!$B$2:$B$722,8,Данные!$C$2:$C$722,1,Данные!$A$2:$A$722,"&gt;="&amp;7722454000,Данные!$A$2:$A$722,"&lt;="&amp;7722454099)</f>
        <v>0</v>
      </c>
      <c r="BG6" s="63" t="n">
        <f aca="false">COUNTIFS(Данные!$B$2:$B$722,8,Данные!$C$2:$C$722,1,Данные!$A$2:$A$722,"&gt;="&amp;7722458000,Данные!$A$2:$A$722,"&lt;="&amp;7722458999)</f>
        <v>0</v>
      </c>
      <c r="BH6" s="63" t="n">
        <f aca="false">COUNTIFS(Данные!$B$2:$B$722,8,Данные!$C$2:$C$722,1,Данные!$A$2:$A$722,"&gt;="&amp;7722630000,Данные!$A$2:$A$722,"&lt;="&amp;7722638549)</f>
        <v>0</v>
      </c>
      <c r="BI6" s="63" t="n">
        <f aca="false">COUNTIFS(Данные!$B$2:$B$722,8,Данные!$C$2:$C$722,1,Данные!$A$2:$A$722,"&gt;="&amp;7722639400,Данные!$A$2:$A$722,"&lt;="&amp;7722639899)</f>
        <v>0</v>
      </c>
      <c r="BJ6" s="63" t="n">
        <f aca="false">COUNTIFS(Данные!$B$2:$B$722,8,Данные!$C$2:$C$722,1,Данные!$A$2:$A$722,"&gt;="&amp;7725750000,Данные!$A$2:$A$722,"&lt;="&amp;7725750399)</f>
        <v>0</v>
      </c>
      <c r="BK6" s="63" t="n">
        <f aca="false">COUNTIFS(Данные!$B$2:$B$722,8,Данные!$C$2:$C$722,1,Данные!$A$2:$A$722,"&gt;="&amp;7723620000,Данные!$A$2:$A$722,"&lt;="&amp;7723621299)</f>
        <v>0</v>
      </c>
      <c r="BL6" s="63" t="n">
        <f aca="false">COUNTIFS(Данные!$B$2:$B$722,8,Данные!$C$2:$C$722,1,Данные!$A$2:$A$722,"&gt;="&amp;7723621600,Данные!$A$2:$A$722,"&lt;="&amp;7723623399)</f>
        <v>0</v>
      </c>
      <c r="BM6" s="63" t="n">
        <f aca="false">COUNTIFS(Данные!$B$2:$B$722,8,Данные!$C$2:$C$722,1,Данные!$A$2:$A$722,"&gt;="&amp;7725127000,Данные!$A$2:$A$722,"&lt;="&amp;7725127999)</f>
        <v>0</v>
      </c>
      <c r="BN6" s="63" t="n">
        <f aca="false">COUNTIFS(Данные!$B$2:$B$722,8,Данные!$C$2:$C$722,1,Данные!$A$2:$A$722,"&gt;="&amp;7723772000,Данные!$A$2:$A$722,"&lt;="&amp;7723724999)</f>
        <v>0</v>
      </c>
      <c r="BO6" s="62" t="n">
        <f aca="false">COUNTIFS(Данные!$B$2:$B$722,8,Данные!$C$2:$C$722,1,Данные!$A$2:$A$722,"&gt;="&amp;7723765000,Данные!$A$2:$A$722,"&lt;="&amp;7723765499)</f>
        <v>0</v>
      </c>
      <c r="BP6" s="63" t="n">
        <f aca="false">COUNTIFS(Данные!$B$2:$B$722,8,Данные!$C$2:$C$722,1,Данные!$A$2:$A$722,"&gt;="&amp;7723948000,Данные!$A$2:$A$722,"&lt;="&amp;7723948999)</f>
        <v>0</v>
      </c>
      <c r="BQ6" s="63" t="n">
        <f aca="false">COUNTIFS(Данные!$B$2:$B$722,8,Данные!$C$2:$C$722,1,Данные!$A$2:$A$722,"&gt;="&amp;7723950000,Данные!$A$2:$A$722,"&lt;="&amp;7723951099)</f>
        <v>0</v>
      </c>
      <c r="BR6" s="63" t="n">
        <f aca="false">COUNTIFS(Данные!$B$2:$B$722,8,Данные!$C$2:$C$722,1,Данные!$A$2:$A$722,"&gt;="&amp;7723020000,Данные!$A$2:$A$722,"&lt;="&amp;7723020999)</f>
        <v>0</v>
      </c>
      <c r="BS6" s="63" t="n">
        <f aca="false">COUNTIFS(Данные!$B$2:$B$722,8,Данные!$C$2:$C$722,1,Данные!$A$2:$A$722,"&gt;="&amp;7723029000,Данные!$A$2:$A$722,"&lt;="&amp;7723029999)</f>
        <v>0</v>
      </c>
      <c r="BT6" s="63" t="n">
        <f aca="false">COUNTIFS(Данные!$B$2:$B$722,8,Данные!$C$2:$C$722,1,Данные!$A$2:$A$722,"&gt;="&amp;7723055000,Данные!$A$2:$A$722,"&lt;="&amp;7723056549)</f>
        <v>0</v>
      </c>
      <c r="BU6" s="62" t="n">
        <f aca="false">COUNTIFS(Данные!$B$2:$B$722,8,Данные!$C$2:$C$722,1,Данные!$A$2:$A$722,"&gt;="&amp;7725250000,Данные!$A$2:$A$722,"&lt;="&amp;7725250499)</f>
        <v>0</v>
      </c>
      <c r="BV6" s="63" t="n">
        <f aca="false">COUNTIFS(Данные!$B$2:$B$722,8,Данные!$C$2:$C$722,1,Данные!$A$2:$A$722,"&gt;="&amp;7183841400,Данные!$A$2:$A$722,"&lt;="&amp;7183841499)</f>
        <v>0</v>
      </c>
      <c r="BW6" s="40" t="n">
        <v>300</v>
      </c>
      <c r="BX6" s="64" t="n">
        <f aca="false">F6-BW6</f>
        <v>-300</v>
      </c>
    </row>
    <row r="7" s="15" customFormat="true" ht="12" hidden="false" customHeight="true" outlineLevel="0" collapsed="false">
      <c r="A7" s="38"/>
      <c r="B7" s="39"/>
      <c r="C7" s="41" t="n">
        <v>2</v>
      </c>
      <c r="D7" s="41" t="n">
        <v>82</v>
      </c>
      <c r="E7" s="42"/>
      <c r="F7" s="62" t="n">
        <f aca="false">COUNTIFS(Данные!$B$2:$B$722,8,Данные!$C$2:$C$722,2)</f>
        <v>0</v>
      </c>
      <c r="G7" s="62" t="n">
        <f aca="false">COUNTIFS(Данные!$B$2:$B$722,8,Данные!$C$2:$C$722,2,Данные!$A$2:$A$722,"&gt;="&amp;77232210840,Данные!$A$2:$A$722,"&lt;="&amp;77232216999)</f>
        <v>0</v>
      </c>
      <c r="H7" s="62" t="n">
        <f aca="false">COUNTIFS(Данные!$B$2:$B$722,8,Данные!$C$2:$C$722,2,Данные!$A$2:$A$722,"&gt;="&amp;77232510512,Данные!$A$2:$A$722,"&lt;="&amp;77232519487)</f>
        <v>0</v>
      </c>
      <c r="I7" s="62" t="n">
        <f aca="false">COUNTIFS(Данные!$B$2:$B$722,8,Данные!$C$2:$C$722,2,Данные!$A$2:$A$722,"&gt;="&amp;77232524160,Данные!$A$2:$A$722,"&lt;="&amp;77232529999)</f>
        <v>0</v>
      </c>
      <c r="J7" s="62" t="n">
        <f aca="false">COUNTIFS(Данные!$B$2:$B$722,8,Данные!$C$2:$C$722,2,Данные!$A$2:$A$722,"&gt;="&amp;77232544000,Данные!$A$2:$A$722,"&lt;="&amp;77232544999)</f>
        <v>0</v>
      </c>
      <c r="K7" s="62" t="n">
        <f aca="false">COUNTIFS(Данные!$B$2:$B$722,8,Данные!$C$2:$C$722,2,Данные!$A$2:$A$722,"&gt;="&amp;77232295504,Данные!$A$2:$A$722,"&lt;="&amp;77232296999)</f>
        <v>0</v>
      </c>
      <c r="L7" s="62" t="n">
        <f aca="false">COUNTIFS(Данные!$B$2:$B$722,8,Данные!$C$2:$C$722,2,Данные!$A$2:$A$722,"&gt;="&amp;77232785000,Данные!$A$2:$A$722,"&lt;="&amp;77232789999)</f>
        <v>0</v>
      </c>
      <c r="M7" s="62" t="n">
        <f aca="false">COUNTIFS(Данные!$B$2:$B$722,8,Данные!$C$2:$C$722,2,Данные!$A$2:$A$722,"&gt;="&amp;77233150000,Данные!$A$2:$A$722,"&lt;="&amp;77233155999)</f>
        <v>0</v>
      </c>
      <c r="N7" s="62" t="n">
        <f aca="false">COUNTIFS(Данные!$B$2:$B$722,8,Данные!$C$2:$C$722,2,Данные!$A$2:$A$722,"&gt;="&amp;77233235000,Данные!$A$2:$A$722,"&lt;="&amp;77233235999)</f>
        <v>0</v>
      </c>
      <c r="O7" s="62" t="n">
        <f aca="false">COUNTIFS(Данные!$B$2:$B$722,8,Данные!$C$2:$C$722,2,Данные!$A$2:$A$722,"&gt;="&amp;77233239000,Данные!$A$2:$A$722,"&lt;="&amp;77233239999)</f>
        <v>0</v>
      </c>
      <c r="P7" s="62" t="n">
        <f aca="false">COUNTIFS(Данные!$B$2:$B$722,8,Данные!$C$2:$C$722,2,Данные!$A$2:$A$722,"&gt;="&amp;77233272000,Данные!$A$2:$A$722,"&lt;="&amp;77233272999)</f>
        <v>0</v>
      </c>
      <c r="Q7" s="62" t="n">
        <f aca="false">COUNTIFS(Данные!$B$2:$B$722,8,Данные!$C$2:$C$722,2,Данные!$A$2:$A$722,"&gt;="&amp;77233291100,Данные!$A$2:$A$722,"&lt;="&amp;77233292999)</f>
        <v>0</v>
      </c>
      <c r="R7" s="62" t="n">
        <f aca="false">COUNTIFS(Данные!$B$2:$B$722,8,Данные!$C$2:$C$722,2,Данные!$A$2:$A$722,"&gt;="&amp;77233297000,Данные!$A$2:$A$722,"&lt;="&amp;77233298399)</f>
        <v>0</v>
      </c>
      <c r="S7" s="62" t="n">
        <f aca="false">COUNTIFS(Данные!$B$2:$B$722,8,Данные!$C$2:$C$722,2,Данные!$A$2:$A$722,"&gt;="&amp;77235124000,Данные!$A$2:$A$722,"&lt;="&amp;77235128499)</f>
        <v>0</v>
      </c>
      <c r="T7" s="62" t="n">
        <f aca="false">COUNTIFS(Данные!$B$2:$B$722,8,Данные!$C$2:$C$722,2,Данные!$A$2:$A$722,"&gt;="&amp;77235320000,Данные!$A$2:$A$722,"&lt;="&amp;77235320999)</f>
        <v>0</v>
      </c>
      <c r="U7" s="62" t="n">
        <f aca="false">COUNTIFS(Данные!$B$2:$B$722,8,Данные!$C$2:$C$722,2,Данные!$A$2:$A$722,"&gt;="&amp;77233620000,Данные!$A$2:$A$722,"&lt;="&amp;77233623339)</f>
        <v>0</v>
      </c>
      <c r="V7" s="62" t="n">
        <f aca="false">COUNTIFS(Данные!$B$2:$B$722,8,Данные!$C$2:$C$722,2,Данные!$A$2:$A$722,"&gt;="&amp;77233630000,Данные!$A$2:$A$722,"&lt;="&amp;77233630999)</f>
        <v>0</v>
      </c>
      <c r="W7" s="62" t="n">
        <f aca="false">COUNTIFS(Данные!$B$2:$B$722,8,Данные!$C$2:$C$722,2,Данные!$A$2:$A$722,"&gt;="&amp;77233637000,Данные!$A$2:$A$722,"&lt;="&amp;77233637599)</f>
        <v>0</v>
      </c>
      <c r="X7" s="62" t="n">
        <f aca="false">COUNTIFS(Данные!$B$2:$B$722,8,Данные!$C$2:$C$722,2,Данные!$A$2:$A$722,"&gt;="&amp;77233550000,Данные!$A$2:$A$722,"&lt;="&amp;77233550999)</f>
        <v>0</v>
      </c>
      <c r="Y7" s="62" t="n">
        <f aca="false">COUNTIFS(Данные!$B$2:$B$722,8,Данные!$C$2:$C$722,2,Данные!$A$2:$A$722,"&gt;="&amp;77233554000,Данные!$A$2:$A$722,"&lt;="&amp;77233554999)</f>
        <v>0</v>
      </c>
      <c r="Z7" s="62" t="n">
        <f aca="false">COUNTIFS(Данные!$B$2:$B$722,8,Данные!$C$2:$C$722,2,Данные!$A$2:$A$722,"&gt;="&amp;77233555000,Данные!$A$2:$A$722,"&lt;="&amp;77233556999)</f>
        <v>0</v>
      </c>
      <c r="AA7" s="62" t="n">
        <f aca="false">COUNTIFS(Данные!$B$2:$B$722,8,Данные!$C$2:$C$722,2,Данные!$A$2:$A$722,"&gt;="&amp;77233726000,Данные!$A$2:$A$722,"&lt;="&amp;77233726999)</f>
        <v>0</v>
      </c>
      <c r="AB7" s="62" t="n">
        <f aca="false">COUNTIFS(Данные!$B$2:$B$722,8,Данные!$C$2:$C$722,2,Данные!$A$2:$A$722,"&gt;="&amp;77233820000,Данные!$A$2:$A$722,"&lt;="&amp;77233820999)</f>
        <v>0</v>
      </c>
      <c r="AC7" s="62" t="n">
        <f aca="false">COUNTIFS(Данные!$B$2:$B$722,8,Данные!$C$2:$C$722,2,Данные!$A$2:$A$722,"&gt;="&amp;77233850000,Данные!$A$2:$A$722,"&lt;="&amp;77233850999)</f>
        <v>0</v>
      </c>
      <c r="AD7" s="62" t="n">
        <f aca="false">COUNTIFS(Данные!$B$2:$B$722,8,Данные!$C$2:$C$722,2,Данные!$A$2:$A$722,"&gt;="&amp;77233420000,Данные!$A$2:$A$722,"&lt;="&amp;77233420999)</f>
        <v>0</v>
      </c>
      <c r="AE7" s="62" t="n">
        <f aca="false">COUNTIFS(Данные!$B$2:$B$722,8,Данные!$C$2:$C$722,2,Данные!$A$2:$A$722,"&gt;="&amp;77234740000,Данные!$A$2:$A$722,"&lt;="&amp;77234742999)</f>
        <v>0</v>
      </c>
      <c r="AF7" s="62" t="n">
        <f aca="false">COUNTIFS(Данные!$B$2:$B$722,8,Данные!$C$2:$C$722,2,Данные!$A$2:$A$722,"&gt;="&amp;77234767000,Данные!$A$2:$A$722,"&lt;="&amp;77234767999)</f>
        <v>0</v>
      </c>
      <c r="AG7" s="62" t="n">
        <f aca="false">COUNTIFS(Данные!$B$2:$B$722,8,Данные!$C$2:$C$722,2,Данные!$A$2:$A$722,"&gt;="&amp;77234120000,Данные!$A$2:$A$722,"&lt;="&amp;77234120999)</f>
        <v>0</v>
      </c>
      <c r="AH7" s="62" t="n">
        <f aca="false">COUNTIFS(Данные!$B$2:$B$722,8,Данные!$C$2:$C$722,2,Данные!$A$2:$A$722,"&gt;="&amp;77234127000,Данные!$A$2:$A$722,"&lt;="&amp;77234127999)</f>
        <v>0</v>
      </c>
      <c r="AI7" s="62" t="n">
        <f aca="false">COUNTIFS(Данные!$B$2:$B$722,8,Данные!$C$2:$C$722,2,Данные!$A$2:$A$722,"&gt;="&amp;77234220000,Данные!$A$2:$A$722,"&lt;="&amp;77234220999)</f>
        <v>0</v>
      </c>
      <c r="AJ7" s="62" t="n">
        <f aca="false">COUNTIFS(Данные!$B$2:$B$722,8,Данные!$C$2:$C$722,2,Данные!$A$2:$A$722,"&gt;="&amp;77234250000,Данные!$A$2:$A$722,"&lt;="&amp;77234250999)</f>
        <v>0</v>
      </c>
      <c r="AK7" s="62" t="n">
        <f aca="false">COUNTIFS(Данные!$B$2:$B$722,8,Данные!$C$2:$C$722,2,Данные!$A$2:$A$722,"&gt;="&amp;77233922950,Данные!$A$2:$A$722,"&lt;="&amp;77233924999)</f>
        <v>0</v>
      </c>
      <c r="AL7" s="62" t="n">
        <f aca="false">COUNTIFS(Данные!$B$2:$B$722,8,Данные!$C$2:$C$722,2,Данные!$A$2:$A$722,"&gt;="&amp;77234320000,Данные!$A$2:$A$722,"&lt;="&amp;77234320999)</f>
        <v>0</v>
      </c>
      <c r="AM7" s="62" t="n">
        <f aca="false">COUNTIFS(Данные!$B$2:$B$722,8,Данные!$C$2:$C$722,2,Данные!$A$2:$A$722,"&gt;="&amp;77234350000,Данные!$A$2:$A$722,"&lt;="&amp;77234350999)</f>
        <v>0</v>
      </c>
      <c r="AN7" s="62" t="n">
        <f aca="false">COUNTIFS(Данные!$B$2:$B$722,8,Данные!$C$2:$C$722,2,Данные!$A$2:$A$722,"&gt;="&amp;77234020000,Данные!$A$2:$A$722,"&lt;="&amp;77234020999)</f>
        <v>0</v>
      </c>
      <c r="AO7" s="62" t="n">
        <f aca="false">COUNTIFS(Данные!$B$2:$B$722,8,Данные!$C$2:$C$722,2,Данные!$A$2:$A$722,"&gt;="&amp;77234029000,Данные!$A$2:$A$722,"&lt;="&amp;77234029999)</f>
        <v>0</v>
      </c>
      <c r="AP7" s="62" t="n">
        <f aca="false">COUNTIFS(Данные!$B$2:$B$722,8,Данные!$C$2:$C$722,2,Данные!$A$2:$A$722,"&gt;="&amp;77234050000,Данные!$A$2:$A$722,"&lt;="&amp;77234050999)</f>
        <v>0</v>
      </c>
      <c r="AQ7" s="62" t="n">
        <f aca="false">COUNTIFS(Данные!$B$2:$B$722,8,Данные!$C$2:$C$722,2,Данные!$A$2:$A$722,"&gt;="&amp;77234427000,Данные!$A$2:$A$722,"&lt;="&amp;77234428999)</f>
        <v>0</v>
      </c>
      <c r="AR7" s="62" t="n">
        <f aca="false">COUNTIFS(Данные!$B$2:$B$722,8,Данные!$C$2:$C$722,2,Данные!$A$2:$A$722,"&gt;="&amp;77234450000,Данные!$A$2:$A$722,"&lt;="&amp;77234450999)</f>
        <v>0</v>
      </c>
      <c r="AS7" s="62" t="n">
        <f aca="false">COUNTIFS(Данные!$B$2:$B$722,8,Данные!$C$2:$C$722,2,Данные!$A$2:$A$722,"&gt;="&amp;77234620000,Данные!$A$2:$A$722,"&lt;="&amp;77234620999)</f>
        <v>0</v>
      </c>
      <c r="AT7" s="62" t="n">
        <f aca="false">COUNTIFS(Данные!$B$2:$B$722,8,Данные!$C$2:$C$722,2,Данные!$A$2:$A$722,"&gt;="&amp;77234650000,Данные!$A$2:$A$722,"&lt;="&amp;77234650999)</f>
        <v>0</v>
      </c>
      <c r="AU7" s="62" t="n">
        <f aca="false">COUNTIFS(Данные!$B$2:$B$722,8,Данные!$C$2:$C$722,2,Данные!$A$2:$A$722,"&gt;="&amp;77234820000,Данные!$A$2:$A$722,"&lt;="&amp;77234820999)</f>
        <v>0</v>
      </c>
      <c r="AV7" s="62" t="n">
        <f aca="false">COUNTIFS(Данные!$B$2:$B$722,8,Данные!$C$2:$C$722,2,Данные!$A$2:$A$722,"&gt;="&amp;77234850000,Данные!$A$2:$A$722,"&lt;="&amp;77234850999)</f>
        <v>0</v>
      </c>
      <c r="AW7" s="62" t="n">
        <f aca="false">COUNTIFS(Данные!$B$2:$B$722,8,Данные!$C$2:$C$722,2,Данные!$A$2:$A$722,"&gt;="&amp;77233327000,Данные!$A$2:$A$722,"&lt;="&amp;77233327999)</f>
        <v>0</v>
      </c>
      <c r="AX7" s="62" t="n">
        <f aca="false">COUNTIFS(Данные!$B$2:$B$722,8,Данные!$C$2:$C$722,2,Данные!$A$2:$A$722,"&gt;="&amp;77233350000,Данные!$A$2:$A$722,"&lt;="&amp;77233350599)</f>
        <v>0</v>
      </c>
      <c r="AY7" s="62" t="n">
        <f aca="false">COUNTIFS(Данные!$B$2:$B$722,8,Данные!$C$2:$C$722,2,Данные!$A$2:$A$722,"&gt;="&amp;77233351000,Данные!$A$2:$A$722,"&lt;="&amp;77233351999)</f>
        <v>0</v>
      </c>
      <c r="AZ7" s="63" t="n">
        <f aca="false">COUNTIFS(Данные!$B$2:$B$722,8,Данные!$C$2:$C$722,2,Данные!$A$2:$A$722,"&gt;="&amp;7722440000,Данные!$A$2:$A$722,"&lt;="&amp;7722440999)</f>
        <v>0</v>
      </c>
      <c r="BA7" s="63" t="n">
        <f aca="false">COUNTIFS(Данные!$B$2:$B$722,8,Данные!$C$2:$C$722,2,Данные!$A$2:$A$722,"&gt;="&amp;7722442000,Данные!$A$2:$A$722,"&lt;="&amp;7722445659)</f>
        <v>0</v>
      </c>
      <c r="BB7" s="63" t="n">
        <f aca="false">COUNTIFS(Данные!$B$2:$B$722,8,Данные!$C$2:$C$722,2,Данные!$A$2:$A$722,"&gt;="&amp;7722450000,Данные!$A$2:$A$722,"&lt;="&amp;7722450199)</f>
        <v>0</v>
      </c>
      <c r="BC7" s="63" t="n">
        <f aca="false">COUNTIFS(Данные!$B$2:$B$722,8,Данные!$C$2:$C$722,2,Данные!$A$2:$A$722,"&gt;="&amp;7722451000,Данные!$A$2:$A$722,"&lt;="&amp;7722451374)</f>
        <v>0</v>
      </c>
      <c r="BD7" s="63" t="n">
        <f aca="false">COUNTIFS(Данные!$B$2:$B$722,8,Данные!$C$2:$C$722,2,Данные!$A$2:$A$722,"&gt;="&amp;7722452000,Данные!$A$2:$A$722,"&lt;="&amp;7722452299)</f>
        <v>0</v>
      </c>
      <c r="BE7" s="63" t="n">
        <f aca="false">COUNTIFS(Данные!$B$2:$B$722,8,Данные!$C$2:$C$722,2,Данные!$A$2:$A$722,"&gt;="&amp;7722453000,Данные!$A$2:$A$722,"&lt;="&amp;7722453816)</f>
        <v>0</v>
      </c>
      <c r="BF7" s="63" t="n">
        <f aca="false">COUNTIFS(Данные!$B$2:$B$722,8,Данные!$C$2:$C$722,2,Данные!$A$2:$A$722,"&gt;="&amp;7722454000,Данные!$A$2:$A$722,"&lt;="&amp;7722454099)</f>
        <v>0</v>
      </c>
      <c r="BG7" s="63" t="n">
        <f aca="false">COUNTIFS(Данные!$B$2:$B$722,8,Данные!$C$2:$C$722,2,Данные!$A$2:$A$722,"&gt;="&amp;7722458000,Данные!$A$2:$A$722,"&lt;="&amp;7722458999)</f>
        <v>0</v>
      </c>
      <c r="BH7" s="63" t="n">
        <f aca="false">COUNTIFS(Данные!$B$2:$B$722,8,Данные!$C$2:$C$722,2,Данные!$A$2:$A$722,"&gt;="&amp;7722630000,Данные!$A$2:$A$722,"&lt;="&amp;7722638549)</f>
        <v>0</v>
      </c>
      <c r="BI7" s="63" t="n">
        <f aca="false">COUNTIFS(Данные!$B$2:$B$722,8,Данные!$C$2:$C$722,2,Данные!$A$2:$A$722,"&gt;="&amp;7722639400,Данные!$A$2:$A$722,"&lt;="&amp;7722639899)</f>
        <v>0</v>
      </c>
      <c r="BJ7" s="63" t="n">
        <f aca="false">COUNTIFS(Данные!$B$2:$B$722,8,Данные!$C$2:$C$722,2,Данные!$A$2:$A$722,"&gt;="&amp;7725750000,Данные!$A$2:$A$722,"&lt;="&amp;7725750399)</f>
        <v>0</v>
      </c>
      <c r="BK7" s="63" t="n">
        <f aca="false">COUNTIFS(Данные!$B$2:$B$722,8,Данные!$C$2:$C$722,2,Данные!$A$2:$A$722,"&gt;="&amp;7723620000,Данные!$A$2:$A$722,"&lt;="&amp;7723621299)</f>
        <v>0</v>
      </c>
      <c r="BL7" s="63" t="n">
        <f aca="false">COUNTIFS(Данные!$B$2:$B$722,8,Данные!$C$2:$C$722,2,Данные!$A$2:$A$722,"&gt;="&amp;7723621600,Данные!$A$2:$A$722,"&lt;="&amp;7723623399)</f>
        <v>0</v>
      </c>
      <c r="BM7" s="63" t="n">
        <f aca="false">COUNTIFS(Данные!$B$2:$B$722,8,Данные!$C$2:$C$722,2,Данные!$A$2:$A$722,"&gt;="&amp;7725127000,Данные!$A$2:$A$722,"&lt;="&amp;7725127999)</f>
        <v>0</v>
      </c>
      <c r="BN7" s="63" t="n">
        <f aca="false">COUNTIFS(Данные!$B$2:$B$722,8,Данные!$C$2:$C$722,2,Данные!$A$2:$A$722,"&gt;="&amp;7723772000,Данные!$A$2:$A$722,"&lt;="&amp;7723724999)</f>
        <v>0</v>
      </c>
      <c r="BO7" s="62" t="n">
        <f aca="false">COUNTIFS(Данные!$B$2:$B$722,8,Данные!$C$2:$C$722,2,Данные!$A$2:$A$722,"&gt;="&amp;7723765000,Данные!$A$2:$A$722,"&lt;="&amp;7723765499)</f>
        <v>0</v>
      </c>
      <c r="BP7" s="63" t="n">
        <f aca="false">COUNTIFS(Данные!$B$2:$B$722,8,Данные!$C$2:$C$722,2,Данные!$A$2:$A$722,"&gt;="&amp;7723948000,Данные!$A$2:$A$722,"&lt;="&amp;7723948999)</f>
        <v>0</v>
      </c>
      <c r="BQ7" s="63" t="n">
        <f aca="false">COUNTIFS(Данные!$B$2:$B$722,8,Данные!$C$2:$C$722,2,Данные!$A$2:$A$722,"&gt;="&amp;7723950000,Данные!$A$2:$A$722,"&lt;="&amp;7723951099)</f>
        <v>0</v>
      </c>
      <c r="BR7" s="63" t="n">
        <f aca="false">COUNTIFS(Данные!$B$2:$B$722,8,Данные!$C$2:$C$722,2,Данные!$A$2:$A$722,"&gt;="&amp;7723020000,Данные!$A$2:$A$722,"&lt;="&amp;7723020999)</f>
        <v>0</v>
      </c>
      <c r="BS7" s="63" t="n">
        <f aca="false">COUNTIFS(Данные!$B$2:$B$722,8,Данные!$C$2:$C$722,2,Данные!$A$2:$A$722,"&gt;="&amp;7723029000,Данные!$A$2:$A$722,"&lt;="&amp;7723029999)</f>
        <v>0</v>
      </c>
      <c r="BT7" s="63" t="n">
        <f aca="false">COUNTIFS(Данные!$B$2:$B$722,8,Данные!$C$2:$C$722,2,Данные!$A$2:$A$722,"&gt;="&amp;7723055000,Данные!$A$2:$A$722,"&lt;="&amp;7723056549)</f>
        <v>0</v>
      </c>
      <c r="BU7" s="62" t="n">
        <f aca="false">COUNTIFS(Данные!$B$2:$B$722,8,Данные!$C$2:$C$722,2,Данные!$A$2:$A$722,"&gt;="&amp;7725250000,Данные!$A$2:$A$722,"&lt;="&amp;7725250499)</f>
        <v>0</v>
      </c>
      <c r="BV7" s="63" t="n">
        <f aca="false">COUNTIFS(Данные!$B$2:$B$722,8,Данные!$C$2:$C$722,2,Данные!$A$2:$A$722,"&gt;="&amp;7183841400,Данные!$A$2:$A$722,"&lt;="&amp;7183841499)</f>
        <v>0</v>
      </c>
      <c r="BW7" s="40" t="n">
        <v>300</v>
      </c>
      <c r="BX7" s="64" t="n">
        <f aca="false">F7-BW7</f>
        <v>-300</v>
      </c>
    </row>
    <row r="8" s="15" customFormat="true" ht="12" hidden="false" customHeight="true" outlineLevel="0" collapsed="false">
      <c r="A8" s="47" t="n">
        <v>9</v>
      </c>
      <c r="B8" s="48" t="s">
        <v>62</v>
      </c>
      <c r="C8" s="50" t="n">
        <v>0</v>
      </c>
      <c r="D8" s="50" t="n">
        <v>90</v>
      </c>
      <c r="E8" s="51" t="n">
        <f aca="false">SUM(F8:F10)</f>
        <v>64</v>
      </c>
      <c r="F8" s="65" t="n">
        <f aca="false">COUNTIFS(Данные!$B$2:$B$722,9,Данные!$C$2:$C$722,0)</f>
        <v>0</v>
      </c>
      <c r="G8" s="65" t="n">
        <f aca="false">COUNTIFS(Данные!$B$2:$B$722,9,Данные!$C$2:$C$722,0,Данные!$A$2:$A$722,"&gt;="&amp;77232210840,Данные!$A$2:$A$722,"&lt;="&amp;77232216999)</f>
        <v>0</v>
      </c>
      <c r="H8" s="65" t="n">
        <f aca="false">COUNTIFS(Данные!$B$2:$B$722,9,Данные!$C$2:$C$722,0,Данные!$A$2:$A$722,"&gt;="&amp;77232510512,Данные!$A$2:$A$722,"&lt;="&amp;77232519487)</f>
        <v>0</v>
      </c>
      <c r="I8" s="65" t="n">
        <f aca="false">COUNTIFS(Данные!$B$2:$B$722,9,Данные!$C$2:$C$722,0,Данные!$A$2:$A$722,"&gt;="&amp;77232524160,Данные!$A$2:$A$722,"&lt;="&amp;77232529999)</f>
        <v>0</v>
      </c>
      <c r="J8" s="65" t="n">
        <f aca="false">COUNTIFS(Данные!$B$2:$B$722,9,Данные!$C$2:$C$722,0,Данные!$A$2:$A$722,"&gt;="&amp;77232544000,Данные!$A$2:$A$722,"&lt;="&amp;77232544999)</f>
        <v>0</v>
      </c>
      <c r="K8" s="65" t="n">
        <f aca="false">COUNTIFS(Данные!$B$2:$B$722,9,Данные!$C$2:$C$722,0,Данные!$A$2:$A$722,"&gt;="&amp;77232295504,Данные!$A$2:$A$722,"&lt;="&amp;77232296999)</f>
        <v>0</v>
      </c>
      <c r="L8" s="65" t="n">
        <f aca="false">COUNTIFS(Данные!$B$2:$B$722,9,Данные!$C$2:$C$722,0,Данные!$A$2:$A$722,"&gt;="&amp;77232785000,Данные!$A$2:$A$722,"&lt;="&amp;77232789999)</f>
        <v>0</v>
      </c>
      <c r="M8" s="65" t="n">
        <f aca="false">COUNTIFS(Данные!$B$2:$B$722,9,Данные!$C$2:$C$722,0,Данные!$A$2:$A$722,"&gt;="&amp;77233150000,Данные!$A$2:$A$722,"&lt;="&amp;77233155999)</f>
        <v>0</v>
      </c>
      <c r="N8" s="65" t="n">
        <f aca="false">COUNTIFS(Данные!$B$2:$B$722,9,Данные!$C$2:$C$722,0,Данные!$A$2:$A$722,"&gt;="&amp;77233235000,Данные!$A$2:$A$722,"&lt;="&amp;77233235999)</f>
        <v>0</v>
      </c>
      <c r="O8" s="65" t="n">
        <f aca="false">COUNTIFS(Данные!$B$2:$B$722,9,Данные!$C$2:$C$722,0,Данные!$A$2:$A$722,"&gt;="&amp;77233239000,Данные!$A$2:$A$722,"&lt;="&amp;77233239999)</f>
        <v>0</v>
      </c>
      <c r="P8" s="65" t="n">
        <f aca="false">COUNTIFS(Данные!$B$2:$B$722,9,Данные!$C$2:$C$722,0,Данные!$A$2:$A$722,"&gt;="&amp;77233272000,Данные!$A$2:$A$722,"&lt;="&amp;77233272999)</f>
        <v>0</v>
      </c>
      <c r="Q8" s="65" t="n">
        <f aca="false">COUNTIFS(Данные!$B$2:$B$722,9,Данные!$C$2:$C$722,0,Данные!$A$2:$A$722,"&gt;="&amp;77233291100,Данные!$A$2:$A$722,"&lt;="&amp;77233292999)</f>
        <v>0</v>
      </c>
      <c r="R8" s="65" t="n">
        <f aca="false">COUNTIFS(Данные!$B$2:$B$722,9,Данные!$C$2:$C$722,0,Данные!$A$2:$A$722,"&gt;="&amp;77233297000,Данные!$A$2:$A$722,"&lt;="&amp;77233298399)</f>
        <v>0</v>
      </c>
      <c r="S8" s="65" t="n">
        <f aca="false">COUNTIFS(Данные!$B$2:$B$722,9,Данные!$C$2:$C$722,0,Данные!$A$2:$A$722,"&gt;="&amp;77235124000,Данные!$A$2:$A$722,"&lt;="&amp;77235128499)</f>
        <v>0</v>
      </c>
      <c r="T8" s="65" t="n">
        <f aca="false">COUNTIFS(Данные!$B$2:$B$722,9,Данные!$C$2:$C$722,0,Данные!$A$2:$A$722,"&gt;="&amp;77235320000,Данные!$A$2:$A$722,"&lt;="&amp;77235320999)</f>
        <v>0</v>
      </c>
      <c r="U8" s="65" t="n">
        <f aca="false">COUNTIFS(Данные!$B$2:$B$722,9,Данные!$C$2:$C$722,0,Данные!$A$2:$A$722,"&gt;="&amp;77233620000,Данные!$A$2:$A$722,"&lt;="&amp;77233623339)</f>
        <v>0</v>
      </c>
      <c r="V8" s="65" t="n">
        <f aca="false">COUNTIFS(Данные!$B$2:$B$722,9,Данные!$C$2:$C$722,0,Данные!$A$2:$A$722,"&gt;="&amp;77233630000,Данные!$A$2:$A$722,"&lt;="&amp;77233630999)</f>
        <v>0</v>
      </c>
      <c r="W8" s="65" t="n">
        <f aca="false">COUNTIFS(Данные!$B$2:$B$722,9,Данные!$C$2:$C$722,0,Данные!$A$2:$A$722,"&gt;="&amp;77233637000,Данные!$A$2:$A$722,"&lt;="&amp;77233637599)</f>
        <v>0</v>
      </c>
      <c r="X8" s="65" t="n">
        <f aca="false">COUNTIFS(Данные!$B$2:$B$722,9,Данные!$C$2:$C$722,0,Данные!$A$2:$A$722,"&gt;="&amp;77233550000,Данные!$A$2:$A$722,"&lt;="&amp;77233550999)</f>
        <v>0</v>
      </c>
      <c r="Y8" s="65" t="n">
        <f aca="false">COUNTIFS(Данные!$B$2:$B$722,9,Данные!$C$2:$C$722,0,Данные!$A$2:$A$722,"&gt;="&amp;77233554000,Данные!$A$2:$A$722,"&lt;="&amp;77233554999)</f>
        <v>0</v>
      </c>
      <c r="Z8" s="65" t="n">
        <f aca="false">COUNTIFS(Данные!$B$2:$B$722,9,Данные!$C$2:$C$722,0,Данные!$A$2:$A$722,"&gt;="&amp;77233555000,Данные!$A$2:$A$722,"&lt;="&amp;77233556999)</f>
        <v>0</v>
      </c>
      <c r="AA8" s="65" t="n">
        <f aca="false">COUNTIFS(Данные!$B$2:$B$722,9,Данные!$C$2:$C$722,0,Данные!$A$2:$A$722,"&gt;="&amp;77233726000,Данные!$A$2:$A$722,"&lt;="&amp;77233726999)</f>
        <v>0</v>
      </c>
      <c r="AB8" s="65" t="n">
        <f aca="false">COUNTIFS(Данные!$B$2:$B$722,9,Данные!$C$2:$C$722,0,Данные!$A$2:$A$722,"&gt;="&amp;77233820000,Данные!$A$2:$A$722,"&lt;="&amp;77233820999)</f>
        <v>0</v>
      </c>
      <c r="AC8" s="65" t="n">
        <f aca="false">COUNTIFS(Данные!$B$2:$B$722,9,Данные!$C$2:$C$722,0,Данные!$A$2:$A$722,"&gt;="&amp;77233850000,Данные!$A$2:$A$722,"&lt;="&amp;77233850999)</f>
        <v>0</v>
      </c>
      <c r="AD8" s="65" t="n">
        <f aca="false">COUNTIFS(Данные!$B$2:$B$722,9,Данные!$C$2:$C$722,0,Данные!$A$2:$A$722,"&gt;="&amp;77233420000,Данные!$A$2:$A$722,"&lt;="&amp;77233420999)</f>
        <v>0</v>
      </c>
      <c r="AE8" s="65" t="n">
        <f aca="false">COUNTIFS(Данные!$B$2:$B$722,9,Данные!$C$2:$C$722,0,Данные!$A$2:$A$722,"&gt;="&amp;77234740000,Данные!$A$2:$A$722,"&lt;="&amp;77234742999)</f>
        <v>0</v>
      </c>
      <c r="AF8" s="65" t="n">
        <f aca="false">COUNTIFS(Данные!$B$2:$B$722,9,Данные!$C$2:$C$722,0,Данные!$A$2:$A$722,"&gt;="&amp;77234767000,Данные!$A$2:$A$722,"&lt;="&amp;77234767999)</f>
        <v>0</v>
      </c>
      <c r="AG8" s="65" t="n">
        <f aca="false">COUNTIFS(Данные!$B$2:$B$722,9,Данные!$C$2:$C$722,0,Данные!$A$2:$A$722,"&gt;="&amp;77234120000,Данные!$A$2:$A$722,"&lt;="&amp;77234120999)</f>
        <v>0</v>
      </c>
      <c r="AH8" s="65" t="n">
        <f aca="false">COUNTIFS(Данные!$B$2:$B$722,9,Данные!$C$2:$C$722,0,Данные!$A$2:$A$722,"&gt;="&amp;77234127000,Данные!$A$2:$A$722,"&lt;="&amp;77234127999)</f>
        <v>0</v>
      </c>
      <c r="AI8" s="65" t="n">
        <f aca="false">COUNTIFS(Данные!$B$2:$B$722,9,Данные!$C$2:$C$722,0,Данные!$A$2:$A$722,"&gt;="&amp;77234220000,Данные!$A$2:$A$722,"&lt;="&amp;77234220999)</f>
        <v>0</v>
      </c>
      <c r="AJ8" s="65" t="n">
        <f aca="false">COUNTIFS(Данные!$B$2:$B$722,9,Данные!$C$2:$C$722,0,Данные!$A$2:$A$722,"&gt;="&amp;77234250000,Данные!$A$2:$A$722,"&lt;="&amp;77234250999)</f>
        <v>0</v>
      </c>
      <c r="AK8" s="65" t="n">
        <f aca="false">COUNTIFS(Данные!$B$2:$B$722,9,Данные!$C$2:$C$722,0,Данные!$A$2:$A$722,"&gt;="&amp;77233922950,Данные!$A$2:$A$722,"&lt;="&amp;77233924999)</f>
        <v>0</v>
      </c>
      <c r="AL8" s="65" t="n">
        <f aca="false">COUNTIFS(Данные!$B$2:$B$722,9,Данные!$C$2:$C$722,0,Данные!$A$2:$A$722,"&gt;="&amp;77234320000,Данные!$A$2:$A$722,"&lt;="&amp;77234320999)</f>
        <v>0</v>
      </c>
      <c r="AM8" s="65" t="n">
        <f aca="false">COUNTIFS(Данные!$B$2:$B$722,9,Данные!$C$2:$C$722,0,Данные!$A$2:$A$722,"&gt;="&amp;77234350000,Данные!$A$2:$A$722,"&lt;="&amp;77234350999)</f>
        <v>0</v>
      </c>
      <c r="AN8" s="65" t="n">
        <f aca="false">COUNTIFS(Данные!$B$2:$B$722,9,Данные!$C$2:$C$722,0,Данные!$A$2:$A$722,"&gt;="&amp;77234020000,Данные!$A$2:$A$722,"&lt;="&amp;77234020999)</f>
        <v>0</v>
      </c>
      <c r="AO8" s="65" t="n">
        <f aca="false">COUNTIFS(Данные!$B$2:$B$722,9,Данные!$C$2:$C$722,0,Данные!$A$2:$A$722,"&gt;="&amp;77234029000,Данные!$A$2:$A$722,"&lt;="&amp;77234029999)</f>
        <v>0</v>
      </c>
      <c r="AP8" s="65" t="n">
        <f aca="false">COUNTIFS(Данные!$B$2:$B$722,9,Данные!$C$2:$C$722,0,Данные!$A$2:$A$722,"&gt;="&amp;77234050000,Данные!$A$2:$A$722,"&lt;="&amp;77234050999)</f>
        <v>0</v>
      </c>
      <c r="AQ8" s="65" t="n">
        <f aca="false">COUNTIFS(Данные!$B$2:$B$722,9,Данные!$C$2:$C$722,0,Данные!$A$2:$A$722,"&gt;="&amp;77234427000,Данные!$A$2:$A$722,"&lt;="&amp;77234428999)</f>
        <v>0</v>
      </c>
      <c r="AR8" s="65" t="n">
        <f aca="false">COUNTIFS(Данные!$B$2:$B$722,9,Данные!$C$2:$C$722,0,Данные!$A$2:$A$722,"&gt;="&amp;77234450000,Данные!$A$2:$A$722,"&lt;="&amp;77234450999)</f>
        <v>0</v>
      </c>
      <c r="AS8" s="65" t="n">
        <f aca="false">COUNTIFS(Данные!$B$2:$B$722,9,Данные!$C$2:$C$722,0,Данные!$A$2:$A$722,"&gt;="&amp;77234620000,Данные!$A$2:$A$722,"&lt;="&amp;77234620999)</f>
        <v>0</v>
      </c>
      <c r="AT8" s="65" t="n">
        <f aca="false">COUNTIFS(Данные!$B$2:$B$722,9,Данные!$C$2:$C$722,0,Данные!$A$2:$A$722,"&gt;="&amp;77234650000,Данные!$A$2:$A$722,"&lt;="&amp;77234650999)</f>
        <v>0</v>
      </c>
      <c r="AU8" s="65" t="n">
        <f aca="false">COUNTIFS(Данные!$B$2:$B$722,9,Данные!$C$2:$C$722,0,Данные!$A$2:$A$722,"&gt;="&amp;77234820000,Данные!$A$2:$A$722,"&lt;="&amp;77234820999)</f>
        <v>0</v>
      </c>
      <c r="AV8" s="65" t="n">
        <f aca="false">COUNTIFS(Данные!$B$2:$B$722,9,Данные!$C$2:$C$722,0,Данные!$A$2:$A$722,"&gt;="&amp;77234850000,Данные!$A$2:$A$722,"&lt;="&amp;77234850999)</f>
        <v>0</v>
      </c>
      <c r="AW8" s="65" t="n">
        <f aca="false">COUNTIFS(Данные!$B$2:$B$722,9,Данные!$C$2:$C$722,0,Данные!$A$2:$A$722,"&gt;="&amp;77233327000,Данные!$A$2:$A$722,"&lt;="&amp;77233327999)</f>
        <v>0</v>
      </c>
      <c r="AX8" s="65" t="n">
        <f aca="false">COUNTIFS(Данные!$B$2:$B$722,9,Данные!$C$2:$C$722,0,Данные!$A$2:$A$722,"&gt;="&amp;77233350000,Данные!$A$2:$A$722,"&lt;="&amp;77233350599)</f>
        <v>0</v>
      </c>
      <c r="AY8" s="65" t="n">
        <f aca="false">COUNTIFS(Данные!$B$2:$B$722,9,Данные!$C$2:$C$722,0,Данные!$A$2:$A$722,"&gt;="&amp;77233351000,Данные!$A$2:$A$722,"&lt;="&amp;77233351999)</f>
        <v>0</v>
      </c>
      <c r="AZ8" s="66" t="n">
        <f aca="false">COUNTIFS(Данные!$B$2:$B$722,9,Данные!$C$2:$C$722,0,Данные!$A$2:$A$722,"&gt;="&amp;7722440000,Данные!$A$2:$A$722,"&lt;="&amp;7722440999)</f>
        <v>0</v>
      </c>
      <c r="BA8" s="66" t="n">
        <f aca="false">COUNTIFS(Данные!$B$2:$B$722,9,Данные!$C$2:$C$722,0,Данные!$A$2:$A$722,"&gt;="&amp;7722442000,Данные!$A$2:$A$722,"&lt;="&amp;7722445659)</f>
        <v>0</v>
      </c>
      <c r="BB8" s="66" t="n">
        <f aca="false">COUNTIFS(Данные!$B$2:$B$722,9,Данные!$C$2:$C$722,0,Данные!$A$2:$A$722,"&gt;="&amp;7722450000,Данные!$A$2:$A$722,"&lt;="&amp;7722450199)</f>
        <v>0</v>
      </c>
      <c r="BC8" s="66" t="n">
        <f aca="false">COUNTIFS(Данные!$B$2:$B$722,9,Данные!$C$2:$C$722,0,Данные!$A$2:$A$722,"&gt;="&amp;7722451000,Данные!$A$2:$A$722,"&lt;="&amp;7722451374)</f>
        <v>0</v>
      </c>
      <c r="BD8" s="66" t="n">
        <f aca="false">COUNTIFS(Данные!$B$2:$B$722,9,Данные!$C$2:$C$722,0,Данные!$A$2:$A$722,"&gt;="&amp;7722452000,Данные!$A$2:$A$722,"&lt;="&amp;7722452299)</f>
        <v>0</v>
      </c>
      <c r="BE8" s="66" t="n">
        <f aca="false">COUNTIFS(Данные!$B$2:$B$722,9,Данные!$C$2:$C$722,0,Данные!$A$2:$A$722,"&gt;="&amp;7722453000,Данные!$A$2:$A$722,"&lt;="&amp;7722453816)</f>
        <v>0</v>
      </c>
      <c r="BF8" s="66" t="n">
        <f aca="false">COUNTIFS(Данные!$B$2:$B$722,9,Данные!$C$2:$C$722,0,Данные!$A$2:$A$722,"&gt;="&amp;7722454000,Данные!$A$2:$A$722,"&lt;="&amp;7722454099)</f>
        <v>0</v>
      </c>
      <c r="BG8" s="66" t="n">
        <f aca="false">COUNTIFS(Данные!$B$2:$B$722,9,Данные!$C$2:$C$722,0,Данные!$A$2:$A$722,"&gt;="&amp;7722458000,Данные!$A$2:$A$722,"&lt;="&amp;7722458999)</f>
        <v>0</v>
      </c>
      <c r="BH8" s="66" t="n">
        <f aca="false">COUNTIFS(Данные!$B$2:$B$722,9,Данные!$C$2:$C$722,0,Данные!$A$2:$A$722,"&gt;="&amp;7722630000,Данные!$A$2:$A$722,"&lt;="&amp;7722638549)</f>
        <v>0</v>
      </c>
      <c r="BI8" s="66" t="n">
        <f aca="false">COUNTIFS(Данные!$B$2:$B$722,9,Данные!$C$2:$C$722,0,Данные!$A$2:$A$722,"&gt;="&amp;7722639400,Данные!$A$2:$A$722,"&lt;="&amp;7722639899)</f>
        <v>0</v>
      </c>
      <c r="BJ8" s="66" t="n">
        <f aca="false">COUNTIFS(Данные!$B$2:$B$722,9,Данные!$C$2:$C$722,0,Данные!$A$2:$A$722,"&gt;="&amp;7725750000,Данные!$A$2:$A$722,"&lt;="&amp;7725750399)</f>
        <v>0</v>
      </c>
      <c r="BK8" s="66" t="n">
        <f aca="false">COUNTIFS(Данные!$B$2:$B$722,9,Данные!$C$2:$C$722,0,Данные!$A$2:$A$722,"&gt;="&amp;7723620000,Данные!$A$2:$A$722,"&lt;="&amp;7723621299)</f>
        <v>0</v>
      </c>
      <c r="BL8" s="66" t="n">
        <f aca="false">COUNTIFS(Данные!$B$2:$B$722,9,Данные!$C$2:$C$722,0,Данные!$A$2:$A$722,"&gt;="&amp;7723621600,Данные!$A$2:$A$722,"&lt;="&amp;7723623399)</f>
        <v>0</v>
      </c>
      <c r="BM8" s="66" t="n">
        <f aca="false">COUNTIFS(Данные!$B$2:$B$722,9,Данные!$C$2:$C$722,0,Данные!$A$2:$A$722,"&gt;="&amp;7725127000,Данные!$A$2:$A$722,"&lt;="&amp;7725127999)</f>
        <v>0</v>
      </c>
      <c r="BN8" s="66" t="n">
        <f aca="false">COUNTIFS(Данные!$B$2:$B$722,9,Данные!$C$2:$C$722,0,Данные!$A$2:$A$722,"&gt;="&amp;7723772000,Данные!$A$2:$A$722,"&lt;="&amp;7723724999)</f>
        <v>0</v>
      </c>
      <c r="BO8" s="65" t="n">
        <f aca="false">COUNTIFS(Данные!$B$2:$B$722,9,Данные!$C$2:$C$722,0,Данные!$A$2:$A$722,"&gt;="&amp;7723765000,Данные!$A$2:$A$722,"&lt;="&amp;7723765499)</f>
        <v>0</v>
      </c>
      <c r="BP8" s="66" t="n">
        <f aca="false">COUNTIFS(Данные!$B$2:$B$722,9,Данные!$C$2:$C$722,0,Данные!$A$2:$A$722,"&gt;="&amp;7723948000,Данные!$A$2:$A$722,"&lt;="&amp;7723948999)</f>
        <v>0</v>
      </c>
      <c r="BQ8" s="66" t="n">
        <f aca="false">COUNTIFS(Данные!$B$2:$B$722,9,Данные!$C$2:$C$722,0,Данные!$A$2:$A$722,"&gt;="&amp;7723950000,Данные!$A$2:$A$722,"&lt;="&amp;7723951099)</f>
        <v>0</v>
      </c>
      <c r="BR8" s="66" t="n">
        <f aca="false">COUNTIFS(Данные!$B$2:$B$722,9,Данные!$C$2:$C$722,0,Данные!$A$2:$A$722,"&gt;="&amp;7723020000,Данные!$A$2:$A$722,"&lt;="&amp;7723020999)</f>
        <v>0</v>
      </c>
      <c r="BS8" s="66" t="n">
        <f aca="false">COUNTIFS(Данные!$B$2:$B$722,9,Данные!$C$2:$C$722,0,Данные!$A$2:$A$722,"&gt;="&amp;7723029000,Данные!$A$2:$A$722,"&lt;="&amp;7723029999)</f>
        <v>0</v>
      </c>
      <c r="BT8" s="66" t="n">
        <f aca="false">COUNTIFS(Данные!$B$2:$B$722,9,Данные!$C$2:$C$722,0,Данные!$A$2:$A$722,"&gt;="&amp;7723055000,Данные!$A$2:$A$722,"&lt;="&amp;7723056549)</f>
        <v>0</v>
      </c>
      <c r="BU8" s="65" t="n">
        <f aca="false">COUNTIFS(Данные!$B$2:$B$722,9,Данные!$C$2:$C$722,0,Данные!$A$2:$A$722,"&gt;="&amp;7725250000,Данные!$A$2:$A$722,"&lt;="&amp;7725250499)</f>
        <v>0</v>
      </c>
      <c r="BV8" s="66" t="n">
        <f aca="false">COUNTIFS(Данные!$B$2:$B$722,9,Данные!$C$2:$C$722,0,Данные!$A$2:$A$722,"&gt;="&amp;7183841400,Данные!$A$2:$A$722,"&lt;="&amp;7183841499)</f>
        <v>0</v>
      </c>
      <c r="BW8" s="49" t="n">
        <v>300</v>
      </c>
      <c r="BX8" s="67" t="n">
        <f aca="false">F8-BW8</f>
        <v>-300</v>
      </c>
    </row>
    <row r="9" s="15" customFormat="true" ht="12" hidden="false" customHeight="true" outlineLevel="0" collapsed="false">
      <c r="A9" s="47"/>
      <c r="B9" s="48"/>
      <c r="C9" s="50" t="n">
        <v>1</v>
      </c>
      <c r="D9" s="50" t="n">
        <v>91</v>
      </c>
      <c r="E9" s="51"/>
      <c r="F9" s="65" t="n">
        <f aca="false">COUNTIFS(Данные!$B$2:$B$722,9,Данные!$C$2:$C$722,1)</f>
        <v>64</v>
      </c>
      <c r="G9" s="65" t="n">
        <f aca="false">COUNTIFS(Данные!$B$2:$B$722,9,Данные!$C$2:$C$722,1,Данные!$A$2:$A$722,"&gt;="&amp;77232210840,Данные!$A$2:$A$722,"&lt;="&amp;77232216999)</f>
        <v>0</v>
      </c>
      <c r="H9" s="65" t="n">
        <f aca="false">COUNTIFS(Данные!$B$2:$B$722,9,Данные!$C$2:$C$722,1,Данные!$A$2:$A$722,"&gt;="&amp;77232510512,Данные!$A$2:$A$722,"&lt;="&amp;77232519487)</f>
        <v>0</v>
      </c>
      <c r="I9" s="65" t="n">
        <f aca="false">COUNTIFS(Данные!$B$2:$B$722,9,Данные!$C$2:$C$722,1,Данные!$A$2:$A$722,"&gt;="&amp;77232524160,Данные!$A$2:$A$722,"&lt;="&amp;77232529999)</f>
        <v>0</v>
      </c>
      <c r="J9" s="65" t="n">
        <f aca="false">COUNTIFS(Данные!$B$2:$B$722,9,Данные!$C$2:$C$722,1,Данные!$A$2:$A$722,"&gt;="&amp;77232544000,Данные!$A$2:$A$722,"&lt;="&amp;77232544999)</f>
        <v>0</v>
      </c>
      <c r="K9" s="65" t="n">
        <f aca="false">COUNTIFS(Данные!$B$2:$B$722,9,Данные!$C$2:$C$722,1,Данные!$A$2:$A$722,"&gt;="&amp;77232295504,Данные!$A$2:$A$722,"&lt;="&amp;77232296999)</f>
        <v>0</v>
      </c>
      <c r="L9" s="65" t="n">
        <f aca="false">COUNTIFS(Данные!$B$2:$B$722,9,Данные!$C$2:$C$722,1,Данные!$A$2:$A$722,"&gt;="&amp;77232785000,Данные!$A$2:$A$722,"&lt;="&amp;77232789999)</f>
        <v>0</v>
      </c>
      <c r="M9" s="65" t="n">
        <f aca="false">COUNTIFS(Данные!$B$2:$B$722,9,Данные!$C$2:$C$722,1,Данные!$A$2:$A$722,"&gt;="&amp;77233150000,Данные!$A$2:$A$722,"&lt;="&amp;77233155999)</f>
        <v>0</v>
      </c>
      <c r="N9" s="65" t="n">
        <f aca="false">COUNTIFS(Данные!$B$2:$B$722,9,Данные!$C$2:$C$722,1,Данные!$A$2:$A$722,"&gt;="&amp;77233235000,Данные!$A$2:$A$722,"&lt;="&amp;77233235999)</f>
        <v>0</v>
      </c>
      <c r="O9" s="65" t="n">
        <f aca="false">COUNTIFS(Данные!$B$2:$B$722,9,Данные!$C$2:$C$722,1,Данные!$A$2:$A$722,"&gt;="&amp;77233239000,Данные!$A$2:$A$722,"&lt;="&amp;77233239999)</f>
        <v>0</v>
      </c>
      <c r="P9" s="65" t="n">
        <f aca="false">COUNTIFS(Данные!$B$2:$B$722,9,Данные!$C$2:$C$722,1,Данные!$A$2:$A$722,"&gt;="&amp;77233272000,Данные!$A$2:$A$722,"&lt;="&amp;77233272999)</f>
        <v>0</v>
      </c>
      <c r="Q9" s="65" t="n">
        <f aca="false">COUNTIFS(Данные!$B$2:$B$722,9,Данные!$C$2:$C$722,1,Данные!$A$2:$A$722,"&gt;="&amp;77233291100,Данные!$A$2:$A$722,"&lt;="&amp;77233292999)</f>
        <v>0</v>
      </c>
      <c r="R9" s="65" t="n">
        <f aca="false">COUNTIFS(Данные!$B$2:$B$722,9,Данные!$C$2:$C$722,1,Данные!$A$2:$A$722,"&gt;="&amp;77233297000,Данные!$A$2:$A$722,"&lt;="&amp;77233298399)</f>
        <v>0</v>
      </c>
      <c r="S9" s="65" t="n">
        <f aca="false">COUNTIFS(Данные!$B$2:$B$722,9,Данные!$C$2:$C$722,1,Данные!$A$2:$A$722,"&gt;="&amp;77235124000,Данные!$A$2:$A$722,"&lt;="&amp;77235128499)</f>
        <v>0</v>
      </c>
      <c r="T9" s="65" t="n">
        <f aca="false">COUNTIFS(Данные!$B$2:$B$722,9,Данные!$C$2:$C$722,1,Данные!$A$2:$A$722,"&gt;="&amp;77235320000,Данные!$A$2:$A$722,"&lt;="&amp;77235320999)</f>
        <v>62</v>
      </c>
      <c r="U9" s="65" t="n">
        <f aca="false">COUNTIFS(Данные!$B$2:$B$722,9,Данные!$C$2:$C$722,1,Данные!$A$2:$A$722,"&gt;="&amp;77233620000,Данные!$A$2:$A$722,"&lt;="&amp;77233623339)</f>
        <v>0</v>
      </c>
      <c r="V9" s="65" t="n">
        <f aca="false">COUNTIFS(Данные!$B$2:$B$722,9,Данные!$C$2:$C$722,1,Данные!$A$2:$A$722,"&gt;="&amp;77233630000,Данные!$A$2:$A$722,"&lt;="&amp;77233630999)</f>
        <v>0</v>
      </c>
      <c r="W9" s="65" t="n">
        <f aca="false">COUNTIFS(Данные!$B$2:$B$722,9,Данные!$C$2:$C$722,1,Данные!$A$2:$A$722,"&gt;="&amp;77233637000,Данные!$A$2:$A$722,"&lt;="&amp;77233637599)</f>
        <v>0</v>
      </c>
      <c r="X9" s="65" t="n">
        <f aca="false">COUNTIFS(Данные!$B$2:$B$722,9,Данные!$C$2:$C$722,1,Данные!$A$2:$A$722,"&gt;="&amp;77233550000,Данные!$A$2:$A$722,"&lt;="&amp;77233550999)</f>
        <v>0</v>
      </c>
      <c r="Y9" s="65" t="n">
        <f aca="false">COUNTIFS(Данные!$B$2:$B$722,9,Данные!$C$2:$C$722,1,Данные!$A$2:$A$722,"&gt;="&amp;77233554000,Данные!$A$2:$A$722,"&lt;="&amp;77233554999)</f>
        <v>0</v>
      </c>
      <c r="Z9" s="65" t="n">
        <f aca="false">COUNTIFS(Данные!$B$2:$B$722,9,Данные!$C$2:$C$722,1,Данные!$A$2:$A$722,"&gt;="&amp;77233555000,Данные!$A$2:$A$722,"&lt;="&amp;77233556999)</f>
        <v>0</v>
      </c>
      <c r="AA9" s="65" t="n">
        <f aca="false">COUNTIFS(Данные!$B$2:$B$722,9,Данные!$C$2:$C$722,1,Данные!$A$2:$A$722,"&gt;="&amp;77233726000,Данные!$A$2:$A$722,"&lt;="&amp;77233726999)</f>
        <v>0</v>
      </c>
      <c r="AB9" s="65" t="n">
        <f aca="false">COUNTIFS(Данные!$B$2:$B$722,9,Данные!$C$2:$C$722,1,Данные!$A$2:$A$722,"&gt;="&amp;77233820000,Данные!$A$2:$A$722,"&lt;="&amp;77233820999)</f>
        <v>0</v>
      </c>
      <c r="AC9" s="65" t="n">
        <f aca="false">COUNTIFS(Данные!$B$2:$B$722,9,Данные!$C$2:$C$722,1,Данные!$A$2:$A$722,"&gt;="&amp;77233850000,Данные!$A$2:$A$722,"&lt;="&amp;77233850999)</f>
        <v>0</v>
      </c>
      <c r="AD9" s="65" t="n">
        <f aca="false">COUNTIFS(Данные!$B$2:$B$722,9,Данные!$C$2:$C$722,1,Данные!$A$2:$A$722,"&gt;="&amp;77233420000,Данные!$A$2:$A$722,"&lt;="&amp;77233420999)</f>
        <v>0</v>
      </c>
      <c r="AE9" s="65" t="n">
        <f aca="false">COUNTIFS(Данные!$B$2:$B$722,9,Данные!$C$2:$C$722,1,Данные!$A$2:$A$722,"&gt;="&amp;77234740000,Данные!$A$2:$A$722,"&lt;="&amp;77234742999)</f>
        <v>0</v>
      </c>
      <c r="AF9" s="65" t="n">
        <f aca="false">COUNTIFS(Данные!$B$2:$B$722,9,Данные!$C$2:$C$722,1,Данные!$A$2:$A$722,"&gt;="&amp;77234767000,Данные!$A$2:$A$722,"&lt;="&amp;77234767999)</f>
        <v>0</v>
      </c>
      <c r="AG9" s="65" t="n">
        <f aca="false">COUNTIFS(Данные!$B$2:$B$722,9,Данные!$C$2:$C$722,1,Данные!$A$2:$A$722,"&gt;="&amp;77234120000,Данные!$A$2:$A$722,"&lt;="&amp;77234120999)</f>
        <v>0</v>
      </c>
      <c r="AH9" s="65" t="n">
        <f aca="false">COUNTIFS(Данные!$B$2:$B$722,9,Данные!$C$2:$C$722,1,Данные!$A$2:$A$722,"&gt;="&amp;77234127000,Данные!$A$2:$A$722,"&lt;="&amp;77234127999)</f>
        <v>0</v>
      </c>
      <c r="AI9" s="65" t="n">
        <f aca="false">COUNTIFS(Данные!$B$2:$B$722,9,Данные!$C$2:$C$722,1,Данные!$A$2:$A$722,"&gt;="&amp;77234220000,Данные!$A$2:$A$722,"&lt;="&amp;77234220999)</f>
        <v>0</v>
      </c>
      <c r="AJ9" s="65" t="n">
        <f aca="false">COUNTIFS(Данные!$B$2:$B$722,9,Данные!$C$2:$C$722,1,Данные!$A$2:$A$722,"&gt;="&amp;77234250000,Данные!$A$2:$A$722,"&lt;="&amp;77234250999)</f>
        <v>0</v>
      </c>
      <c r="AK9" s="65" t="n">
        <f aca="false">COUNTIFS(Данные!$B$2:$B$722,9,Данные!$C$2:$C$722,1,Данные!$A$2:$A$722,"&gt;="&amp;77233922950,Данные!$A$2:$A$722,"&lt;="&amp;77233924999)</f>
        <v>0</v>
      </c>
      <c r="AL9" s="65" t="n">
        <f aca="false">COUNTIFS(Данные!$B$2:$B$722,9,Данные!$C$2:$C$722,1,Данные!$A$2:$A$722,"&gt;="&amp;77234320000,Данные!$A$2:$A$722,"&lt;="&amp;77234320999)</f>
        <v>0</v>
      </c>
      <c r="AM9" s="65" t="n">
        <f aca="false">COUNTIFS(Данные!$B$2:$B$722,9,Данные!$C$2:$C$722,1,Данные!$A$2:$A$722,"&gt;="&amp;77234350000,Данные!$A$2:$A$722,"&lt;="&amp;77234350999)</f>
        <v>0</v>
      </c>
      <c r="AN9" s="65" t="n">
        <f aca="false">COUNTIFS(Данные!$B$2:$B$722,9,Данные!$C$2:$C$722,1,Данные!$A$2:$A$722,"&gt;="&amp;77234020000,Данные!$A$2:$A$722,"&lt;="&amp;77234020999)</f>
        <v>0</v>
      </c>
      <c r="AO9" s="65" t="n">
        <f aca="false">COUNTIFS(Данные!$B$2:$B$722,9,Данные!$C$2:$C$722,1,Данные!$A$2:$A$722,"&gt;="&amp;77234029000,Данные!$A$2:$A$722,"&lt;="&amp;77234029999)</f>
        <v>0</v>
      </c>
      <c r="AP9" s="65" t="n">
        <f aca="false">COUNTIFS(Данные!$B$2:$B$722,9,Данные!$C$2:$C$722,1,Данные!$A$2:$A$722,"&gt;="&amp;77234050000,Данные!$A$2:$A$722,"&lt;="&amp;77234050999)</f>
        <v>0</v>
      </c>
      <c r="AQ9" s="65" t="n">
        <f aca="false">COUNTIFS(Данные!$B$2:$B$722,9,Данные!$C$2:$C$722,1,Данные!$A$2:$A$722,"&gt;="&amp;77234427000,Данные!$A$2:$A$722,"&lt;="&amp;77234428999)</f>
        <v>0</v>
      </c>
      <c r="AR9" s="65" t="n">
        <f aca="false">COUNTIFS(Данные!$B$2:$B$722,9,Данные!$C$2:$C$722,1,Данные!$A$2:$A$722,"&gt;="&amp;77234450000,Данные!$A$2:$A$722,"&lt;="&amp;77234450999)</f>
        <v>0</v>
      </c>
      <c r="AS9" s="65" t="n">
        <f aca="false">COUNTIFS(Данные!$B$2:$B$722,9,Данные!$C$2:$C$722,1,Данные!$A$2:$A$722,"&gt;="&amp;77234620000,Данные!$A$2:$A$722,"&lt;="&amp;77234620999)</f>
        <v>0</v>
      </c>
      <c r="AT9" s="65" t="n">
        <f aca="false">COUNTIFS(Данные!$B$2:$B$722,9,Данные!$C$2:$C$722,1,Данные!$A$2:$A$722,"&gt;="&amp;77234650000,Данные!$A$2:$A$722,"&lt;="&amp;77234650999)</f>
        <v>0</v>
      </c>
      <c r="AU9" s="65" t="n">
        <f aca="false">COUNTIFS(Данные!$B$2:$B$722,9,Данные!$C$2:$C$722,1,Данные!$A$2:$A$722,"&gt;="&amp;77234820000,Данные!$A$2:$A$722,"&lt;="&amp;77234820999)</f>
        <v>0</v>
      </c>
      <c r="AV9" s="65" t="n">
        <f aca="false">COUNTIFS(Данные!$B$2:$B$722,9,Данные!$C$2:$C$722,1,Данные!$A$2:$A$722,"&gt;="&amp;77234850000,Данные!$A$2:$A$722,"&lt;="&amp;77234850999)</f>
        <v>0</v>
      </c>
      <c r="AW9" s="65" t="n">
        <f aca="false">COUNTIFS(Данные!$B$2:$B$722,9,Данные!$C$2:$C$722,1,Данные!$A$2:$A$722,"&gt;="&amp;77233327000,Данные!$A$2:$A$722,"&lt;="&amp;77233327999)</f>
        <v>0</v>
      </c>
      <c r="AX9" s="65" t="n">
        <f aca="false">COUNTIFS(Данные!$B$2:$B$722,9,Данные!$C$2:$C$722,1,Данные!$A$2:$A$722,"&gt;="&amp;77233350000,Данные!$A$2:$A$722,"&lt;="&amp;77233350599)</f>
        <v>0</v>
      </c>
      <c r="AY9" s="65" t="n">
        <f aca="false">COUNTIFS(Данные!$B$2:$B$722,9,Данные!$C$2:$C$722,1,Данные!$A$2:$A$722,"&gt;="&amp;77233351000,Данные!$A$2:$A$722,"&lt;="&amp;77233351999)</f>
        <v>0</v>
      </c>
      <c r="AZ9" s="66" t="n">
        <f aca="false">COUNTIFS(Данные!$B$2:$B$722,9,Данные!$C$2:$C$722,1,Данные!$A$2:$A$722,"&gt;="&amp;7722440000,Данные!$A$2:$A$722,"&lt;="&amp;7722440999)</f>
        <v>0</v>
      </c>
      <c r="BA9" s="66" t="n">
        <f aca="false">COUNTIFS(Данные!$B$2:$B$722,9,Данные!$C$2:$C$722,1,Данные!$A$2:$A$722,"&gt;="&amp;7722442000,Данные!$A$2:$A$722,"&lt;="&amp;7722445659)</f>
        <v>0</v>
      </c>
      <c r="BB9" s="66" t="n">
        <f aca="false">COUNTIFS(Данные!$B$2:$B$722,9,Данные!$C$2:$C$722,1,Данные!$A$2:$A$722,"&gt;="&amp;7722450000,Данные!$A$2:$A$722,"&lt;="&amp;7722450199)</f>
        <v>0</v>
      </c>
      <c r="BC9" s="66" t="n">
        <f aca="false">COUNTIFS(Данные!$B$2:$B$722,9,Данные!$C$2:$C$722,1,Данные!$A$2:$A$722,"&gt;="&amp;7722451000,Данные!$A$2:$A$722,"&lt;="&amp;7722451374)</f>
        <v>0</v>
      </c>
      <c r="BD9" s="66" t="n">
        <f aca="false">COUNTIFS(Данные!$B$2:$B$722,9,Данные!$C$2:$C$722,1,Данные!$A$2:$A$722,"&gt;="&amp;7722452000,Данные!$A$2:$A$722,"&lt;="&amp;7722452299)</f>
        <v>0</v>
      </c>
      <c r="BE9" s="66" t="n">
        <f aca="false">COUNTIFS(Данные!$B$2:$B$722,9,Данные!$C$2:$C$722,1,Данные!$A$2:$A$722,"&gt;="&amp;7722453000,Данные!$A$2:$A$722,"&lt;="&amp;7722453816)</f>
        <v>0</v>
      </c>
      <c r="BF9" s="66" t="n">
        <f aca="false">COUNTIFS(Данные!$B$2:$B$722,9,Данные!$C$2:$C$722,1,Данные!$A$2:$A$722,"&gt;="&amp;7722454000,Данные!$A$2:$A$722,"&lt;="&amp;7722454099)</f>
        <v>0</v>
      </c>
      <c r="BG9" s="66" t="n">
        <f aca="false">COUNTIFS(Данные!$B$2:$B$722,9,Данные!$C$2:$C$722,1,Данные!$A$2:$A$722,"&gt;="&amp;7722458000,Данные!$A$2:$A$722,"&lt;="&amp;7722458999)</f>
        <v>0</v>
      </c>
      <c r="BH9" s="66" t="n">
        <f aca="false">COUNTIFS(Данные!$B$2:$B$722,9,Данные!$C$2:$C$722,1,Данные!$A$2:$A$722,"&gt;="&amp;7722630000,Данные!$A$2:$A$722,"&lt;="&amp;7722638549)</f>
        <v>0</v>
      </c>
      <c r="BI9" s="66" t="n">
        <f aca="false">COUNTIFS(Данные!$B$2:$B$722,9,Данные!$C$2:$C$722,1,Данные!$A$2:$A$722,"&gt;="&amp;7722639400,Данные!$A$2:$A$722,"&lt;="&amp;7722639899)</f>
        <v>0</v>
      </c>
      <c r="BJ9" s="66" t="n">
        <f aca="false">COUNTIFS(Данные!$B$2:$B$722,9,Данные!$C$2:$C$722,1,Данные!$A$2:$A$722,"&gt;="&amp;7725750000,Данные!$A$2:$A$722,"&lt;="&amp;7725750399)</f>
        <v>0</v>
      </c>
      <c r="BK9" s="66" t="n">
        <f aca="false">COUNTIFS(Данные!$B$2:$B$722,9,Данные!$C$2:$C$722,1,Данные!$A$2:$A$722,"&gt;="&amp;7723620000,Данные!$A$2:$A$722,"&lt;="&amp;7723621299)</f>
        <v>0</v>
      </c>
      <c r="BL9" s="66" t="n">
        <f aca="false">COUNTIFS(Данные!$B$2:$B$722,9,Данные!$C$2:$C$722,1,Данные!$A$2:$A$722,"&gt;="&amp;7723621600,Данные!$A$2:$A$722,"&lt;="&amp;7723623399)</f>
        <v>0</v>
      </c>
      <c r="BM9" s="66" t="n">
        <f aca="false">COUNTIFS(Данные!$B$2:$B$722,9,Данные!$C$2:$C$722,1,Данные!$A$2:$A$722,"&gt;="&amp;7725127000,Данные!$A$2:$A$722,"&lt;="&amp;7725127999)</f>
        <v>0</v>
      </c>
      <c r="BN9" s="66" t="n">
        <f aca="false">COUNTIFS(Данные!$B$2:$B$722,9,Данные!$C$2:$C$722,1,Данные!$A$2:$A$722,"&gt;="&amp;7723772000,Данные!$A$2:$A$722,"&lt;="&amp;7723724999)</f>
        <v>0</v>
      </c>
      <c r="BO9" s="65" t="n">
        <f aca="false">COUNTIFS(Данные!$B$2:$B$722,9,Данные!$C$2:$C$722,1,Данные!$A$2:$A$722,"&gt;="&amp;7723765000,Данные!$A$2:$A$722,"&lt;="&amp;7723765499)</f>
        <v>0</v>
      </c>
      <c r="BP9" s="66" t="n">
        <f aca="false">COUNTIFS(Данные!$B$2:$B$722,9,Данные!$C$2:$C$722,1,Данные!$A$2:$A$722,"&gt;="&amp;7723948000,Данные!$A$2:$A$722,"&lt;="&amp;7723948999)</f>
        <v>0</v>
      </c>
      <c r="BQ9" s="66" t="n">
        <f aca="false">COUNTIFS(Данные!$B$2:$B$722,9,Данные!$C$2:$C$722,1,Данные!$A$2:$A$722,"&gt;="&amp;7723950000,Данные!$A$2:$A$722,"&lt;="&amp;7723951099)</f>
        <v>0</v>
      </c>
      <c r="BR9" s="66" t="n">
        <f aca="false">COUNTIFS(Данные!$B$2:$B$722,9,Данные!$C$2:$C$722,1,Данные!$A$2:$A$722,"&gt;="&amp;7723020000,Данные!$A$2:$A$722,"&lt;="&amp;7723020999)</f>
        <v>0</v>
      </c>
      <c r="BS9" s="66" t="n">
        <f aca="false">COUNTIFS(Данные!$B$2:$B$722,9,Данные!$C$2:$C$722,1,Данные!$A$2:$A$722,"&gt;="&amp;7723029000,Данные!$A$2:$A$722,"&lt;="&amp;7723029999)</f>
        <v>0</v>
      </c>
      <c r="BT9" s="66" t="n">
        <f aca="false">COUNTIFS(Данные!$B$2:$B$722,9,Данные!$C$2:$C$722,1,Данные!$A$2:$A$722,"&gt;="&amp;7723055000,Данные!$A$2:$A$722,"&lt;="&amp;7723056549)</f>
        <v>0</v>
      </c>
      <c r="BU9" s="65" t="n">
        <f aca="false">COUNTIFS(Данные!$B$2:$B$722,9,Данные!$C$2:$C$722,1,Данные!$A$2:$A$722,"&gt;="&amp;7725250000,Данные!$A$2:$A$722,"&lt;="&amp;7725250499)</f>
        <v>0</v>
      </c>
      <c r="BV9" s="66" t="n">
        <f aca="false">COUNTIFS(Данные!$B$2:$B$722,9,Данные!$C$2:$C$722,1,Данные!$A$2:$A$722,"&gt;="&amp;7183841400,Данные!$A$2:$A$722,"&lt;="&amp;7183841499)</f>
        <v>0</v>
      </c>
      <c r="BW9" s="49" t="n">
        <v>300</v>
      </c>
      <c r="BX9" s="67" t="n">
        <f aca="false">F9-BW9</f>
        <v>-236</v>
      </c>
    </row>
    <row r="10" s="15" customFormat="true" ht="12" hidden="false" customHeight="true" outlineLevel="0" collapsed="false">
      <c r="A10" s="47"/>
      <c r="B10" s="48"/>
      <c r="C10" s="50" t="n">
        <v>2</v>
      </c>
      <c r="D10" s="50" t="n">
        <v>92</v>
      </c>
      <c r="E10" s="51"/>
      <c r="F10" s="65" t="n">
        <f aca="false">COUNTIFS(Данные!$B$2:$B$722,9,Данные!$C$2:$C$722,2)</f>
        <v>0</v>
      </c>
      <c r="G10" s="65" t="n">
        <f aca="false">COUNTIFS(Данные!$B$2:$B$722,9,Данные!$C$2:$C$722,2,Данные!$A$2:$A$722,"&gt;="&amp;77232210840,Данные!$A$2:$A$722,"&lt;="&amp;77232216999)</f>
        <v>0</v>
      </c>
      <c r="H10" s="65" t="n">
        <f aca="false">COUNTIFS(Данные!$B$2:$B$722,9,Данные!$C$2:$C$722,2,Данные!$A$2:$A$722,"&gt;="&amp;77232510512,Данные!$A$2:$A$722,"&lt;="&amp;77232519487)</f>
        <v>0</v>
      </c>
      <c r="I10" s="65" t="n">
        <f aca="false">COUNTIFS(Данные!$B$2:$B$722,9,Данные!$C$2:$C$722,2,Данные!$A$2:$A$722,"&gt;="&amp;77232524160,Данные!$A$2:$A$722,"&lt;="&amp;77232529999)</f>
        <v>0</v>
      </c>
      <c r="J10" s="65" t="n">
        <f aca="false">COUNTIFS(Данные!$B$2:$B$722,9,Данные!$C$2:$C$722,2,Данные!$A$2:$A$722,"&gt;="&amp;77232544000,Данные!$A$2:$A$722,"&lt;="&amp;77232544999)</f>
        <v>0</v>
      </c>
      <c r="K10" s="65" t="n">
        <f aca="false">COUNTIFS(Данные!$B$2:$B$722,9,Данные!$C$2:$C$722,2,Данные!$A$2:$A$722,"&gt;="&amp;77232295504,Данные!$A$2:$A$722,"&lt;="&amp;77232296999)</f>
        <v>0</v>
      </c>
      <c r="L10" s="65" t="n">
        <f aca="false">COUNTIFS(Данные!$B$2:$B$722,9,Данные!$C$2:$C$722,2,Данные!$A$2:$A$722,"&gt;="&amp;77232785000,Данные!$A$2:$A$722,"&lt;="&amp;77232789999)</f>
        <v>0</v>
      </c>
      <c r="M10" s="65" t="n">
        <f aca="false">COUNTIFS(Данные!$B$2:$B$722,9,Данные!$C$2:$C$722,2,Данные!$A$2:$A$722,"&gt;="&amp;77233150000,Данные!$A$2:$A$722,"&lt;="&amp;77233155999)</f>
        <v>0</v>
      </c>
      <c r="N10" s="65" t="n">
        <f aca="false">COUNTIFS(Данные!$B$2:$B$722,9,Данные!$C$2:$C$722,2,Данные!$A$2:$A$722,"&gt;="&amp;77233235000,Данные!$A$2:$A$722,"&lt;="&amp;77233235999)</f>
        <v>0</v>
      </c>
      <c r="O10" s="65" t="n">
        <f aca="false">COUNTIFS(Данные!$B$2:$B$722,9,Данные!$C$2:$C$722,2,Данные!$A$2:$A$722,"&gt;="&amp;77233239000,Данные!$A$2:$A$722,"&lt;="&amp;77233239999)</f>
        <v>0</v>
      </c>
      <c r="P10" s="65" t="n">
        <f aca="false">COUNTIFS(Данные!$B$2:$B$722,9,Данные!$C$2:$C$722,2,Данные!$A$2:$A$722,"&gt;="&amp;77233272000,Данные!$A$2:$A$722,"&lt;="&amp;77233272999)</f>
        <v>0</v>
      </c>
      <c r="Q10" s="65" t="n">
        <f aca="false">COUNTIFS(Данные!$B$2:$B$722,9,Данные!$C$2:$C$722,2,Данные!$A$2:$A$722,"&gt;="&amp;77233291100,Данные!$A$2:$A$722,"&lt;="&amp;77233292999)</f>
        <v>0</v>
      </c>
      <c r="R10" s="65" t="n">
        <f aca="false">COUNTIFS(Данные!$B$2:$B$722,9,Данные!$C$2:$C$722,2,Данные!$A$2:$A$722,"&gt;="&amp;77233297000,Данные!$A$2:$A$722,"&lt;="&amp;77233298399)</f>
        <v>0</v>
      </c>
      <c r="S10" s="65" t="n">
        <f aca="false">COUNTIFS(Данные!$B$2:$B$722,9,Данные!$C$2:$C$722,2,Данные!$A$2:$A$722,"&gt;="&amp;77235124000,Данные!$A$2:$A$722,"&lt;="&amp;77235128499)</f>
        <v>0</v>
      </c>
      <c r="T10" s="65" t="n">
        <f aca="false">COUNTIFS(Данные!$B$2:$B$722,9,Данные!$C$2:$C$722,2,Данные!$A$2:$A$722,"&gt;="&amp;77235320000,Данные!$A$2:$A$722,"&lt;="&amp;77235320999)</f>
        <v>0</v>
      </c>
      <c r="U10" s="65" t="n">
        <f aca="false">COUNTIFS(Данные!$B$2:$B$722,9,Данные!$C$2:$C$722,2,Данные!$A$2:$A$722,"&gt;="&amp;77233620000,Данные!$A$2:$A$722,"&lt;="&amp;77233623339)</f>
        <v>0</v>
      </c>
      <c r="V10" s="65" t="n">
        <f aca="false">COUNTIFS(Данные!$B$2:$B$722,9,Данные!$C$2:$C$722,2,Данные!$A$2:$A$722,"&gt;="&amp;77233630000,Данные!$A$2:$A$722,"&lt;="&amp;77233630999)</f>
        <v>0</v>
      </c>
      <c r="W10" s="65" t="n">
        <f aca="false">COUNTIFS(Данные!$B$2:$B$722,9,Данные!$C$2:$C$722,2,Данные!$A$2:$A$722,"&gt;="&amp;77233637000,Данные!$A$2:$A$722,"&lt;="&amp;77233637599)</f>
        <v>0</v>
      </c>
      <c r="X10" s="65" t="n">
        <f aca="false">COUNTIFS(Данные!$B$2:$B$722,9,Данные!$C$2:$C$722,2,Данные!$A$2:$A$722,"&gt;="&amp;77233550000,Данные!$A$2:$A$722,"&lt;="&amp;77233550999)</f>
        <v>0</v>
      </c>
      <c r="Y10" s="65" t="n">
        <f aca="false">COUNTIFS(Данные!$B$2:$B$722,9,Данные!$C$2:$C$722,2,Данные!$A$2:$A$722,"&gt;="&amp;77233554000,Данные!$A$2:$A$722,"&lt;="&amp;77233554999)</f>
        <v>0</v>
      </c>
      <c r="Z10" s="65" t="n">
        <f aca="false">COUNTIFS(Данные!$B$2:$B$722,9,Данные!$C$2:$C$722,2,Данные!$A$2:$A$722,"&gt;="&amp;77233555000,Данные!$A$2:$A$722,"&lt;="&amp;77233556999)</f>
        <v>0</v>
      </c>
      <c r="AA10" s="65" t="n">
        <f aca="false">COUNTIFS(Данные!$B$2:$B$722,9,Данные!$C$2:$C$722,2,Данные!$A$2:$A$722,"&gt;="&amp;77233726000,Данные!$A$2:$A$722,"&lt;="&amp;77233726999)</f>
        <v>0</v>
      </c>
      <c r="AB10" s="65" t="n">
        <f aca="false">COUNTIFS(Данные!$B$2:$B$722,9,Данные!$C$2:$C$722,2,Данные!$A$2:$A$722,"&gt;="&amp;77233820000,Данные!$A$2:$A$722,"&lt;="&amp;77233820999)</f>
        <v>0</v>
      </c>
      <c r="AC10" s="65" t="n">
        <f aca="false">COUNTIFS(Данные!$B$2:$B$722,9,Данные!$C$2:$C$722,2,Данные!$A$2:$A$722,"&gt;="&amp;77233850000,Данные!$A$2:$A$722,"&lt;="&amp;77233850999)</f>
        <v>0</v>
      </c>
      <c r="AD10" s="65" t="n">
        <f aca="false">COUNTIFS(Данные!$B$2:$B$722,9,Данные!$C$2:$C$722,2,Данные!$A$2:$A$722,"&gt;="&amp;77233420000,Данные!$A$2:$A$722,"&lt;="&amp;77233420999)</f>
        <v>0</v>
      </c>
      <c r="AE10" s="65" t="n">
        <f aca="false">COUNTIFS(Данные!$B$2:$B$722,9,Данные!$C$2:$C$722,2,Данные!$A$2:$A$722,"&gt;="&amp;77234740000,Данные!$A$2:$A$722,"&lt;="&amp;77234742999)</f>
        <v>0</v>
      </c>
      <c r="AF10" s="65" t="n">
        <f aca="false">COUNTIFS(Данные!$B$2:$B$722,9,Данные!$C$2:$C$722,2,Данные!$A$2:$A$722,"&gt;="&amp;77234767000,Данные!$A$2:$A$722,"&lt;="&amp;77234767999)</f>
        <v>0</v>
      </c>
      <c r="AG10" s="65" t="n">
        <f aca="false">COUNTIFS(Данные!$B$2:$B$722,9,Данные!$C$2:$C$722,2,Данные!$A$2:$A$722,"&gt;="&amp;77234120000,Данные!$A$2:$A$722,"&lt;="&amp;77234120999)</f>
        <v>0</v>
      </c>
      <c r="AH10" s="65" t="n">
        <f aca="false">COUNTIFS(Данные!$B$2:$B$722,9,Данные!$C$2:$C$722,2,Данные!$A$2:$A$722,"&gt;="&amp;77234127000,Данные!$A$2:$A$722,"&lt;="&amp;77234127999)</f>
        <v>0</v>
      </c>
      <c r="AI10" s="65" t="n">
        <f aca="false">COUNTIFS(Данные!$B$2:$B$722,9,Данные!$C$2:$C$722,2,Данные!$A$2:$A$722,"&gt;="&amp;77234220000,Данные!$A$2:$A$722,"&lt;="&amp;77234220999)</f>
        <v>0</v>
      </c>
      <c r="AJ10" s="65" t="n">
        <f aca="false">COUNTIFS(Данные!$B$2:$B$722,9,Данные!$C$2:$C$722,2,Данные!$A$2:$A$722,"&gt;="&amp;77234250000,Данные!$A$2:$A$722,"&lt;="&amp;77234250999)</f>
        <v>0</v>
      </c>
      <c r="AK10" s="65" t="n">
        <f aca="false">COUNTIFS(Данные!$B$2:$B$722,9,Данные!$C$2:$C$722,2,Данные!$A$2:$A$722,"&gt;="&amp;77233922950,Данные!$A$2:$A$722,"&lt;="&amp;77233924999)</f>
        <v>0</v>
      </c>
      <c r="AL10" s="65" t="n">
        <f aca="false">COUNTIFS(Данные!$B$2:$B$722,9,Данные!$C$2:$C$722,2,Данные!$A$2:$A$722,"&gt;="&amp;77234320000,Данные!$A$2:$A$722,"&lt;="&amp;77234320999)</f>
        <v>0</v>
      </c>
      <c r="AM10" s="65" t="n">
        <f aca="false">COUNTIFS(Данные!$B$2:$B$722,9,Данные!$C$2:$C$722,2,Данные!$A$2:$A$722,"&gt;="&amp;77234350000,Данные!$A$2:$A$722,"&lt;="&amp;77234350999)</f>
        <v>0</v>
      </c>
      <c r="AN10" s="65" t="n">
        <f aca="false">COUNTIFS(Данные!$B$2:$B$722,9,Данные!$C$2:$C$722,2,Данные!$A$2:$A$722,"&gt;="&amp;77234020000,Данные!$A$2:$A$722,"&lt;="&amp;77234020999)</f>
        <v>0</v>
      </c>
      <c r="AO10" s="65" t="n">
        <f aca="false">COUNTIFS(Данные!$B$2:$B$722,9,Данные!$C$2:$C$722,2,Данные!$A$2:$A$722,"&gt;="&amp;77234029000,Данные!$A$2:$A$722,"&lt;="&amp;77234029999)</f>
        <v>0</v>
      </c>
      <c r="AP10" s="65" t="n">
        <f aca="false">COUNTIFS(Данные!$B$2:$B$722,9,Данные!$C$2:$C$722,2,Данные!$A$2:$A$722,"&gt;="&amp;77234050000,Данные!$A$2:$A$722,"&lt;="&amp;77234050999)</f>
        <v>0</v>
      </c>
      <c r="AQ10" s="65" t="n">
        <f aca="false">COUNTIFS(Данные!$B$2:$B$722,9,Данные!$C$2:$C$722,2,Данные!$A$2:$A$722,"&gt;="&amp;77234427000,Данные!$A$2:$A$722,"&lt;="&amp;77234428999)</f>
        <v>0</v>
      </c>
      <c r="AR10" s="65" t="n">
        <f aca="false">COUNTIFS(Данные!$B$2:$B$722,9,Данные!$C$2:$C$722,2,Данные!$A$2:$A$722,"&gt;="&amp;77234450000,Данные!$A$2:$A$722,"&lt;="&amp;77234450999)</f>
        <v>0</v>
      </c>
      <c r="AS10" s="65" t="n">
        <f aca="false">COUNTIFS(Данные!$B$2:$B$722,9,Данные!$C$2:$C$722,2,Данные!$A$2:$A$722,"&gt;="&amp;77234620000,Данные!$A$2:$A$722,"&lt;="&amp;77234620999)</f>
        <v>0</v>
      </c>
      <c r="AT10" s="65" t="n">
        <f aca="false">COUNTIFS(Данные!$B$2:$B$722,9,Данные!$C$2:$C$722,2,Данные!$A$2:$A$722,"&gt;="&amp;77234650000,Данные!$A$2:$A$722,"&lt;="&amp;77234650999)</f>
        <v>0</v>
      </c>
      <c r="AU10" s="65" t="n">
        <f aca="false">COUNTIFS(Данные!$B$2:$B$722,9,Данные!$C$2:$C$722,2,Данные!$A$2:$A$722,"&gt;="&amp;77234820000,Данные!$A$2:$A$722,"&lt;="&amp;77234820999)</f>
        <v>0</v>
      </c>
      <c r="AV10" s="65" t="n">
        <f aca="false">COUNTIFS(Данные!$B$2:$B$722,9,Данные!$C$2:$C$722,2,Данные!$A$2:$A$722,"&gt;="&amp;77234850000,Данные!$A$2:$A$722,"&lt;="&amp;77234850999)</f>
        <v>0</v>
      </c>
      <c r="AW10" s="65" t="n">
        <f aca="false">COUNTIFS(Данные!$B$2:$B$722,9,Данные!$C$2:$C$722,2,Данные!$A$2:$A$722,"&gt;="&amp;77233327000,Данные!$A$2:$A$722,"&lt;="&amp;77233327999)</f>
        <v>0</v>
      </c>
      <c r="AX10" s="65" t="n">
        <f aca="false">COUNTIFS(Данные!$B$2:$B$722,9,Данные!$C$2:$C$722,2,Данные!$A$2:$A$722,"&gt;="&amp;77233350000,Данные!$A$2:$A$722,"&lt;="&amp;77233350599)</f>
        <v>0</v>
      </c>
      <c r="AY10" s="65" t="n">
        <f aca="false">COUNTIFS(Данные!$B$2:$B$722,9,Данные!$C$2:$C$722,2,Данные!$A$2:$A$722,"&gt;="&amp;77233351000,Данные!$A$2:$A$722,"&lt;="&amp;77233351999)</f>
        <v>0</v>
      </c>
      <c r="AZ10" s="66" t="n">
        <f aca="false">COUNTIFS(Данные!$B$2:$B$722,9,Данные!$C$2:$C$722,2,Данные!$A$2:$A$722,"&gt;="&amp;7722440000,Данные!$A$2:$A$722,"&lt;="&amp;7722440999)</f>
        <v>0</v>
      </c>
      <c r="BA10" s="66" t="n">
        <f aca="false">COUNTIFS(Данные!$B$2:$B$722,9,Данные!$C$2:$C$722,2,Данные!$A$2:$A$722,"&gt;="&amp;7722442000,Данные!$A$2:$A$722,"&lt;="&amp;7722445659)</f>
        <v>0</v>
      </c>
      <c r="BB10" s="66" t="n">
        <f aca="false">COUNTIFS(Данные!$B$2:$B$722,9,Данные!$C$2:$C$722,2,Данные!$A$2:$A$722,"&gt;="&amp;7722450000,Данные!$A$2:$A$722,"&lt;="&amp;7722450199)</f>
        <v>0</v>
      </c>
      <c r="BC10" s="66" t="n">
        <f aca="false">COUNTIFS(Данные!$B$2:$B$722,9,Данные!$C$2:$C$722,2,Данные!$A$2:$A$722,"&gt;="&amp;7722451000,Данные!$A$2:$A$722,"&lt;="&amp;7722451374)</f>
        <v>0</v>
      </c>
      <c r="BD10" s="66" t="n">
        <f aca="false">COUNTIFS(Данные!$B$2:$B$722,9,Данные!$C$2:$C$722,2,Данные!$A$2:$A$722,"&gt;="&amp;7722452000,Данные!$A$2:$A$722,"&lt;="&amp;7722452299)</f>
        <v>0</v>
      </c>
      <c r="BE10" s="66" t="n">
        <f aca="false">COUNTIFS(Данные!$B$2:$B$722,9,Данные!$C$2:$C$722,2,Данные!$A$2:$A$722,"&gt;="&amp;7722453000,Данные!$A$2:$A$722,"&lt;="&amp;7722453816)</f>
        <v>0</v>
      </c>
      <c r="BF10" s="66" t="n">
        <f aca="false">COUNTIFS(Данные!$B$2:$B$722,9,Данные!$C$2:$C$722,2,Данные!$A$2:$A$722,"&gt;="&amp;7722454000,Данные!$A$2:$A$722,"&lt;="&amp;7722454099)</f>
        <v>0</v>
      </c>
      <c r="BG10" s="66" t="n">
        <f aca="false">COUNTIFS(Данные!$B$2:$B$722,9,Данные!$C$2:$C$722,2,Данные!$A$2:$A$722,"&gt;="&amp;7722458000,Данные!$A$2:$A$722,"&lt;="&amp;7722458999)</f>
        <v>0</v>
      </c>
      <c r="BH10" s="66" t="n">
        <f aca="false">COUNTIFS(Данные!$B$2:$B$722,9,Данные!$C$2:$C$722,2,Данные!$A$2:$A$722,"&gt;="&amp;7722630000,Данные!$A$2:$A$722,"&lt;="&amp;7722638549)</f>
        <v>0</v>
      </c>
      <c r="BI10" s="66" t="n">
        <f aca="false">COUNTIFS(Данные!$B$2:$B$722,9,Данные!$C$2:$C$722,2,Данные!$A$2:$A$722,"&gt;="&amp;7722639400,Данные!$A$2:$A$722,"&lt;="&amp;7722639899)</f>
        <v>0</v>
      </c>
      <c r="BJ10" s="66" t="n">
        <f aca="false">COUNTIFS(Данные!$B$2:$B$722,9,Данные!$C$2:$C$722,2,Данные!$A$2:$A$722,"&gt;="&amp;7725750000,Данные!$A$2:$A$722,"&lt;="&amp;7725750399)</f>
        <v>0</v>
      </c>
      <c r="BK10" s="66" t="n">
        <f aca="false">COUNTIFS(Данные!$B$2:$B$722,9,Данные!$C$2:$C$722,2,Данные!$A$2:$A$722,"&gt;="&amp;7723620000,Данные!$A$2:$A$722,"&lt;="&amp;7723621299)</f>
        <v>0</v>
      </c>
      <c r="BL10" s="66" t="n">
        <f aca="false">COUNTIFS(Данные!$B$2:$B$722,9,Данные!$C$2:$C$722,2,Данные!$A$2:$A$722,"&gt;="&amp;7723621600,Данные!$A$2:$A$722,"&lt;="&amp;7723623399)</f>
        <v>0</v>
      </c>
      <c r="BM10" s="66" t="n">
        <f aca="false">COUNTIFS(Данные!$B$2:$B$722,9,Данные!$C$2:$C$722,2,Данные!$A$2:$A$722,"&gt;="&amp;7725127000,Данные!$A$2:$A$722,"&lt;="&amp;7725127999)</f>
        <v>0</v>
      </c>
      <c r="BN10" s="66" t="n">
        <f aca="false">COUNTIFS(Данные!$B$2:$B$722,9,Данные!$C$2:$C$722,2,Данные!$A$2:$A$722,"&gt;="&amp;7723772000,Данные!$A$2:$A$722,"&lt;="&amp;7723724999)</f>
        <v>0</v>
      </c>
      <c r="BO10" s="65" t="n">
        <f aca="false">COUNTIFS(Данные!$B$2:$B$722,9,Данные!$C$2:$C$722,2,Данные!$A$2:$A$722,"&gt;="&amp;7723765000,Данные!$A$2:$A$722,"&lt;="&amp;7723765499)</f>
        <v>0</v>
      </c>
      <c r="BP10" s="66" t="n">
        <f aca="false">COUNTIFS(Данные!$B$2:$B$722,9,Данные!$C$2:$C$722,2,Данные!$A$2:$A$722,"&gt;="&amp;7723948000,Данные!$A$2:$A$722,"&lt;="&amp;7723948999)</f>
        <v>0</v>
      </c>
      <c r="BQ10" s="66" t="n">
        <f aca="false">COUNTIFS(Данные!$B$2:$B$722,9,Данные!$C$2:$C$722,2,Данные!$A$2:$A$722,"&gt;="&amp;7723950000,Данные!$A$2:$A$722,"&lt;="&amp;7723951099)</f>
        <v>0</v>
      </c>
      <c r="BR10" s="66" t="n">
        <f aca="false">COUNTIFS(Данные!$B$2:$B$722,9,Данные!$C$2:$C$722,2,Данные!$A$2:$A$722,"&gt;="&amp;7723020000,Данные!$A$2:$A$722,"&lt;="&amp;7723020999)</f>
        <v>0</v>
      </c>
      <c r="BS10" s="66" t="n">
        <f aca="false">COUNTIFS(Данные!$B$2:$B$722,9,Данные!$C$2:$C$722,2,Данные!$A$2:$A$722,"&gt;="&amp;7723029000,Данные!$A$2:$A$722,"&lt;="&amp;7723029999)</f>
        <v>0</v>
      </c>
      <c r="BT10" s="66" t="n">
        <f aca="false">COUNTIFS(Данные!$B$2:$B$722,9,Данные!$C$2:$C$722,2,Данные!$A$2:$A$722,"&gt;="&amp;7723055000,Данные!$A$2:$A$722,"&lt;="&amp;7723056549)</f>
        <v>0</v>
      </c>
      <c r="BU10" s="65" t="n">
        <f aca="false">COUNTIFS(Данные!$B$2:$B$722,9,Данные!$C$2:$C$722,2,Данные!$A$2:$A$722,"&gt;="&amp;7725250000,Данные!$A$2:$A$722,"&lt;="&amp;7725250499)</f>
        <v>0</v>
      </c>
      <c r="BV10" s="66" t="n">
        <f aca="false">COUNTIFS(Данные!$B$2:$B$722,9,Данные!$C$2:$C$722,2,Данные!$A$2:$A$722,"&gt;="&amp;7183841400,Данные!$A$2:$A$722,"&lt;="&amp;7183841499)</f>
        <v>0</v>
      </c>
      <c r="BW10" s="49" t="n">
        <v>300</v>
      </c>
      <c r="BX10" s="67" t="n">
        <f aca="false">F10-BW10</f>
        <v>-300</v>
      </c>
    </row>
    <row r="11" s="15" customFormat="true" ht="12" hidden="false" customHeight="true" outlineLevel="0" collapsed="false">
      <c r="A11" s="38" t="n">
        <v>10</v>
      </c>
      <c r="B11" s="39" t="s">
        <v>63</v>
      </c>
      <c r="C11" s="41" t="n">
        <v>0</v>
      </c>
      <c r="D11" s="41" t="n">
        <v>100</v>
      </c>
      <c r="E11" s="42" t="n">
        <f aca="false">SUM(F11:F13)</f>
        <v>2</v>
      </c>
      <c r="F11" s="62" t="n">
        <f aca="false">COUNTIFS(Данные!$B$2:$B$722,10,Данные!$C$2:$C$722,0)</f>
        <v>0</v>
      </c>
      <c r="G11" s="62" t="n">
        <f aca="false">COUNTIFS(Данные!$B$2:$B$722,10,Данные!$C$2:$C$722,0,Данные!$A$2:$A$722,"&gt;="&amp;77232210840,Данные!$A$2:$A$722,"&lt;="&amp;77232216999)</f>
        <v>0</v>
      </c>
      <c r="H11" s="62" t="n">
        <f aca="false">COUNTIFS(Данные!$B$2:$B$722,10,Данные!$C$2:$C$722,0,Данные!$A$2:$A$722,"&gt;="&amp;77232510512,Данные!$A$2:$A$722,"&lt;="&amp;77232519487)</f>
        <v>0</v>
      </c>
      <c r="I11" s="62" t="n">
        <f aca="false">COUNTIFS(Данные!$B$2:$B$722,10,Данные!$C$2:$C$722,0,Данные!$A$2:$A$722,"&gt;="&amp;77232524160,Данные!$A$2:$A$722,"&lt;="&amp;77232529999)</f>
        <v>0</v>
      </c>
      <c r="J11" s="62" t="n">
        <f aca="false">COUNTIFS(Данные!$B$2:$B$722,10,Данные!$C$2:$C$722,0,Данные!$A$2:$A$722,"&gt;="&amp;77232544000,Данные!$A$2:$A$722,"&lt;="&amp;77232544999)</f>
        <v>0</v>
      </c>
      <c r="K11" s="62" t="n">
        <f aca="false">COUNTIFS(Данные!$B$2:$B$722,10,Данные!$C$2:$C$722,0,Данные!$A$2:$A$722,"&gt;="&amp;77232295504,Данные!$A$2:$A$722,"&lt;="&amp;77232296999)</f>
        <v>0</v>
      </c>
      <c r="L11" s="62" t="n">
        <f aca="false">COUNTIFS(Данные!$B$2:$B$722,10,Данные!$C$2:$C$722,0,Данные!$A$2:$A$722,"&gt;="&amp;77232785000,Данные!$A$2:$A$722,"&lt;="&amp;77232789999)</f>
        <v>0</v>
      </c>
      <c r="M11" s="62" t="n">
        <f aca="false">COUNTIFS(Данные!$B$2:$B$722,10,Данные!$C$2:$C$722,0,Данные!$A$2:$A$722,"&gt;="&amp;77233150000,Данные!$A$2:$A$722,"&lt;="&amp;77233155999)</f>
        <v>0</v>
      </c>
      <c r="N11" s="62" t="n">
        <f aca="false">COUNTIFS(Данные!$B$2:$B$722,10,Данные!$C$2:$C$722,0,Данные!$A$2:$A$722,"&gt;="&amp;77233235000,Данные!$A$2:$A$722,"&lt;="&amp;77233235999)</f>
        <v>0</v>
      </c>
      <c r="O11" s="62" t="n">
        <f aca="false">COUNTIFS(Данные!$B$2:$B$722,10,Данные!$C$2:$C$722,0,Данные!$A$2:$A$722,"&gt;="&amp;77233239000,Данные!$A$2:$A$722,"&lt;="&amp;77233239999)</f>
        <v>0</v>
      </c>
      <c r="P11" s="62" t="n">
        <f aca="false">COUNTIFS(Данные!$B$2:$B$722,10,Данные!$C$2:$C$722,0,Данные!$A$2:$A$722,"&gt;="&amp;77233272000,Данные!$A$2:$A$722,"&lt;="&amp;77233272999)</f>
        <v>0</v>
      </c>
      <c r="Q11" s="62" t="n">
        <f aca="false">COUNTIFS(Данные!$B$2:$B$722,10,Данные!$C$2:$C$722,0,Данные!$A$2:$A$722,"&gt;="&amp;77233291100,Данные!$A$2:$A$722,"&lt;="&amp;77233292999)</f>
        <v>0</v>
      </c>
      <c r="R11" s="62" t="n">
        <f aca="false">COUNTIFS(Данные!$B$2:$B$722,10,Данные!$C$2:$C$722,0,Данные!$A$2:$A$722,"&gt;="&amp;77233297000,Данные!$A$2:$A$722,"&lt;="&amp;77233298399)</f>
        <v>0</v>
      </c>
      <c r="S11" s="62" t="n">
        <f aca="false">COUNTIFS(Данные!$B$2:$B$722,10,Данные!$C$2:$C$722,0,Данные!$A$2:$A$722,"&gt;="&amp;77235124000,Данные!$A$2:$A$722,"&lt;="&amp;77235128499)</f>
        <v>0</v>
      </c>
      <c r="T11" s="62" t="n">
        <f aca="false">COUNTIFS(Данные!$B$2:$B$722,10,Данные!$C$2:$C$722,0,Данные!$A$2:$A$722,"&gt;="&amp;77235320000,Данные!$A$2:$A$722,"&lt;="&amp;77235320999)</f>
        <v>0</v>
      </c>
      <c r="U11" s="62" t="n">
        <f aca="false">COUNTIFS(Данные!$B$2:$B$722,10,Данные!$C$2:$C$722,0,Данные!$A$2:$A$722,"&gt;="&amp;77233620000,Данные!$A$2:$A$722,"&lt;="&amp;77233623339)</f>
        <v>0</v>
      </c>
      <c r="V11" s="62" t="n">
        <f aca="false">COUNTIFS(Данные!$B$2:$B$722,10,Данные!$C$2:$C$722,0,Данные!$A$2:$A$722,"&gt;="&amp;77233630000,Данные!$A$2:$A$722,"&lt;="&amp;77233630999)</f>
        <v>0</v>
      </c>
      <c r="W11" s="62" t="n">
        <f aca="false">COUNTIFS(Данные!$B$2:$B$722,10,Данные!$C$2:$C$722,0,Данные!$A$2:$A$722,"&gt;="&amp;77233637000,Данные!$A$2:$A$722,"&lt;="&amp;77233637599)</f>
        <v>0</v>
      </c>
      <c r="X11" s="62" t="n">
        <f aca="false">COUNTIFS(Данные!$B$2:$B$722,10,Данные!$C$2:$C$722,0,Данные!$A$2:$A$722,"&gt;="&amp;77233550000,Данные!$A$2:$A$722,"&lt;="&amp;77233550999)</f>
        <v>0</v>
      </c>
      <c r="Y11" s="62" t="n">
        <f aca="false">COUNTIFS(Данные!$B$2:$B$722,10,Данные!$C$2:$C$722,0,Данные!$A$2:$A$722,"&gt;="&amp;77233554000,Данные!$A$2:$A$722,"&lt;="&amp;77233554999)</f>
        <v>0</v>
      </c>
      <c r="Z11" s="62" t="n">
        <f aca="false">COUNTIFS(Данные!$B$2:$B$722,10,Данные!$C$2:$C$722,0,Данные!$A$2:$A$722,"&gt;="&amp;77233555000,Данные!$A$2:$A$722,"&lt;="&amp;77233556999)</f>
        <v>0</v>
      </c>
      <c r="AA11" s="62" t="n">
        <f aca="false">COUNTIFS(Данные!$B$2:$B$722,10,Данные!$C$2:$C$722,0,Данные!$A$2:$A$722,"&gt;="&amp;77233726000,Данные!$A$2:$A$722,"&lt;="&amp;77233726999)</f>
        <v>0</v>
      </c>
      <c r="AB11" s="62" t="n">
        <f aca="false">COUNTIFS(Данные!$B$2:$B$722,10,Данные!$C$2:$C$722,0,Данные!$A$2:$A$722,"&gt;="&amp;77233820000,Данные!$A$2:$A$722,"&lt;="&amp;77233820999)</f>
        <v>0</v>
      </c>
      <c r="AC11" s="62" t="n">
        <f aca="false">COUNTIFS(Данные!$B$2:$B$722,10,Данные!$C$2:$C$722,0,Данные!$A$2:$A$722,"&gt;="&amp;77233850000,Данные!$A$2:$A$722,"&lt;="&amp;77233850999)</f>
        <v>0</v>
      </c>
      <c r="AD11" s="62" t="n">
        <f aca="false">COUNTIFS(Данные!$B$2:$B$722,10,Данные!$C$2:$C$722,0,Данные!$A$2:$A$722,"&gt;="&amp;77233420000,Данные!$A$2:$A$722,"&lt;="&amp;77233420999)</f>
        <v>0</v>
      </c>
      <c r="AE11" s="62" t="n">
        <f aca="false">COUNTIFS(Данные!$B$2:$B$722,10,Данные!$C$2:$C$722,0,Данные!$A$2:$A$722,"&gt;="&amp;77234740000,Данные!$A$2:$A$722,"&lt;="&amp;77234742999)</f>
        <v>0</v>
      </c>
      <c r="AF11" s="62" t="n">
        <f aca="false">COUNTIFS(Данные!$B$2:$B$722,10,Данные!$C$2:$C$722,0,Данные!$A$2:$A$722,"&gt;="&amp;77234767000,Данные!$A$2:$A$722,"&lt;="&amp;77234767999)</f>
        <v>0</v>
      </c>
      <c r="AG11" s="62" t="n">
        <f aca="false">COUNTIFS(Данные!$B$2:$B$722,10,Данные!$C$2:$C$722,0,Данные!$A$2:$A$722,"&gt;="&amp;77234120000,Данные!$A$2:$A$722,"&lt;="&amp;77234120999)</f>
        <v>0</v>
      </c>
      <c r="AH11" s="62" t="n">
        <f aca="false">COUNTIFS(Данные!$B$2:$B$722,10,Данные!$C$2:$C$722,0,Данные!$A$2:$A$722,"&gt;="&amp;77234127000,Данные!$A$2:$A$722,"&lt;="&amp;77234127999)</f>
        <v>0</v>
      </c>
      <c r="AI11" s="62" t="n">
        <f aca="false">COUNTIFS(Данные!$B$2:$B$722,10,Данные!$C$2:$C$722,0,Данные!$A$2:$A$722,"&gt;="&amp;77234220000,Данные!$A$2:$A$722,"&lt;="&amp;77234220999)</f>
        <v>0</v>
      </c>
      <c r="AJ11" s="62" t="n">
        <f aca="false">COUNTIFS(Данные!$B$2:$B$722,10,Данные!$C$2:$C$722,0,Данные!$A$2:$A$722,"&gt;="&amp;77234250000,Данные!$A$2:$A$722,"&lt;="&amp;77234250999)</f>
        <v>0</v>
      </c>
      <c r="AK11" s="62" t="n">
        <f aca="false">COUNTIFS(Данные!$B$2:$B$722,10,Данные!$C$2:$C$722,0,Данные!$A$2:$A$722,"&gt;="&amp;77233922950,Данные!$A$2:$A$722,"&lt;="&amp;77233924999)</f>
        <v>0</v>
      </c>
      <c r="AL11" s="62" t="n">
        <f aca="false">COUNTIFS(Данные!$B$2:$B$722,10,Данные!$C$2:$C$722,0,Данные!$A$2:$A$722,"&gt;="&amp;77234320000,Данные!$A$2:$A$722,"&lt;="&amp;77234320999)</f>
        <v>0</v>
      </c>
      <c r="AM11" s="62" t="n">
        <f aca="false">COUNTIFS(Данные!$B$2:$B$722,10,Данные!$C$2:$C$722,0,Данные!$A$2:$A$722,"&gt;="&amp;77234350000,Данные!$A$2:$A$722,"&lt;="&amp;77234350999)</f>
        <v>0</v>
      </c>
      <c r="AN11" s="62" t="n">
        <f aca="false">COUNTIFS(Данные!$B$2:$B$722,10,Данные!$C$2:$C$722,0,Данные!$A$2:$A$722,"&gt;="&amp;77234020000,Данные!$A$2:$A$722,"&lt;="&amp;77234020999)</f>
        <v>0</v>
      </c>
      <c r="AO11" s="62" t="n">
        <f aca="false">COUNTIFS(Данные!$B$2:$B$722,10,Данные!$C$2:$C$722,0,Данные!$A$2:$A$722,"&gt;="&amp;77234029000,Данные!$A$2:$A$722,"&lt;="&amp;77234029999)</f>
        <v>0</v>
      </c>
      <c r="AP11" s="62" t="n">
        <f aca="false">COUNTIFS(Данные!$B$2:$B$722,10,Данные!$C$2:$C$722,0,Данные!$A$2:$A$722,"&gt;="&amp;77234050000,Данные!$A$2:$A$722,"&lt;="&amp;77234050999)</f>
        <v>0</v>
      </c>
      <c r="AQ11" s="62" t="n">
        <f aca="false">COUNTIFS(Данные!$B$2:$B$722,10,Данные!$C$2:$C$722,0,Данные!$A$2:$A$722,"&gt;="&amp;77234427000,Данные!$A$2:$A$722,"&lt;="&amp;77234428999)</f>
        <v>0</v>
      </c>
      <c r="AR11" s="62" t="n">
        <f aca="false">COUNTIFS(Данные!$B$2:$B$722,10,Данные!$C$2:$C$722,0,Данные!$A$2:$A$722,"&gt;="&amp;77234450000,Данные!$A$2:$A$722,"&lt;="&amp;77234450999)</f>
        <v>0</v>
      </c>
      <c r="AS11" s="62" t="n">
        <f aca="false">COUNTIFS(Данные!$B$2:$B$722,10,Данные!$C$2:$C$722,0,Данные!$A$2:$A$722,"&gt;="&amp;77234620000,Данные!$A$2:$A$722,"&lt;="&amp;77234620999)</f>
        <v>0</v>
      </c>
      <c r="AT11" s="62" t="n">
        <f aca="false">COUNTIFS(Данные!$B$2:$B$722,10,Данные!$C$2:$C$722,0,Данные!$A$2:$A$722,"&gt;="&amp;77234650000,Данные!$A$2:$A$722,"&lt;="&amp;77234650999)</f>
        <v>0</v>
      </c>
      <c r="AU11" s="62" t="n">
        <f aca="false">COUNTIFS(Данные!$B$2:$B$722,10,Данные!$C$2:$C$722,0,Данные!$A$2:$A$722,"&gt;="&amp;77234820000,Данные!$A$2:$A$722,"&lt;="&amp;77234820999)</f>
        <v>0</v>
      </c>
      <c r="AV11" s="62" t="n">
        <f aca="false">COUNTIFS(Данные!$B$2:$B$722,10,Данные!$C$2:$C$722,0,Данные!$A$2:$A$722,"&gt;="&amp;77234850000,Данные!$A$2:$A$722,"&lt;="&amp;77234850999)</f>
        <v>0</v>
      </c>
      <c r="AW11" s="62" t="n">
        <f aca="false">COUNTIFS(Данные!$B$2:$B$722,10,Данные!$C$2:$C$722,0,Данные!$A$2:$A$722,"&gt;="&amp;77233327000,Данные!$A$2:$A$722,"&lt;="&amp;77233327999)</f>
        <v>0</v>
      </c>
      <c r="AX11" s="62" t="n">
        <f aca="false">COUNTIFS(Данные!$B$2:$B$722,10,Данные!$C$2:$C$722,0,Данные!$A$2:$A$722,"&gt;="&amp;77233350000,Данные!$A$2:$A$722,"&lt;="&amp;77233350599)</f>
        <v>0</v>
      </c>
      <c r="AY11" s="62" t="n">
        <f aca="false">COUNTIFS(Данные!$B$2:$B$722,10,Данные!$C$2:$C$722,0,Данные!$A$2:$A$722,"&gt;="&amp;77233351000,Данные!$A$2:$A$722,"&lt;="&amp;77233351999)</f>
        <v>0</v>
      </c>
      <c r="AZ11" s="62" t="n">
        <f aca="false">COUNTIFS(Данные!$B$2:$B$722,10,Данные!$C$2:$C$722,0,Данные!$A$2:$A$722,"&gt;="&amp;7722440000,Данные!$A$2:$A$722,"&lt;="&amp;7722440999)</f>
        <v>0</v>
      </c>
      <c r="BA11" s="63" t="n">
        <f aca="false">COUNTIFS(Данные!$B$2:$B$722,10,Данные!$C$2:$C$722,0,Данные!$A$2:$A$722,"&gt;="&amp;7722442000,Данные!$A$2:$A$722,"&lt;="&amp;7722445659)</f>
        <v>0</v>
      </c>
      <c r="BB11" s="63" t="n">
        <f aca="false">COUNTIFS(Данные!$B$2:$B$722,10,Данные!$C$2:$C$722,0,Данные!$A$2:$A$722,"&gt;="&amp;7722450000,Данные!$A$2:$A$722,"&lt;="&amp;7722450199)</f>
        <v>0</v>
      </c>
      <c r="BC11" s="63" t="n">
        <f aca="false">COUNTIFS(Данные!$B$2:$B$722,10,Данные!$C$2:$C$722,0,Данные!$A$2:$A$722,"&gt;="&amp;7722451000,Данные!$A$2:$A$722,"&lt;="&amp;7722451374)</f>
        <v>0</v>
      </c>
      <c r="BD11" s="63" t="n">
        <f aca="false">COUNTIFS(Данные!$B$2:$B$722,10,Данные!$C$2:$C$722,0,Данные!$A$2:$A$722,"&gt;="&amp;7722452000,Данные!$A$2:$A$722,"&lt;="&amp;7722452299)</f>
        <v>0</v>
      </c>
      <c r="BE11" s="63" t="n">
        <f aca="false">COUNTIFS(Данные!$B$2:$B$722,10,Данные!$C$2:$C$722,0,Данные!$A$2:$A$722,"&gt;="&amp;7722453000,Данные!$A$2:$A$722,"&lt;="&amp;7722453816)</f>
        <v>0</v>
      </c>
      <c r="BF11" s="63" t="n">
        <f aca="false">COUNTIFS(Данные!$B$2:$B$722,10,Данные!$C$2:$C$722,0,Данные!$A$2:$A$722,"&gt;="&amp;7722454000,Данные!$A$2:$A$722,"&lt;="&amp;7722454099)</f>
        <v>0</v>
      </c>
      <c r="BG11" s="63" t="n">
        <f aca="false">COUNTIFS(Данные!$B$2:$B$722,10,Данные!$C$2:$C$722,0,Данные!$A$2:$A$722,"&gt;="&amp;7722458000,Данные!$A$2:$A$722,"&lt;="&amp;7722458999)</f>
        <v>0</v>
      </c>
      <c r="BH11" s="63" t="n">
        <f aca="false">COUNTIFS(Данные!$B$2:$B$722,10,Данные!$C$2:$C$722,0,Данные!$A$2:$A$722,"&gt;="&amp;7722630000,Данные!$A$2:$A$722,"&lt;="&amp;7722638549)</f>
        <v>0</v>
      </c>
      <c r="BI11" s="63" t="n">
        <f aca="false">COUNTIFS(Данные!$B$2:$B$722,10,Данные!$C$2:$C$722,0,Данные!$A$2:$A$722,"&gt;="&amp;7722639400,Данные!$A$2:$A$722,"&lt;="&amp;7722639899)</f>
        <v>0</v>
      </c>
      <c r="BJ11" s="63" t="n">
        <f aca="false">COUNTIFS(Данные!$B$2:$B$722,10,Данные!$C$2:$C$722,0,Данные!$A$2:$A$722,"&gt;="&amp;7725750000,Данные!$A$2:$A$722,"&lt;="&amp;7725750399)</f>
        <v>0</v>
      </c>
      <c r="BK11" s="63" t="n">
        <f aca="false">COUNTIFS(Данные!$B$2:$B$722,10,Данные!$C$2:$C$722,0,Данные!$A$2:$A$722,"&gt;="&amp;7723620000,Данные!$A$2:$A$722,"&lt;="&amp;7723621299)</f>
        <v>0</v>
      </c>
      <c r="BL11" s="63" t="n">
        <f aca="false">COUNTIFS(Данные!$B$2:$B$722,10,Данные!$C$2:$C$722,0,Данные!$A$2:$A$722,"&gt;="&amp;7723621600,Данные!$A$2:$A$722,"&lt;="&amp;7723623399)</f>
        <v>0</v>
      </c>
      <c r="BM11" s="63" t="n">
        <f aca="false">COUNTIFS(Данные!$B$2:$B$722,10,Данные!$C$2:$C$722,0,Данные!$A$2:$A$722,"&gt;="&amp;7725127000,Данные!$A$2:$A$722,"&lt;="&amp;7725127999)</f>
        <v>0</v>
      </c>
      <c r="BN11" s="63" t="n">
        <f aca="false">COUNTIFS(Данные!$B$2:$B$722,10,Данные!$C$2:$C$722,0,Данные!$A$2:$A$722,"&gt;="&amp;7723772000,Данные!$A$2:$A$722,"&lt;="&amp;7723724999)</f>
        <v>0</v>
      </c>
      <c r="BO11" s="62" t="n">
        <f aca="false">COUNTIFS(Данные!$B$2:$B$722,10,Данные!$C$2:$C$722,0,Данные!$A$2:$A$722,"&gt;="&amp;7723765000,Данные!$A$2:$A$722,"&lt;="&amp;7723765499)</f>
        <v>0</v>
      </c>
      <c r="BP11" s="63" t="n">
        <f aca="false">COUNTIFS(Данные!$B$2:$B$722,10,Данные!$C$2:$C$722,0,Данные!$A$2:$A$722,"&gt;="&amp;7723948000,Данные!$A$2:$A$722,"&lt;="&amp;7723948999)</f>
        <v>0</v>
      </c>
      <c r="BQ11" s="63" t="n">
        <f aca="false">COUNTIFS(Данные!$B$2:$B$722,10,Данные!$C$2:$C$722,0,Данные!$A$2:$A$722,"&gt;="&amp;7723950000,Данные!$A$2:$A$722,"&lt;="&amp;7723951099)</f>
        <v>0</v>
      </c>
      <c r="BR11" s="63" t="n">
        <f aca="false">COUNTIFS(Данные!$B$2:$B$722,10,Данные!$C$2:$C$722,0,Данные!$A$2:$A$722,"&gt;="&amp;7723020000,Данные!$A$2:$A$722,"&lt;="&amp;7723020999)</f>
        <v>0</v>
      </c>
      <c r="BS11" s="63" t="n">
        <f aca="false">COUNTIFS(Данные!$B$2:$B$722,10,Данные!$C$2:$C$722,0,Данные!$A$2:$A$722,"&gt;="&amp;7723029000,Данные!$A$2:$A$722,"&lt;="&amp;7723029999)</f>
        <v>0</v>
      </c>
      <c r="BT11" s="63" t="n">
        <f aca="false">COUNTIFS(Данные!$B$2:$B$722,10,Данные!$C$2:$C$722,0,Данные!$A$2:$A$722,"&gt;="&amp;7723055000,Данные!$A$2:$A$722,"&lt;="&amp;7723056549)</f>
        <v>0</v>
      </c>
      <c r="BU11" s="62" t="n">
        <f aca="false">COUNTIFS(Данные!$B$2:$B$722,10,Данные!$C$2:$C$722,0,Данные!$A$2:$A$722,"&gt;="&amp;7725250000,Данные!$A$2:$A$722,"&lt;="&amp;7725250499)</f>
        <v>0</v>
      </c>
      <c r="BV11" s="63" t="n">
        <f aca="false">COUNTIFS(Данные!$B$2:$B$722,10,Данные!$C$2:$C$722,0,Данные!$A$2:$A$722,"&gt;="&amp;7183841400,Данные!$A$2:$A$722,"&lt;="&amp;7183841499)</f>
        <v>0</v>
      </c>
      <c r="BW11" s="40" t="n">
        <v>300</v>
      </c>
      <c r="BX11" s="64" t="n">
        <f aca="false">F11-BW11</f>
        <v>-300</v>
      </c>
    </row>
    <row r="12" s="15" customFormat="true" ht="12" hidden="false" customHeight="true" outlineLevel="0" collapsed="false">
      <c r="A12" s="38"/>
      <c r="B12" s="39"/>
      <c r="C12" s="41" t="n">
        <v>1</v>
      </c>
      <c r="D12" s="41" t="n">
        <v>101</v>
      </c>
      <c r="E12" s="42"/>
      <c r="F12" s="62" t="n">
        <f aca="false">COUNTIFS(Данные!$B$2:$B$722,10,Данные!$C$2:$C$722,1)</f>
        <v>0</v>
      </c>
      <c r="G12" s="62" t="n">
        <f aca="false">COUNTIFS(Данные!$B$2:$B$722,10,Данные!$C$2:$C$722,1,Данные!$A$2:$A$722,"&gt;="&amp;77232210840,Данные!$A$2:$A$722,"&lt;="&amp;77232216999)</f>
        <v>0</v>
      </c>
      <c r="H12" s="62" t="n">
        <f aca="false">COUNTIFS(Данные!$B$2:$B$722,10,Данные!$C$2:$C$722,1,Данные!$A$2:$A$722,"&gt;="&amp;77232510512,Данные!$A$2:$A$722,"&lt;="&amp;77232519487)</f>
        <v>0</v>
      </c>
      <c r="I12" s="62" t="n">
        <f aca="false">COUNTIFS(Данные!$B$2:$B$722,10,Данные!$C$2:$C$722,1,Данные!$A$2:$A$722,"&gt;="&amp;77232524160,Данные!$A$2:$A$722,"&lt;="&amp;77232529999)</f>
        <v>0</v>
      </c>
      <c r="J12" s="62" t="n">
        <f aca="false">COUNTIFS(Данные!$B$2:$B$722,10,Данные!$C$2:$C$722,1,Данные!$A$2:$A$722,"&gt;="&amp;77232544000,Данные!$A$2:$A$722,"&lt;="&amp;77232544999)</f>
        <v>0</v>
      </c>
      <c r="K12" s="62" t="n">
        <f aca="false">COUNTIFS(Данные!$B$2:$B$722,10,Данные!$C$2:$C$722,1,Данные!$A$2:$A$722,"&gt;="&amp;77232295504,Данные!$A$2:$A$722,"&lt;="&amp;77232296999)</f>
        <v>0</v>
      </c>
      <c r="L12" s="62" t="n">
        <f aca="false">COUNTIFS(Данные!$B$2:$B$722,10,Данные!$C$2:$C$722,1,Данные!$A$2:$A$722,"&gt;="&amp;77232785000,Данные!$A$2:$A$722,"&lt;="&amp;77232789999)</f>
        <v>0</v>
      </c>
      <c r="M12" s="62" t="n">
        <f aca="false">COUNTIFS(Данные!$B$2:$B$722,10,Данные!$C$2:$C$722,1,Данные!$A$2:$A$722,"&gt;="&amp;77233150000,Данные!$A$2:$A$722,"&lt;="&amp;77233155999)</f>
        <v>0</v>
      </c>
      <c r="N12" s="62" t="n">
        <f aca="false">COUNTIFS(Данные!$B$2:$B$722,10,Данные!$C$2:$C$722,1,Данные!$A$2:$A$722,"&gt;="&amp;77233235000,Данные!$A$2:$A$722,"&lt;="&amp;77233235999)</f>
        <v>0</v>
      </c>
      <c r="O12" s="62" t="n">
        <f aca="false">COUNTIFS(Данные!$B$2:$B$722,10,Данные!$C$2:$C$722,1,Данные!$A$2:$A$722,"&gt;="&amp;77233239000,Данные!$A$2:$A$722,"&lt;="&amp;77233239999)</f>
        <v>0</v>
      </c>
      <c r="P12" s="62" t="n">
        <f aca="false">COUNTIFS(Данные!$B$2:$B$722,10,Данные!$C$2:$C$722,1,Данные!$A$2:$A$722,"&gt;="&amp;77233272000,Данные!$A$2:$A$722,"&lt;="&amp;77233272999)</f>
        <v>0</v>
      </c>
      <c r="Q12" s="62" t="n">
        <f aca="false">COUNTIFS(Данные!$B$2:$B$722,10,Данные!$C$2:$C$722,1,Данные!$A$2:$A$722,"&gt;="&amp;77233291100,Данные!$A$2:$A$722,"&lt;="&amp;77233292999)</f>
        <v>0</v>
      </c>
      <c r="R12" s="62" t="n">
        <f aca="false">COUNTIFS(Данные!$B$2:$B$722,10,Данные!$C$2:$C$722,1,Данные!$A$2:$A$722,"&gt;="&amp;77233297000,Данные!$A$2:$A$722,"&lt;="&amp;77233298399)</f>
        <v>0</v>
      </c>
      <c r="S12" s="62" t="n">
        <f aca="false">COUNTIFS(Данные!$B$2:$B$722,10,Данные!$C$2:$C$722,1,Данные!$A$2:$A$722,"&gt;="&amp;77235124000,Данные!$A$2:$A$722,"&lt;="&amp;77235128499)</f>
        <v>0</v>
      </c>
      <c r="T12" s="62" t="n">
        <f aca="false">COUNTIFS(Данные!$B$2:$B$722,10,Данные!$C$2:$C$722,1,Данные!$A$2:$A$722,"&gt;="&amp;77235320000,Данные!$A$2:$A$722,"&lt;="&amp;77235320999)</f>
        <v>0</v>
      </c>
      <c r="U12" s="62" t="n">
        <f aca="false">COUNTIFS(Данные!$B$2:$B$722,10,Данные!$C$2:$C$722,1,Данные!$A$2:$A$722,"&gt;="&amp;77233620000,Данные!$A$2:$A$722,"&lt;="&amp;77233623339)</f>
        <v>0</v>
      </c>
      <c r="V12" s="62" t="n">
        <f aca="false">COUNTIFS(Данные!$B$2:$B$722,10,Данные!$C$2:$C$722,1,Данные!$A$2:$A$722,"&gt;="&amp;77233630000,Данные!$A$2:$A$722,"&lt;="&amp;77233630999)</f>
        <v>0</v>
      </c>
      <c r="W12" s="62" t="n">
        <f aca="false">COUNTIFS(Данные!$B$2:$B$722,10,Данные!$C$2:$C$722,1,Данные!$A$2:$A$722,"&gt;="&amp;77233637000,Данные!$A$2:$A$722,"&lt;="&amp;77233637599)</f>
        <v>0</v>
      </c>
      <c r="X12" s="62" t="n">
        <f aca="false">COUNTIFS(Данные!$B$2:$B$722,10,Данные!$C$2:$C$722,1,Данные!$A$2:$A$722,"&gt;="&amp;77233550000,Данные!$A$2:$A$722,"&lt;="&amp;77233550999)</f>
        <v>0</v>
      </c>
      <c r="Y12" s="62" t="n">
        <f aca="false">COUNTIFS(Данные!$B$2:$B$722,10,Данные!$C$2:$C$722,1,Данные!$A$2:$A$722,"&gt;="&amp;77233554000,Данные!$A$2:$A$722,"&lt;="&amp;77233554999)</f>
        <v>0</v>
      </c>
      <c r="Z12" s="62" t="n">
        <f aca="false">COUNTIFS(Данные!$B$2:$B$722,10,Данные!$C$2:$C$722,1,Данные!$A$2:$A$722,"&gt;="&amp;77233555000,Данные!$A$2:$A$722,"&lt;="&amp;77233556999)</f>
        <v>0</v>
      </c>
      <c r="AA12" s="62" t="n">
        <f aca="false">COUNTIFS(Данные!$B$2:$B$722,10,Данные!$C$2:$C$722,1,Данные!$A$2:$A$722,"&gt;="&amp;77233726000,Данные!$A$2:$A$722,"&lt;="&amp;77233726999)</f>
        <v>0</v>
      </c>
      <c r="AB12" s="62" t="n">
        <f aca="false">COUNTIFS(Данные!$B$2:$B$722,10,Данные!$C$2:$C$722,1,Данные!$A$2:$A$722,"&gt;="&amp;77233820000,Данные!$A$2:$A$722,"&lt;="&amp;77233820999)</f>
        <v>0</v>
      </c>
      <c r="AC12" s="62" t="n">
        <f aca="false">COUNTIFS(Данные!$B$2:$B$722,10,Данные!$C$2:$C$722,1,Данные!$A$2:$A$722,"&gt;="&amp;77233850000,Данные!$A$2:$A$722,"&lt;="&amp;77233850999)</f>
        <v>0</v>
      </c>
      <c r="AD12" s="62" t="n">
        <f aca="false">COUNTIFS(Данные!$B$2:$B$722,10,Данные!$C$2:$C$722,1,Данные!$A$2:$A$722,"&gt;="&amp;77233420000,Данные!$A$2:$A$722,"&lt;="&amp;77233420999)</f>
        <v>0</v>
      </c>
      <c r="AE12" s="62" t="n">
        <f aca="false">COUNTIFS(Данные!$B$2:$B$722,10,Данные!$C$2:$C$722,1,Данные!$A$2:$A$722,"&gt;="&amp;77234740000,Данные!$A$2:$A$722,"&lt;="&amp;77234742999)</f>
        <v>0</v>
      </c>
      <c r="AF12" s="62" t="n">
        <f aca="false">COUNTIFS(Данные!$B$2:$B$722,10,Данные!$C$2:$C$722,1,Данные!$A$2:$A$722,"&gt;="&amp;77234767000,Данные!$A$2:$A$722,"&lt;="&amp;77234767999)</f>
        <v>0</v>
      </c>
      <c r="AG12" s="62" t="n">
        <f aca="false">COUNTIFS(Данные!$B$2:$B$722,10,Данные!$C$2:$C$722,1,Данные!$A$2:$A$722,"&gt;="&amp;77234120000,Данные!$A$2:$A$722,"&lt;="&amp;77234120999)</f>
        <v>0</v>
      </c>
      <c r="AH12" s="62" t="n">
        <f aca="false">COUNTIFS(Данные!$B$2:$B$722,10,Данные!$C$2:$C$722,1,Данные!$A$2:$A$722,"&gt;="&amp;77234127000,Данные!$A$2:$A$722,"&lt;="&amp;77234127999)</f>
        <v>0</v>
      </c>
      <c r="AI12" s="62" t="n">
        <f aca="false">COUNTIFS(Данные!$B$2:$B$722,10,Данные!$C$2:$C$722,1,Данные!$A$2:$A$722,"&gt;="&amp;77234220000,Данные!$A$2:$A$722,"&lt;="&amp;77234220999)</f>
        <v>0</v>
      </c>
      <c r="AJ12" s="62" t="n">
        <f aca="false">COUNTIFS(Данные!$B$2:$B$722,10,Данные!$C$2:$C$722,1,Данные!$A$2:$A$722,"&gt;="&amp;77234250000,Данные!$A$2:$A$722,"&lt;="&amp;77234250999)</f>
        <v>0</v>
      </c>
      <c r="AK12" s="62" t="n">
        <f aca="false">COUNTIFS(Данные!$B$2:$B$722,10,Данные!$C$2:$C$722,1,Данные!$A$2:$A$722,"&gt;="&amp;77233922950,Данные!$A$2:$A$722,"&lt;="&amp;77233924999)</f>
        <v>0</v>
      </c>
      <c r="AL12" s="62" t="n">
        <f aca="false">COUNTIFS(Данные!$B$2:$B$722,10,Данные!$C$2:$C$722,1,Данные!$A$2:$A$722,"&gt;="&amp;77234320000,Данные!$A$2:$A$722,"&lt;="&amp;77234320999)</f>
        <v>0</v>
      </c>
      <c r="AM12" s="62" t="n">
        <f aca="false">COUNTIFS(Данные!$B$2:$B$722,10,Данные!$C$2:$C$722,1,Данные!$A$2:$A$722,"&gt;="&amp;77234350000,Данные!$A$2:$A$722,"&lt;="&amp;77234350999)</f>
        <v>0</v>
      </c>
      <c r="AN12" s="62" t="n">
        <f aca="false">COUNTIFS(Данные!$B$2:$B$722,10,Данные!$C$2:$C$722,1,Данные!$A$2:$A$722,"&gt;="&amp;77234020000,Данные!$A$2:$A$722,"&lt;="&amp;77234020999)</f>
        <v>0</v>
      </c>
      <c r="AO12" s="62" t="n">
        <f aca="false">COUNTIFS(Данные!$B$2:$B$722,10,Данные!$C$2:$C$722,1,Данные!$A$2:$A$722,"&gt;="&amp;77234029000,Данные!$A$2:$A$722,"&lt;="&amp;77234029999)</f>
        <v>0</v>
      </c>
      <c r="AP12" s="62" t="n">
        <f aca="false">COUNTIFS(Данные!$B$2:$B$722,10,Данные!$C$2:$C$722,1,Данные!$A$2:$A$722,"&gt;="&amp;77234050000,Данные!$A$2:$A$722,"&lt;="&amp;77234050999)</f>
        <v>0</v>
      </c>
      <c r="AQ12" s="62" t="n">
        <f aca="false">COUNTIFS(Данные!$B$2:$B$722,10,Данные!$C$2:$C$722,1,Данные!$A$2:$A$722,"&gt;="&amp;77234427000,Данные!$A$2:$A$722,"&lt;="&amp;77234428999)</f>
        <v>0</v>
      </c>
      <c r="AR12" s="62" t="n">
        <f aca="false">COUNTIFS(Данные!$B$2:$B$722,10,Данные!$C$2:$C$722,1,Данные!$A$2:$A$722,"&gt;="&amp;77234450000,Данные!$A$2:$A$722,"&lt;="&amp;77234450999)</f>
        <v>0</v>
      </c>
      <c r="AS12" s="62" t="n">
        <f aca="false">COUNTIFS(Данные!$B$2:$B$722,10,Данные!$C$2:$C$722,1,Данные!$A$2:$A$722,"&gt;="&amp;77234620000,Данные!$A$2:$A$722,"&lt;="&amp;77234620999)</f>
        <v>0</v>
      </c>
      <c r="AT12" s="62" t="n">
        <f aca="false">COUNTIFS(Данные!$B$2:$B$722,10,Данные!$C$2:$C$722,1,Данные!$A$2:$A$722,"&gt;="&amp;77234650000,Данные!$A$2:$A$722,"&lt;="&amp;77234650999)</f>
        <v>0</v>
      </c>
      <c r="AU12" s="62" t="n">
        <f aca="false">COUNTIFS(Данные!$B$2:$B$722,10,Данные!$C$2:$C$722,1,Данные!$A$2:$A$722,"&gt;="&amp;77234820000,Данные!$A$2:$A$722,"&lt;="&amp;77234820999)</f>
        <v>0</v>
      </c>
      <c r="AV12" s="62" t="n">
        <f aca="false">COUNTIFS(Данные!$B$2:$B$722,10,Данные!$C$2:$C$722,1,Данные!$A$2:$A$722,"&gt;="&amp;77234850000,Данные!$A$2:$A$722,"&lt;="&amp;77234850999)</f>
        <v>0</v>
      </c>
      <c r="AW12" s="62" t="n">
        <f aca="false">COUNTIFS(Данные!$B$2:$B$722,10,Данные!$C$2:$C$722,1,Данные!$A$2:$A$722,"&gt;="&amp;77233327000,Данные!$A$2:$A$722,"&lt;="&amp;77233327999)</f>
        <v>0</v>
      </c>
      <c r="AX12" s="62" t="n">
        <f aca="false">COUNTIFS(Данные!$B$2:$B$722,10,Данные!$C$2:$C$722,1,Данные!$A$2:$A$722,"&gt;="&amp;77233350000,Данные!$A$2:$A$722,"&lt;="&amp;77233350599)</f>
        <v>0</v>
      </c>
      <c r="AY12" s="62" t="n">
        <f aca="false">COUNTIFS(Данные!$B$2:$B$722,10,Данные!$C$2:$C$722,1,Данные!$A$2:$A$722,"&gt;="&amp;77233351000,Данные!$A$2:$A$722,"&lt;="&amp;77233351999)</f>
        <v>0</v>
      </c>
      <c r="AZ12" s="63" t="n">
        <f aca="false">COUNTIFS(Данные!$B$2:$B$722,10,Данные!$C$2:$C$722,1,Данные!$A$2:$A$722,"&gt;="&amp;7722440000,Данные!$A$2:$A$722,"&lt;="&amp;7722440999)</f>
        <v>0</v>
      </c>
      <c r="BA12" s="63" t="n">
        <f aca="false">COUNTIFS(Данные!$B$2:$B$722,10,Данные!$C$2:$C$722,1,Данные!$A$2:$A$722,"&gt;="&amp;7722442000,Данные!$A$2:$A$722,"&lt;="&amp;7722445659)</f>
        <v>0</v>
      </c>
      <c r="BB12" s="63" t="n">
        <f aca="false">COUNTIFS(Данные!$B$2:$B$722,10,Данные!$C$2:$C$722,1,Данные!$A$2:$A$722,"&gt;="&amp;7722450000,Данные!$A$2:$A$722,"&lt;="&amp;7722450199)</f>
        <v>0</v>
      </c>
      <c r="BC12" s="63" t="n">
        <f aca="false">COUNTIFS(Данные!$B$2:$B$722,10,Данные!$C$2:$C$722,1,Данные!$A$2:$A$722,"&gt;="&amp;7722451000,Данные!$A$2:$A$722,"&lt;="&amp;7722451374)</f>
        <v>0</v>
      </c>
      <c r="BD12" s="63" t="n">
        <f aca="false">COUNTIFS(Данные!$B$2:$B$722,10,Данные!$C$2:$C$722,1,Данные!$A$2:$A$722,"&gt;="&amp;7722452000,Данные!$A$2:$A$722,"&lt;="&amp;7722452299)</f>
        <v>0</v>
      </c>
      <c r="BE12" s="63" t="n">
        <f aca="false">COUNTIFS(Данные!$B$2:$B$722,10,Данные!$C$2:$C$722,1,Данные!$A$2:$A$722,"&gt;="&amp;7722453000,Данные!$A$2:$A$722,"&lt;="&amp;7722453816)</f>
        <v>0</v>
      </c>
      <c r="BF12" s="63" t="n">
        <f aca="false">COUNTIFS(Данные!$B$2:$B$722,10,Данные!$C$2:$C$722,1,Данные!$A$2:$A$722,"&gt;="&amp;7722454000,Данные!$A$2:$A$722,"&lt;="&amp;7722454099)</f>
        <v>0</v>
      </c>
      <c r="BG12" s="63" t="n">
        <f aca="false">COUNTIFS(Данные!$B$2:$B$722,10,Данные!$C$2:$C$722,1,Данные!$A$2:$A$722,"&gt;="&amp;7722458000,Данные!$A$2:$A$722,"&lt;="&amp;7722458999)</f>
        <v>0</v>
      </c>
      <c r="BH12" s="63" t="n">
        <f aca="false">COUNTIFS(Данные!$B$2:$B$722,10,Данные!$C$2:$C$722,1,Данные!$A$2:$A$722,"&gt;="&amp;7722630000,Данные!$A$2:$A$722,"&lt;="&amp;7722638549)</f>
        <v>0</v>
      </c>
      <c r="BI12" s="63" t="n">
        <f aca="false">COUNTIFS(Данные!$B$2:$B$722,10,Данные!$C$2:$C$722,1,Данные!$A$2:$A$722,"&gt;="&amp;7722639400,Данные!$A$2:$A$722,"&lt;="&amp;7722639899)</f>
        <v>0</v>
      </c>
      <c r="BJ12" s="63" t="n">
        <f aca="false">COUNTIFS(Данные!$B$2:$B$722,10,Данные!$C$2:$C$722,1,Данные!$A$2:$A$722,"&gt;="&amp;7725750000,Данные!$A$2:$A$722,"&lt;="&amp;7725750399)</f>
        <v>0</v>
      </c>
      <c r="BK12" s="63" t="n">
        <f aca="false">COUNTIFS(Данные!$B$2:$B$722,10,Данные!$C$2:$C$722,1,Данные!$A$2:$A$722,"&gt;="&amp;7723620000,Данные!$A$2:$A$722,"&lt;="&amp;7723621299)</f>
        <v>0</v>
      </c>
      <c r="BL12" s="63" t="n">
        <f aca="false">COUNTIFS(Данные!$B$2:$B$722,10,Данные!$C$2:$C$722,1,Данные!$A$2:$A$722,"&gt;="&amp;7723621600,Данные!$A$2:$A$722,"&lt;="&amp;7723623399)</f>
        <v>0</v>
      </c>
      <c r="BM12" s="63" t="n">
        <f aca="false">COUNTIFS(Данные!$B$2:$B$722,10,Данные!$C$2:$C$722,1,Данные!$A$2:$A$722,"&gt;="&amp;7725127000,Данные!$A$2:$A$722,"&lt;="&amp;7725127999)</f>
        <v>0</v>
      </c>
      <c r="BN12" s="63" t="n">
        <f aca="false">COUNTIFS(Данные!$B$2:$B$722,10,Данные!$C$2:$C$722,1,Данные!$A$2:$A$722,"&gt;="&amp;7723772000,Данные!$A$2:$A$722,"&lt;="&amp;7723724999)</f>
        <v>0</v>
      </c>
      <c r="BO12" s="62" t="n">
        <f aca="false">COUNTIFS(Данные!$B$2:$B$722,10,Данные!$C$2:$C$722,1,Данные!$A$2:$A$722,"&gt;="&amp;7723765000,Данные!$A$2:$A$722,"&lt;="&amp;7723765499)</f>
        <v>0</v>
      </c>
      <c r="BP12" s="63" t="n">
        <f aca="false">COUNTIFS(Данные!$B$2:$B$722,10,Данные!$C$2:$C$722,1,Данные!$A$2:$A$722,"&gt;="&amp;7723948000,Данные!$A$2:$A$722,"&lt;="&amp;7723948999)</f>
        <v>0</v>
      </c>
      <c r="BQ12" s="63" t="n">
        <f aca="false">COUNTIFS(Данные!$B$2:$B$722,10,Данные!$C$2:$C$722,1,Данные!$A$2:$A$722,"&gt;="&amp;7723950000,Данные!$A$2:$A$722,"&lt;="&amp;7723951099)</f>
        <v>0</v>
      </c>
      <c r="BR12" s="63" t="n">
        <f aca="false">COUNTIFS(Данные!$B$2:$B$722,10,Данные!$C$2:$C$722,1,Данные!$A$2:$A$722,"&gt;="&amp;7723020000,Данные!$A$2:$A$722,"&lt;="&amp;7723020999)</f>
        <v>0</v>
      </c>
      <c r="BS12" s="63" t="n">
        <f aca="false">COUNTIFS(Данные!$B$2:$B$722,10,Данные!$C$2:$C$722,1,Данные!$A$2:$A$722,"&gt;="&amp;7723029000,Данные!$A$2:$A$722,"&lt;="&amp;7723029999)</f>
        <v>0</v>
      </c>
      <c r="BT12" s="63" t="n">
        <f aca="false">COUNTIFS(Данные!$B$2:$B$722,10,Данные!$C$2:$C$722,1,Данные!$A$2:$A$722,"&gt;="&amp;7723055000,Данные!$A$2:$A$722,"&lt;="&amp;7723056549)</f>
        <v>0</v>
      </c>
      <c r="BU12" s="62" t="n">
        <f aca="false">COUNTIFS(Данные!$B$2:$B$722,10,Данные!$C$2:$C$722,1,Данные!$A$2:$A$722,"&gt;="&amp;7725250000,Данные!$A$2:$A$722,"&lt;="&amp;7725250499)</f>
        <v>0</v>
      </c>
      <c r="BV12" s="63" t="n">
        <f aca="false">COUNTIFS(Данные!$B$2:$B$722,10,Данные!$C$2:$C$722,1,Данные!$A$2:$A$722,"&gt;="&amp;7183841400,Данные!$A$2:$A$722,"&lt;="&amp;7183841499)</f>
        <v>0</v>
      </c>
      <c r="BW12" s="40" t="n">
        <v>300</v>
      </c>
      <c r="BX12" s="64" t="n">
        <f aca="false">F12-BW12</f>
        <v>-300</v>
      </c>
    </row>
    <row r="13" s="15" customFormat="true" ht="12" hidden="false" customHeight="true" outlineLevel="0" collapsed="false">
      <c r="A13" s="38"/>
      <c r="B13" s="39"/>
      <c r="C13" s="41" t="n">
        <v>2</v>
      </c>
      <c r="D13" s="41" t="n">
        <v>102</v>
      </c>
      <c r="E13" s="42"/>
      <c r="F13" s="62" t="n">
        <f aca="false">COUNTIFS(Данные!$B$2:$B$722,10,Данные!$C$2:$C$722,2)</f>
        <v>2</v>
      </c>
      <c r="G13" s="62" t="n">
        <f aca="false">COUNTIFS(Данные!$B$2:$B$722,10,Данные!$C$2:$C$722,2,Данные!$A$2:$A$722,"&gt;="&amp;77232210840,Данные!$A$2:$A$722,"&lt;="&amp;77232216999)</f>
        <v>0</v>
      </c>
      <c r="H13" s="62" t="n">
        <f aca="false">COUNTIFS(Данные!$B$2:$B$722,10,Данные!$C$2:$C$722,2,Данные!$A$2:$A$722,"&gt;="&amp;77232510512,Данные!$A$2:$A$722,"&lt;="&amp;77232519487)</f>
        <v>0</v>
      </c>
      <c r="I13" s="62" t="n">
        <f aca="false">COUNTIFS(Данные!$B$2:$B$722,10,Данные!$C$2:$C$722,2,Данные!$A$2:$A$722,"&gt;="&amp;77232524160,Данные!$A$2:$A$722,"&lt;="&amp;77232529999)</f>
        <v>0</v>
      </c>
      <c r="J13" s="62" t="n">
        <f aca="false">COUNTIFS(Данные!$B$2:$B$722,10,Данные!$C$2:$C$722,2,Данные!$A$2:$A$722,"&gt;="&amp;77232544000,Данные!$A$2:$A$722,"&lt;="&amp;77232544999)</f>
        <v>0</v>
      </c>
      <c r="K13" s="62" t="n">
        <f aca="false">COUNTIFS(Данные!$B$2:$B$722,10,Данные!$C$2:$C$722,2,Данные!$A$2:$A$722,"&gt;="&amp;77232295504,Данные!$A$2:$A$722,"&lt;="&amp;77232296999)</f>
        <v>0</v>
      </c>
      <c r="L13" s="62" t="n">
        <f aca="false">COUNTIFS(Данные!$B$2:$B$722,10,Данные!$C$2:$C$722,2,Данные!$A$2:$A$722,"&gt;="&amp;77232785000,Данные!$A$2:$A$722,"&lt;="&amp;77232789999)</f>
        <v>0</v>
      </c>
      <c r="M13" s="62" t="n">
        <f aca="false">COUNTIFS(Данные!$B$2:$B$722,10,Данные!$C$2:$C$722,2,Данные!$A$2:$A$722,"&gt;="&amp;77233150000,Данные!$A$2:$A$722,"&lt;="&amp;77233155999)</f>
        <v>0</v>
      </c>
      <c r="N13" s="62" t="n">
        <f aca="false">COUNTIFS(Данные!$B$2:$B$722,10,Данные!$C$2:$C$722,2,Данные!$A$2:$A$722,"&gt;="&amp;77233235000,Данные!$A$2:$A$722,"&lt;="&amp;77233235999)</f>
        <v>0</v>
      </c>
      <c r="O13" s="62" t="n">
        <f aca="false">COUNTIFS(Данные!$B$2:$B$722,10,Данные!$C$2:$C$722,2,Данные!$A$2:$A$722,"&gt;="&amp;77233239000,Данные!$A$2:$A$722,"&lt;="&amp;77233239999)</f>
        <v>0</v>
      </c>
      <c r="P13" s="62" t="n">
        <f aca="false">COUNTIFS(Данные!$B$2:$B$722,10,Данные!$C$2:$C$722,2,Данные!$A$2:$A$722,"&gt;="&amp;77233272000,Данные!$A$2:$A$722,"&lt;="&amp;77233272999)</f>
        <v>0</v>
      </c>
      <c r="Q13" s="62" t="n">
        <f aca="false">COUNTIFS(Данные!$B$2:$B$722,10,Данные!$C$2:$C$722,2,Данные!$A$2:$A$722,"&gt;="&amp;77233291100,Данные!$A$2:$A$722,"&lt;="&amp;77233292999)</f>
        <v>0</v>
      </c>
      <c r="R13" s="62" t="n">
        <f aca="false">COUNTIFS(Данные!$B$2:$B$722,10,Данные!$C$2:$C$722,2,Данные!$A$2:$A$722,"&gt;="&amp;77233297000,Данные!$A$2:$A$722,"&lt;="&amp;77233298399)</f>
        <v>0</v>
      </c>
      <c r="S13" s="62" t="n">
        <f aca="false">COUNTIFS(Данные!$B$2:$B$722,10,Данные!$C$2:$C$722,2,Данные!$A$2:$A$722,"&gt;="&amp;77235124000,Данные!$A$2:$A$722,"&lt;="&amp;77235128499)</f>
        <v>0</v>
      </c>
      <c r="T13" s="62" t="n">
        <f aca="false">COUNTIFS(Данные!$B$2:$B$722,10,Данные!$C$2:$C$722,2,Данные!$A$2:$A$722,"&gt;="&amp;77235320000,Данные!$A$2:$A$722,"&lt;="&amp;77235320999)</f>
        <v>2</v>
      </c>
      <c r="U13" s="62" t="n">
        <f aca="false">COUNTIFS(Данные!$B$2:$B$722,10,Данные!$C$2:$C$722,2,Данные!$A$2:$A$722,"&gt;="&amp;77233620000,Данные!$A$2:$A$722,"&lt;="&amp;77233623339)</f>
        <v>0</v>
      </c>
      <c r="V13" s="62" t="n">
        <f aca="false">COUNTIFS(Данные!$B$2:$B$722,10,Данные!$C$2:$C$722,2,Данные!$A$2:$A$722,"&gt;="&amp;77233630000,Данные!$A$2:$A$722,"&lt;="&amp;77233630999)</f>
        <v>0</v>
      </c>
      <c r="W13" s="62" t="n">
        <f aca="false">COUNTIFS(Данные!$B$2:$B$722,10,Данные!$C$2:$C$722,2,Данные!$A$2:$A$722,"&gt;="&amp;77233637000,Данные!$A$2:$A$722,"&lt;="&amp;77233637599)</f>
        <v>0</v>
      </c>
      <c r="X13" s="62" t="n">
        <f aca="false">COUNTIFS(Данные!$B$2:$B$722,10,Данные!$C$2:$C$722,2,Данные!$A$2:$A$722,"&gt;="&amp;77233550000,Данные!$A$2:$A$722,"&lt;="&amp;77233550999)</f>
        <v>0</v>
      </c>
      <c r="Y13" s="62" t="n">
        <f aca="false">COUNTIFS(Данные!$B$2:$B$722,10,Данные!$C$2:$C$722,2,Данные!$A$2:$A$722,"&gt;="&amp;77233554000,Данные!$A$2:$A$722,"&lt;="&amp;77233554999)</f>
        <v>0</v>
      </c>
      <c r="Z13" s="62" t="n">
        <f aca="false">COUNTIFS(Данные!$B$2:$B$722,10,Данные!$C$2:$C$722,2,Данные!$A$2:$A$722,"&gt;="&amp;77233555000,Данные!$A$2:$A$722,"&lt;="&amp;77233556999)</f>
        <v>0</v>
      </c>
      <c r="AA13" s="62" t="n">
        <f aca="false">COUNTIFS(Данные!$B$2:$B$722,10,Данные!$C$2:$C$722,2,Данные!$A$2:$A$722,"&gt;="&amp;77233726000,Данные!$A$2:$A$722,"&lt;="&amp;77233726999)</f>
        <v>0</v>
      </c>
      <c r="AB13" s="62" t="n">
        <f aca="false">COUNTIFS(Данные!$B$2:$B$722,10,Данные!$C$2:$C$722,2,Данные!$A$2:$A$722,"&gt;="&amp;77233820000,Данные!$A$2:$A$722,"&lt;="&amp;77233820999)</f>
        <v>0</v>
      </c>
      <c r="AC13" s="62" t="n">
        <f aca="false">COUNTIFS(Данные!$B$2:$B$722,10,Данные!$C$2:$C$722,2,Данные!$A$2:$A$722,"&gt;="&amp;77233850000,Данные!$A$2:$A$722,"&lt;="&amp;77233850999)</f>
        <v>0</v>
      </c>
      <c r="AD13" s="62" t="n">
        <f aca="false">COUNTIFS(Данные!$B$2:$B$722,10,Данные!$C$2:$C$722,2,Данные!$A$2:$A$722,"&gt;="&amp;77233420000,Данные!$A$2:$A$722,"&lt;="&amp;77233420999)</f>
        <v>0</v>
      </c>
      <c r="AE13" s="62" t="n">
        <f aca="false">COUNTIFS(Данные!$B$2:$B$722,10,Данные!$C$2:$C$722,2,Данные!$A$2:$A$722,"&gt;="&amp;77234740000,Данные!$A$2:$A$722,"&lt;="&amp;77234742999)</f>
        <v>0</v>
      </c>
      <c r="AF13" s="62" t="n">
        <f aca="false">COUNTIFS(Данные!$B$2:$B$722,10,Данные!$C$2:$C$722,2,Данные!$A$2:$A$722,"&gt;="&amp;77234767000,Данные!$A$2:$A$722,"&lt;="&amp;77234767999)</f>
        <v>0</v>
      </c>
      <c r="AG13" s="62" t="n">
        <f aca="false">COUNTIFS(Данные!$B$2:$B$722,10,Данные!$C$2:$C$722,2,Данные!$A$2:$A$722,"&gt;="&amp;77234120000,Данные!$A$2:$A$722,"&lt;="&amp;77234120999)</f>
        <v>0</v>
      </c>
      <c r="AH13" s="62" t="n">
        <f aca="false">COUNTIFS(Данные!$B$2:$B$722,10,Данные!$C$2:$C$722,2,Данные!$A$2:$A$722,"&gt;="&amp;77234127000,Данные!$A$2:$A$722,"&lt;="&amp;77234127999)</f>
        <v>0</v>
      </c>
      <c r="AI13" s="62" t="n">
        <f aca="false">COUNTIFS(Данные!$B$2:$B$722,10,Данные!$C$2:$C$722,2,Данные!$A$2:$A$722,"&gt;="&amp;77234220000,Данные!$A$2:$A$722,"&lt;="&amp;77234220999)</f>
        <v>0</v>
      </c>
      <c r="AJ13" s="62" t="n">
        <f aca="false">COUNTIFS(Данные!$B$2:$B$722,10,Данные!$C$2:$C$722,2,Данные!$A$2:$A$722,"&gt;="&amp;77234250000,Данные!$A$2:$A$722,"&lt;="&amp;77234250999)</f>
        <v>0</v>
      </c>
      <c r="AK13" s="62" t="n">
        <f aca="false">COUNTIFS(Данные!$B$2:$B$722,10,Данные!$C$2:$C$722,2,Данные!$A$2:$A$722,"&gt;="&amp;77233922950,Данные!$A$2:$A$722,"&lt;="&amp;77233924999)</f>
        <v>0</v>
      </c>
      <c r="AL13" s="62" t="n">
        <f aca="false">COUNTIFS(Данные!$B$2:$B$722,10,Данные!$C$2:$C$722,2,Данные!$A$2:$A$722,"&gt;="&amp;77234320000,Данные!$A$2:$A$722,"&lt;="&amp;77234320999)</f>
        <v>0</v>
      </c>
      <c r="AM13" s="62" t="n">
        <f aca="false">COUNTIFS(Данные!$B$2:$B$722,10,Данные!$C$2:$C$722,2,Данные!$A$2:$A$722,"&gt;="&amp;77234350000,Данные!$A$2:$A$722,"&lt;="&amp;77234350999)</f>
        <v>0</v>
      </c>
      <c r="AN13" s="62" t="n">
        <f aca="false">COUNTIFS(Данные!$B$2:$B$722,10,Данные!$C$2:$C$722,2,Данные!$A$2:$A$722,"&gt;="&amp;77234020000,Данные!$A$2:$A$722,"&lt;="&amp;77234020999)</f>
        <v>0</v>
      </c>
      <c r="AO13" s="62" t="n">
        <f aca="false">COUNTIFS(Данные!$B$2:$B$722,10,Данные!$C$2:$C$722,2,Данные!$A$2:$A$722,"&gt;="&amp;77234029000,Данные!$A$2:$A$722,"&lt;="&amp;77234029999)</f>
        <v>0</v>
      </c>
      <c r="AP13" s="62" t="n">
        <f aca="false">COUNTIFS(Данные!$B$2:$B$722,10,Данные!$C$2:$C$722,2,Данные!$A$2:$A$722,"&gt;="&amp;77234050000,Данные!$A$2:$A$722,"&lt;="&amp;77234050999)</f>
        <v>0</v>
      </c>
      <c r="AQ13" s="62" t="n">
        <f aca="false">COUNTIFS(Данные!$B$2:$B$722,10,Данные!$C$2:$C$722,2,Данные!$A$2:$A$722,"&gt;="&amp;77234427000,Данные!$A$2:$A$722,"&lt;="&amp;77234428999)</f>
        <v>0</v>
      </c>
      <c r="AR13" s="62" t="n">
        <f aca="false">COUNTIFS(Данные!$B$2:$B$722,10,Данные!$C$2:$C$722,2,Данные!$A$2:$A$722,"&gt;="&amp;77234450000,Данные!$A$2:$A$722,"&lt;="&amp;77234450999)</f>
        <v>0</v>
      </c>
      <c r="AS13" s="62" t="n">
        <f aca="false">COUNTIFS(Данные!$B$2:$B$722,10,Данные!$C$2:$C$722,2,Данные!$A$2:$A$722,"&gt;="&amp;77234620000,Данные!$A$2:$A$722,"&lt;="&amp;77234620999)</f>
        <v>0</v>
      </c>
      <c r="AT13" s="62" t="n">
        <f aca="false">COUNTIFS(Данные!$B$2:$B$722,10,Данные!$C$2:$C$722,2,Данные!$A$2:$A$722,"&gt;="&amp;77234650000,Данные!$A$2:$A$722,"&lt;="&amp;77234650999)</f>
        <v>0</v>
      </c>
      <c r="AU13" s="62" t="n">
        <f aca="false">COUNTIFS(Данные!$B$2:$B$722,10,Данные!$C$2:$C$722,2,Данные!$A$2:$A$722,"&gt;="&amp;77234820000,Данные!$A$2:$A$722,"&lt;="&amp;77234820999)</f>
        <v>0</v>
      </c>
      <c r="AV13" s="62" t="n">
        <f aca="false">COUNTIFS(Данные!$B$2:$B$722,10,Данные!$C$2:$C$722,2,Данные!$A$2:$A$722,"&gt;="&amp;77234850000,Данные!$A$2:$A$722,"&lt;="&amp;77234850999)</f>
        <v>0</v>
      </c>
      <c r="AW13" s="62" t="n">
        <f aca="false">COUNTIFS(Данные!$B$2:$B$722,10,Данные!$C$2:$C$722,2,Данные!$A$2:$A$722,"&gt;="&amp;77233327000,Данные!$A$2:$A$722,"&lt;="&amp;77233327999)</f>
        <v>0</v>
      </c>
      <c r="AX13" s="62" t="n">
        <f aca="false">COUNTIFS(Данные!$B$2:$B$722,10,Данные!$C$2:$C$722,2,Данные!$A$2:$A$722,"&gt;="&amp;77233350000,Данные!$A$2:$A$722,"&lt;="&amp;77233350599)</f>
        <v>0</v>
      </c>
      <c r="AY13" s="62" t="n">
        <f aca="false">COUNTIFS(Данные!$B$2:$B$722,10,Данные!$C$2:$C$722,2,Данные!$A$2:$A$722,"&gt;="&amp;77233351000,Данные!$A$2:$A$722,"&lt;="&amp;77233351999)</f>
        <v>0</v>
      </c>
      <c r="AZ13" s="63" t="n">
        <f aca="false">COUNTIFS(Данные!$B$2:$B$722,10,Данные!$C$2:$C$722,2,Данные!$A$2:$A$722,"&gt;="&amp;7722440000,Данные!$A$2:$A$722,"&lt;="&amp;7722440999)</f>
        <v>0</v>
      </c>
      <c r="BA13" s="63" t="n">
        <f aca="false">COUNTIFS(Данные!$B$2:$B$722,10,Данные!$C$2:$C$722,2,Данные!$A$2:$A$722,"&gt;="&amp;7722442000,Данные!$A$2:$A$722,"&lt;="&amp;7722445659)</f>
        <v>0</v>
      </c>
      <c r="BB13" s="63" t="n">
        <f aca="false">COUNTIFS(Данные!$B$2:$B$722,10,Данные!$C$2:$C$722,2,Данные!$A$2:$A$722,"&gt;="&amp;7722450000,Данные!$A$2:$A$722,"&lt;="&amp;7722450199)</f>
        <v>0</v>
      </c>
      <c r="BC13" s="63" t="n">
        <f aca="false">COUNTIFS(Данные!$B$2:$B$722,10,Данные!$C$2:$C$722,2,Данные!$A$2:$A$722,"&gt;="&amp;7722451000,Данные!$A$2:$A$722,"&lt;="&amp;7722451374)</f>
        <v>0</v>
      </c>
      <c r="BD13" s="63" t="n">
        <f aca="false">COUNTIFS(Данные!$B$2:$B$722,10,Данные!$C$2:$C$722,2,Данные!$A$2:$A$722,"&gt;="&amp;7722452000,Данные!$A$2:$A$722,"&lt;="&amp;7722452299)</f>
        <v>0</v>
      </c>
      <c r="BE13" s="63" t="n">
        <f aca="false">COUNTIFS(Данные!$B$2:$B$722,10,Данные!$C$2:$C$722,2,Данные!$A$2:$A$722,"&gt;="&amp;7722453000,Данные!$A$2:$A$722,"&lt;="&amp;7722453816)</f>
        <v>0</v>
      </c>
      <c r="BF13" s="63" t="n">
        <f aca="false">COUNTIFS(Данные!$B$2:$B$722,10,Данные!$C$2:$C$722,2,Данные!$A$2:$A$722,"&gt;="&amp;7722454000,Данные!$A$2:$A$722,"&lt;="&amp;7722454099)</f>
        <v>0</v>
      </c>
      <c r="BG13" s="63" t="n">
        <f aca="false">COUNTIFS(Данные!$B$2:$B$722,10,Данные!$C$2:$C$722,2,Данные!$A$2:$A$722,"&gt;="&amp;7722458000,Данные!$A$2:$A$722,"&lt;="&amp;7722458999)</f>
        <v>0</v>
      </c>
      <c r="BH13" s="63" t="n">
        <f aca="false">COUNTIFS(Данные!$B$2:$B$722,10,Данные!$C$2:$C$722,2,Данные!$A$2:$A$722,"&gt;="&amp;7722630000,Данные!$A$2:$A$722,"&lt;="&amp;7722638549)</f>
        <v>0</v>
      </c>
      <c r="BI13" s="63" t="n">
        <f aca="false">COUNTIFS(Данные!$B$2:$B$722,10,Данные!$C$2:$C$722,2,Данные!$A$2:$A$722,"&gt;="&amp;7722639400,Данные!$A$2:$A$722,"&lt;="&amp;7722639899)</f>
        <v>0</v>
      </c>
      <c r="BJ13" s="63" t="n">
        <f aca="false">COUNTIFS(Данные!$B$2:$B$722,10,Данные!$C$2:$C$722,2,Данные!$A$2:$A$722,"&gt;="&amp;7725750000,Данные!$A$2:$A$722,"&lt;="&amp;7725750399)</f>
        <v>0</v>
      </c>
      <c r="BK13" s="63" t="n">
        <f aca="false">COUNTIFS(Данные!$B$2:$B$722,10,Данные!$C$2:$C$722,2,Данные!$A$2:$A$722,"&gt;="&amp;7723620000,Данные!$A$2:$A$722,"&lt;="&amp;7723621299)</f>
        <v>0</v>
      </c>
      <c r="BL13" s="63" t="n">
        <f aca="false">COUNTIFS(Данные!$B$2:$B$722,10,Данные!$C$2:$C$722,2,Данные!$A$2:$A$722,"&gt;="&amp;7723621600,Данные!$A$2:$A$722,"&lt;="&amp;7723623399)</f>
        <v>0</v>
      </c>
      <c r="BM13" s="63" t="n">
        <f aca="false">COUNTIFS(Данные!$B$2:$B$722,10,Данные!$C$2:$C$722,2,Данные!$A$2:$A$722,"&gt;="&amp;7725127000,Данные!$A$2:$A$722,"&lt;="&amp;7725127999)</f>
        <v>0</v>
      </c>
      <c r="BN13" s="63" t="n">
        <f aca="false">COUNTIFS(Данные!$B$2:$B$722,10,Данные!$C$2:$C$722,2,Данные!$A$2:$A$722,"&gt;="&amp;7723772000,Данные!$A$2:$A$722,"&lt;="&amp;7723724999)</f>
        <v>0</v>
      </c>
      <c r="BO13" s="62" t="n">
        <f aca="false">COUNTIFS(Данные!$B$2:$B$722,10,Данные!$C$2:$C$722,2,Данные!$A$2:$A$722,"&gt;="&amp;7723765000,Данные!$A$2:$A$722,"&lt;="&amp;7723765499)</f>
        <v>0</v>
      </c>
      <c r="BP13" s="63" t="n">
        <f aca="false">COUNTIFS(Данные!$B$2:$B$722,10,Данные!$C$2:$C$722,2,Данные!$A$2:$A$722,"&gt;="&amp;7723948000,Данные!$A$2:$A$722,"&lt;="&amp;7723948999)</f>
        <v>0</v>
      </c>
      <c r="BQ13" s="63" t="n">
        <f aca="false">COUNTIFS(Данные!$B$2:$B$722,10,Данные!$C$2:$C$722,2,Данные!$A$2:$A$722,"&gt;="&amp;7723950000,Данные!$A$2:$A$722,"&lt;="&amp;7723951099)</f>
        <v>0</v>
      </c>
      <c r="BR13" s="63" t="n">
        <f aca="false">COUNTIFS(Данные!$B$2:$B$722,10,Данные!$C$2:$C$722,2,Данные!$A$2:$A$722,"&gt;="&amp;7723020000,Данные!$A$2:$A$722,"&lt;="&amp;7723020999)</f>
        <v>0</v>
      </c>
      <c r="BS13" s="63" t="n">
        <f aca="false">COUNTIFS(Данные!$B$2:$B$722,10,Данные!$C$2:$C$722,2,Данные!$A$2:$A$722,"&gt;="&amp;7723029000,Данные!$A$2:$A$722,"&lt;="&amp;7723029999)</f>
        <v>0</v>
      </c>
      <c r="BT13" s="63" t="n">
        <f aca="false">COUNTIFS(Данные!$B$2:$B$722,10,Данные!$C$2:$C$722,2,Данные!$A$2:$A$722,"&gt;="&amp;7723055000,Данные!$A$2:$A$722,"&lt;="&amp;7723056549)</f>
        <v>0</v>
      </c>
      <c r="BU13" s="62" t="n">
        <f aca="false">COUNTIFS(Данные!$B$2:$B$722,10,Данные!$C$2:$C$722,2,Данные!$A$2:$A$722,"&gt;="&amp;7725250000,Данные!$A$2:$A$722,"&lt;="&amp;7725250499)</f>
        <v>0</v>
      </c>
      <c r="BV13" s="63" t="n">
        <f aca="false">COUNTIFS(Данные!$B$2:$B$722,10,Данные!$C$2:$C$722,2,Данные!$A$2:$A$722,"&gt;="&amp;7183841400,Данные!$A$2:$A$722,"&lt;="&amp;7183841499)</f>
        <v>0</v>
      </c>
      <c r="BW13" s="40" t="n">
        <v>300</v>
      </c>
      <c r="BX13" s="64" t="n">
        <f aca="false">F13-BW13</f>
        <v>-298</v>
      </c>
    </row>
    <row r="14" s="15" customFormat="true" ht="12" hidden="false" customHeight="true" outlineLevel="0" collapsed="false">
      <c r="A14" s="47" t="n">
        <v>11</v>
      </c>
      <c r="B14" s="48" t="s">
        <v>64</v>
      </c>
      <c r="C14" s="50" t="n">
        <v>0</v>
      </c>
      <c r="D14" s="50" t="n">
        <v>110</v>
      </c>
      <c r="E14" s="51" t="n">
        <f aca="false">SUM(F14:F16)</f>
        <v>0</v>
      </c>
      <c r="F14" s="65" t="n">
        <f aca="false">COUNTIFS(Данные!$B$2:$B$722,11,Данные!$C$2:$C$722,0)</f>
        <v>0</v>
      </c>
      <c r="G14" s="65" t="n">
        <f aca="false">COUNTIFS(Данные!$B$2:$B$722,11,Данные!$C$2:$C$722,0,Данные!$A$2:$A$722,"&gt;="&amp;77232210840,Данные!$A$2:$A$722,"&lt;="&amp;77232216999)</f>
        <v>0</v>
      </c>
      <c r="H14" s="65" t="n">
        <f aca="false">COUNTIFS(Данные!$B$2:$B$722,11,Данные!$C$2:$C$722,0,Данные!$A$2:$A$722,"&gt;="&amp;77232510512,Данные!$A$2:$A$722,"&lt;="&amp;77232519487)</f>
        <v>0</v>
      </c>
      <c r="I14" s="65" t="n">
        <f aca="false">COUNTIFS(Данные!$B$2:$B$722,11,Данные!$C$2:$C$722,0,Данные!$A$2:$A$722,"&gt;="&amp;77232524160,Данные!$A$2:$A$722,"&lt;="&amp;77232529999)</f>
        <v>0</v>
      </c>
      <c r="J14" s="65" t="n">
        <f aca="false">COUNTIFS(Данные!$B$2:$B$722,11,Данные!$C$2:$C$722,0,Данные!$A$2:$A$722,"&gt;="&amp;77232544000,Данные!$A$2:$A$722,"&lt;="&amp;77232544999)</f>
        <v>0</v>
      </c>
      <c r="K14" s="65" t="n">
        <f aca="false">COUNTIFS(Данные!$B$2:$B$722,11,Данные!$C$2:$C$722,0,Данные!$A$2:$A$722,"&gt;="&amp;77232295504,Данные!$A$2:$A$722,"&lt;="&amp;77232296999)</f>
        <v>0</v>
      </c>
      <c r="L14" s="65" t="n">
        <f aca="false">COUNTIFS(Данные!$B$2:$B$722,11,Данные!$C$2:$C$722,0,Данные!$A$2:$A$722,"&gt;="&amp;77232785000,Данные!$A$2:$A$722,"&lt;="&amp;77232789999)</f>
        <v>0</v>
      </c>
      <c r="M14" s="65" t="n">
        <f aca="false">COUNTIFS(Данные!$B$2:$B$722,11,Данные!$C$2:$C$722,0,Данные!$A$2:$A$722,"&gt;="&amp;77233150000,Данные!$A$2:$A$722,"&lt;="&amp;77233155999)</f>
        <v>0</v>
      </c>
      <c r="N14" s="65" t="n">
        <f aca="false">COUNTIFS(Данные!$B$2:$B$722,11,Данные!$C$2:$C$722,0,Данные!$A$2:$A$722,"&gt;="&amp;77233235000,Данные!$A$2:$A$722,"&lt;="&amp;77233235999)</f>
        <v>0</v>
      </c>
      <c r="O14" s="65" t="n">
        <f aca="false">COUNTIFS(Данные!$B$2:$B$722,11,Данные!$C$2:$C$722,0,Данные!$A$2:$A$722,"&gt;="&amp;77233239000,Данные!$A$2:$A$722,"&lt;="&amp;77233239999)</f>
        <v>0</v>
      </c>
      <c r="P14" s="65" t="n">
        <f aca="false">COUNTIFS(Данные!$B$2:$B$722,11,Данные!$C$2:$C$722,0,Данные!$A$2:$A$722,"&gt;="&amp;77233272000,Данные!$A$2:$A$722,"&lt;="&amp;77233272999)</f>
        <v>0</v>
      </c>
      <c r="Q14" s="65" t="n">
        <f aca="false">COUNTIFS(Данные!$B$2:$B$722,11,Данные!$C$2:$C$722,0,Данные!$A$2:$A$722,"&gt;="&amp;77233291100,Данные!$A$2:$A$722,"&lt;="&amp;77233292999)</f>
        <v>0</v>
      </c>
      <c r="R14" s="65" t="n">
        <f aca="false">COUNTIFS(Данные!$B$2:$B$722,11,Данные!$C$2:$C$722,0,Данные!$A$2:$A$722,"&gt;="&amp;77233297000,Данные!$A$2:$A$722,"&lt;="&amp;77233298399)</f>
        <v>0</v>
      </c>
      <c r="S14" s="65" t="n">
        <f aca="false">COUNTIFS(Данные!$B$2:$B$722,11,Данные!$C$2:$C$722,0,Данные!$A$2:$A$722,"&gt;="&amp;77235124000,Данные!$A$2:$A$722,"&lt;="&amp;77235128499)</f>
        <v>0</v>
      </c>
      <c r="T14" s="65" t="n">
        <f aca="false">COUNTIFS(Данные!$B$2:$B$722,11,Данные!$C$2:$C$722,0,Данные!$A$2:$A$722,"&gt;="&amp;77235320000,Данные!$A$2:$A$722,"&lt;="&amp;77235320999)</f>
        <v>0</v>
      </c>
      <c r="U14" s="65" t="n">
        <f aca="false">COUNTIFS(Данные!$B$2:$B$722,11,Данные!$C$2:$C$722,0,Данные!$A$2:$A$722,"&gt;="&amp;77233620000,Данные!$A$2:$A$722,"&lt;="&amp;77233623339)</f>
        <v>0</v>
      </c>
      <c r="V14" s="65" t="n">
        <f aca="false">COUNTIFS(Данные!$B$2:$B$722,11,Данные!$C$2:$C$722,0,Данные!$A$2:$A$722,"&gt;="&amp;77233630000,Данные!$A$2:$A$722,"&lt;="&amp;77233630999)</f>
        <v>0</v>
      </c>
      <c r="W14" s="65" t="n">
        <f aca="false">COUNTIFS(Данные!$B$2:$B$722,11,Данные!$C$2:$C$722,0,Данные!$A$2:$A$722,"&gt;="&amp;77233637000,Данные!$A$2:$A$722,"&lt;="&amp;77233637599)</f>
        <v>0</v>
      </c>
      <c r="X14" s="65" t="n">
        <f aca="false">COUNTIFS(Данные!$B$2:$B$722,11,Данные!$C$2:$C$722,0,Данные!$A$2:$A$722,"&gt;="&amp;77233550000,Данные!$A$2:$A$722,"&lt;="&amp;77233550999)</f>
        <v>0</v>
      </c>
      <c r="Y14" s="65" t="n">
        <f aca="false">COUNTIFS(Данные!$B$2:$B$722,11,Данные!$C$2:$C$722,0,Данные!$A$2:$A$722,"&gt;="&amp;77233554000,Данные!$A$2:$A$722,"&lt;="&amp;77233554999)</f>
        <v>0</v>
      </c>
      <c r="Z14" s="65" t="n">
        <f aca="false">COUNTIFS(Данные!$B$2:$B$722,11,Данные!$C$2:$C$722,0,Данные!$A$2:$A$722,"&gt;="&amp;77233555000,Данные!$A$2:$A$722,"&lt;="&amp;77233556999)</f>
        <v>0</v>
      </c>
      <c r="AA14" s="65" t="n">
        <f aca="false">COUNTIFS(Данные!$B$2:$B$722,11,Данные!$C$2:$C$722,0,Данные!$A$2:$A$722,"&gt;="&amp;77233726000,Данные!$A$2:$A$722,"&lt;="&amp;77233726999)</f>
        <v>0</v>
      </c>
      <c r="AB14" s="65" t="n">
        <f aca="false">COUNTIFS(Данные!$B$2:$B$722,11,Данные!$C$2:$C$722,0,Данные!$A$2:$A$722,"&gt;="&amp;77233820000,Данные!$A$2:$A$722,"&lt;="&amp;77233820999)</f>
        <v>0</v>
      </c>
      <c r="AC14" s="65" t="n">
        <f aca="false">COUNTIFS(Данные!$B$2:$B$722,11,Данные!$C$2:$C$722,0,Данные!$A$2:$A$722,"&gt;="&amp;77233850000,Данные!$A$2:$A$722,"&lt;="&amp;77233850999)</f>
        <v>0</v>
      </c>
      <c r="AD14" s="65" t="n">
        <f aca="false">COUNTIFS(Данные!$B$2:$B$722,11,Данные!$C$2:$C$722,0,Данные!$A$2:$A$722,"&gt;="&amp;77233420000,Данные!$A$2:$A$722,"&lt;="&amp;77233420999)</f>
        <v>0</v>
      </c>
      <c r="AE14" s="65" t="n">
        <f aca="false">COUNTIFS(Данные!$B$2:$B$722,11,Данные!$C$2:$C$722,0,Данные!$A$2:$A$722,"&gt;="&amp;77234740000,Данные!$A$2:$A$722,"&lt;="&amp;77234742999)</f>
        <v>0</v>
      </c>
      <c r="AF14" s="65" t="n">
        <f aca="false">COUNTIFS(Данные!$B$2:$B$722,11,Данные!$C$2:$C$722,0,Данные!$A$2:$A$722,"&gt;="&amp;77234767000,Данные!$A$2:$A$722,"&lt;="&amp;77234767999)</f>
        <v>0</v>
      </c>
      <c r="AG14" s="65" t="n">
        <f aca="false">COUNTIFS(Данные!$B$2:$B$722,11,Данные!$C$2:$C$722,0,Данные!$A$2:$A$722,"&gt;="&amp;77234120000,Данные!$A$2:$A$722,"&lt;="&amp;77234120999)</f>
        <v>0</v>
      </c>
      <c r="AH14" s="65" t="n">
        <f aca="false">COUNTIFS(Данные!$B$2:$B$722,11,Данные!$C$2:$C$722,0,Данные!$A$2:$A$722,"&gt;="&amp;77234127000,Данные!$A$2:$A$722,"&lt;="&amp;77234127999)</f>
        <v>0</v>
      </c>
      <c r="AI14" s="65" t="n">
        <f aca="false">COUNTIFS(Данные!$B$2:$B$722,11,Данные!$C$2:$C$722,0,Данные!$A$2:$A$722,"&gt;="&amp;77234220000,Данные!$A$2:$A$722,"&lt;="&amp;77234220999)</f>
        <v>0</v>
      </c>
      <c r="AJ14" s="65" t="n">
        <f aca="false">COUNTIFS(Данные!$B$2:$B$722,11,Данные!$C$2:$C$722,0,Данные!$A$2:$A$722,"&gt;="&amp;77234250000,Данные!$A$2:$A$722,"&lt;="&amp;77234250999)</f>
        <v>0</v>
      </c>
      <c r="AK14" s="65" t="n">
        <f aca="false">COUNTIFS(Данные!$B$2:$B$722,11,Данные!$C$2:$C$722,0,Данные!$A$2:$A$722,"&gt;="&amp;77233922950,Данные!$A$2:$A$722,"&lt;="&amp;77233924999)</f>
        <v>0</v>
      </c>
      <c r="AL14" s="65" t="n">
        <f aca="false">COUNTIFS(Данные!$B$2:$B$722,11,Данные!$C$2:$C$722,0,Данные!$A$2:$A$722,"&gt;="&amp;77234320000,Данные!$A$2:$A$722,"&lt;="&amp;77234320999)</f>
        <v>0</v>
      </c>
      <c r="AM14" s="65" t="n">
        <f aca="false">COUNTIFS(Данные!$B$2:$B$722,11,Данные!$C$2:$C$722,0,Данные!$A$2:$A$722,"&gt;="&amp;77234350000,Данные!$A$2:$A$722,"&lt;="&amp;77234350999)</f>
        <v>0</v>
      </c>
      <c r="AN14" s="65" t="n">
        <f aca="false">COUNTIFS(Данные!$B$2:$B$722,11,Данные!$C$2:$C$722,0,Данные!$A$2:$A$722,"&gt;="&amp;77234020000,Данные!$A$2:$A$722,"&lt;="&amp;77234020999)</f>
        <v>0</v>
      </c>
      <c r="AO14" s="65" t="n">
        <f aca="false">COUNTIFS(Данные!$B$2:$B$722,11,Данные!$C$2:$C$722,0,Данные!$A$2:$A$722,"&gt;="&amp;77234029000,Данные!$A$2:$A$722,"&lt;="&amp;77234029999)</f>
        <v>0</v>
      </c>
      <c r="AP14" s="65" t="n">
        <f aca="false">COUNTIFS(Данные!$B$2:$B$722,11,Данные!$C$2:$C$722,0,Данные!$A$2:$A$722,"&gt;="&amp;77234050000,Данные!$A$2:$A$722,"&lt;="&amp;77234050999)</f>
        <v>0</v>
      </c>
      <c r="AQ14" s="65" t="n">
        <f aca="false">COUNTIFS(Данные!$B$2:$B$722,11,Данные!$C$2:$C$722,0,Данные!$A$2:$A$722,"&gt;="&amp;77234427000,Данные!$A$2:$A$722,"&lt;="&amp;77234428999)</f>
        <v>0</v>
      </c>
      <c r="AR14" s="65" t="n">
        <f aca="false">COUNTIFS(Данные!$B$2:$B$722,11,Данные!$C$2:$C$722,0,Данные!$A$2:$A$722,"&gt;="&amp;77234450000,Данные!$A$2:$A$722,"&lt;="&amp;77234450999)</f>
        <v>0</v>
      </c>
      <c r="AS14" s="65" t="n">
        <f aca="false">COUNTIFS(Данные!$B$2:$B$722,11,Данные!$C$2:$C$722,0,Данные!$A$2:$A$722,"&gt;="&amp;77234620000,Данные!$A$2:$A$722,"&lt;="&amp;77234620999)</f>
        <v>0</v>
      </c>
      <c r="AT14" s="65" t="n">
        <f aca="false">COUNTIFS(Данные!$B$2:$B$722,11,Данные!$C$2:$C$722,0,Данные!$A$2:$A$722,"&gt;="&amp;77234650000,Данные!$A$2:$A$722,"&lt;="&amp;77234650999)</f>
        <v>0</v>
      </c>
      <c r="AU14" s="65" t="n">
        <f aca="false">COUNTIFS(Данные!$B$2:$B$722,11,Данные!$C$2:$C$722,0,Данные!$A$2:$A$722,"&gt;="&amp;77234820000,Данные!$A$2:$A$722,"&lt;="&amp;77234820999)</f>
        <v>0</v>
      </c>
      <c r="AV14" s="65" t="n">
        <f aca="false">COUNTIFS(Данные!$B$2:$B$722,11,Данные!$C$2:$C$722,0,Данные!$A$2:$A$722,"&gt;="&amp;77234850000,Данные!$A$2:$A$722,"&lt;="&amp;77234850999)</f>
        <v>0</v>
      </c>
      <c r="AW14" s="65" t="n">
        <f aca="false">COUNTIFS(Данные!$B$2:$B$722,11,Данные!$C$2:$C$722,0,Данные!$A$2:$A$722,"&gt;="&amp;77233327000,Данные!$A$2:$A$722,"&lt;="&amp;77233327999)</f>
        <v>0</v>
      </c>
      <c r="AX14" s="65" t="n">
        <f aca="false">COUNTIFS(Данные!$B$2:$B$722,11,Данные!$C$2:$C$722,0,Данные!$A$2:$A$722,"&gt;="&amp;77233350000,Данные!$A$2:$A$722,"&lt;="&amp;77233350599)</f>
        <v>0</v>
      </c>
      <c r="AY14" s="65" t="n">
        <f aca="false">COUNTIFS(Данные!$B$2:$B$722,11,Данные!$C$2:$C$722,0,Данные!$A$2:$A$722,"&gt;="&amp;77233351000,Данные!$A$2:$A$722,"&lt;="&amp;77233351999)</f>
        <v>0</v>
      </c>
      <c r="AZ14" s="66" t="n">
        <f aca="false">COUNTIFS(Данные!$B$2:$B$722,11,Данные!$C$2:$C$722,0,Данные!$A$2:$A$722,"&gt;="&amp;7722440000,Данные!$A$2:$A$722,"&lt;="&amp;7722440999)</f>
        <v>0</v>
      </c>
      <c r="BA14" s="66" t="n">
        <f aca="false">COUNTIFS(Данные!$B$2:$B$722,11,Данные!$C$2:$C$722,0,Данные!$A$2:$A$722,"&gt;="&amp;7722442000,Данные!$A$2:$A$722,"&lt;="&amp;7722445659)</f>
        <v>0</v>
      </c>
      <c r="BB14" s="66" t="n">
        <f aca="false">COUNTIFS(Данные!$B$2:$B$722,11,Данные!$C$2:$C$722,0,Данные!$A$2:$A$722,"&gt;="&amp;7722450000,Данные!$A$2:$A$722,"&lt;="&amp;7722450199)</f>
        <v>0</v>
      </c>
      <c r="BC14" s="66" t="n">
        <f aca="false">COUNTIFS(Данные!$B$2:$B$722,11,Данные!$C$2:$C$722,0,Данные!$A$2:$A$722,"&gt;="&amp;7722451000,Данные!$A$2:$A$722,"&lt;="&amp;7722451374)</f>
        <v>0</v>
      </c>
      <c r="BD14" s="66" t="n">
        <f aca="false">COUNTIFS(Данные!$B$2:$B$722,11,Данные!$C$2:$C$722,0,Данные!$A$2:$A$722,"&gt;="&amp;7722452000,Данные!$A$2:$A$722,"&lt;="&amp;7722452299)</f>
        <v>0</v>
      </c>
      <c r="BE14" s="66" t="n">
        <f aca="false">COUNTIFS(Данные!$B$2:$B$722,11,Данные!$C$2:$C$722,0,Данные!$A$2:$A$722,"&gt;="&amp;7722453000,Данные!$A$2:$A$722,"&lt;="&amp;7722453816)</f>
        <v>0</v>
      </c>
      <c r="BF14" s="66" t="n">
        <f aca="false">COUNTIFS(Данные!$B$2:$B$722,11,Данные!$C$2:$C$722,0,Данные!$A$2:$A$722,"&gt;="&amp;7722454000,Данные!$A$2:$A$722,"&lt;="&amp;7722454099)</f>
        <v>0</v>
      </c>
      <c r="BG14" s="66" t="n">
        <f aca="false">COUNTIFS(Данные!$B$2:$B$722,11,Данные!$C$2:$C$722,0,Данные!$A$2:$A$722,"&gt;="&amp;7722458000,Данные!$A$2:$A$722,"&lt;="&amp;7722458999)</f>
        <v>0</v>
      </c>
      <c r="BH14" s="66" t="n">
        <f aca="false">COUNTIFS(Данные!$B$2:$B$722,11,Данные!$C$2:$C$722,0,Данные!$A$2:$A$722,"&gt;="&amp;7722630000,Данные!$A$2:$A$722,"&lt;="&amp;7722638549)</f>
        <v>0</v>
      </c>
      <c r="BI14" s="66" t="n">
        <f aca="false">COUNTIFS(Данные!$B$2:$B$722,11,Данные!$C$2:$C$722,0,Данные!$A$2:$A$722,"&gt;="&amp;7722639400,Данные!$A$2:$A$722,"&lt;="&amp;7722639899)</f>
        <v>0</v>
      </c>
      <c r="BJ14" s="66" t="n">
        <f aca="false">COUNTIFS(Данные!$B$2:$B$722,11,Данные!$C$2:$C$722,0,Данные!$A$2:$A$722,"&gt;="&amp;7725750000,Данные!$A$2:$A$722,"&lt;="&amp;7725750399)</f>
        <v>0</v>
      </c>
      <c r="BK14" s="66" t="n">
        <f aca="false">COUNTIFS(Данные!$B$2:$B$722,11,Данные!$C$2:$C$722,0,Данные!$A$2:$A$722,"&gt;="&amp;7723620000,Данные!$A$2:$A$722,"&lt;="&amp;7723621299)</f>
        <v>0</v>
      </c>
      <c r="BL14" s="66" t="n">
        <f aca="false">COUNTIFS(Данные!$B$2:$B$722,11,Данные!$C$2:$C$722,0,Данные!$A$2:$A$722,"&gt;="&amp;7723621600,Данные!$A$2:$A$722,"&lt;="&amp;7723623399)</f>
        <v>0</v>
      </c>
      <c r="BM14" s="66" t="n">
        <f aca="false">COUNTIFS(Данные!$B$2:$B$722,11,Данные!$C$2:$C$722,0,Данные!$A$2:$A$722,"&gt;="&amp;7725127000,Данные!$A$2:$A$722,"&lt;="&amp;7725127999)</f>
        <v>0</v>
      </c>
      <c r="BN14" s="66" t="n">
        <f aca="false">COUNTIFS(Данные!$B$2:$B$722,11,Данные!$C$2:$C$722,0,Данные!$A$2:$A$722,"&gt;="&amp;7723772000,Данные!$A$2:$A$722,"&lt;="&amp;7723724999)</f>
        <v>0</v>
      </c>
      <c r="BO14" s="65" t="n">
        <f aca="false">COUNTIFS(Данные!$B$2:$B$722,11,Данные!$C$2:$C$722,0,Данные!$A$2:$A$722,"&gt;="&amp;7723765000,Данные!$A$2:$A$722,"&lt;="&amp;7723765499)</f>
        <v>0</v>
      </c>
      <c r="BP14" s="66" t="n">
        <f aca="false">COUNTIFS(Данные!$B$2:$B$722,11,Данные!$C$2:$C$722,0,Данные!$A$2:$A$722,"&gt;="&amp;7723948000,Данные!$A$2:$A$722,"&lt;="&amp;7723948999)</f>
        <v>0</v>
      </c>
      <c r="BQ14" s="66" t="n">
        <f aca="false">COUNTIFS(Данные!$B$2:$B$722,11,Данные!$C$2:$C$722,0,Данные!$A$2:$A$722,"&gt;="&amp;7723950000,Данные!$A$2:$A$722,"&lt;="&amp;7723951099)</f>
        <v>0</v>
      </c>
      <c r="BR14" s="66" t="n">
        <f aca="false">COUNTIFS(Данные!$B$2:$B$722,11,Данные!$C$2:$C$722,0,Данные!$A$2:$A$722,"&gt;="&amp;7723020000,Данные!$A$2:$A$722,"&lt;="&amp;7723020999)</f>
        <v>0</v>
      </c>
      <c r="BS14" s="66" t="n">
        <f aca="false">COUNTIFS(Данные!$B$2:$B$722,11,Данные!$C$2:$C$722,0,Данные!$A$2:$A$722,"&gt;="&amp;7723029000,Данные!$A$2:$A$722,"&lt;="&amp;7723029999)</f>
        <v>0</v>
      </c>
      <c r="BT14" s="66" t="n">
        <f aca="false">COUNTIFS(Данные!$B$2:$B$722,11,Данные!$C$2:$C$722,0,Данные!$A$2:$A$722,"&gt;="&amp;7723055000,Данные!$A$2:$A$722,"&lt;="&amp;7723056549)</f>
        <v>0</v>
      </c>
      <c r="BU14" s="65" t="n">
        <f aca="false">COUNTIFS(Данные!$B$2:$B$722,11,Данные!$C$2:$C$722,0,Данные!$A$2:$A$722,"&gt;="&amp;7725250000,Данные!$A$2:$A$722,"&lt;="&amp;7725250499)</f>
        <v>0</v>
      </c>
      <c r="BV14" s="66" t="n">
        <f aca="false">COUNTIFS(Данные!$B$2:$B$722,11,Данные!$C$2:$C$722,0,Данные!$A$2:$A$722,"&gt;="&amp;7183841400,Данные!$A$2:$A$722,"&lt;="&amp;7183841499)</f>
        <v>0</v>
      </c>
      <c r="BW14" s="49" t="n">
        <v>300</v>
      </c>
      <c r="BX14" s="67" t="n">
        <f aca="false">F14-BW14</f>
        <v>-300</v>
      </c>
    </row>
    <row r="15" s="15" customFormat="true" ht="12" hidden="false" customHeight="true" outlineLevel="0" collapsed="false">
      <c r="A15" s="47"/>
      <c r="B15" s="48"/>
      <c r="C15" s="50" t="n">
        <v>1</v>
      </c>
      <c r="D15" s="50" t="n">
        <v>111</v>
      </c>
      <c r="E15" s="51"/>
      <c r="F15" s="65" t="n">
        <f aca="false">COUNTIFS(Данные!$B$2:$B$722,11,Данные!$C$2:$C$722,1)</f>
        <v>0</v>
      </c>
      <c r="G15" s="65" t="n">
        <f aca="false">COUNTIFS(Данные!$B$2:$B$722,11,Данные!$C$2:$C$722,1,Данные!$A$2:$A$722,"&gt;="&amp;77232210840,Данные!$A$2:$A$722,"&lt;="&amp;77232216999)</f>
        <v>0</v>
      </c>
      <c r="H15" s="65" t="n">
        <f aca="false">COUNTIFS(Данные!$B$2:$B$722,11,Данные!$C$2:$C$722,1,Данные!$A$2:$A$722,"&gt;="&amp;77232510512,Данные!$A$2:$A$722,"&lt;="&amp;77232519487)</f>
        <v>0</v>
      </c>
      <c r="I15" s="65" t="n">
        <f aca="false">COUNTIFS(Данные!$B$2:$B$722,11,Данные!$C$2:$C$722,1,Данные!$A$2:$A$722,"&gt;="&amp;77232524160,Данные!$A$2:$A$722,"&lt;="&amp;77232529999)</f>
        <v>0</v>
      </c>
      <c r="J15" s="65" t="n">
        <f aca="false">COUNTIFS(Данные!$B$2:$B$722,11,Данные!$C$2:$C$722,1,Данные!$A$2:$A$722,"&gt;="&amp;77232544000,Данные!$A$2:$A$722,"&lt;="&amp;77232544999)</f>
        <v>0</v>
      </c>
      <c r="K15" s="65" t="n">
        <f aca="false">COUNTIFS(Данные!$B$2:$B$722,11,Данные!$C$2:$C$722,1,Данные!$A$2:$A$722,"&gt;="&amp;77232295504,Данные!$A$2:$A$722,"&lt;="&amp;77232296999)</f>
        <v>0</v>
      </c>
      <c r="L15" s="65" t="n">
        <f aca="false">COUNTIFS(Данные!$B$2:$B$722,11,Данные!$C$2:$C$722,1,Данные!$A$2:$A$722,"&gt;="&amp;77232785000,Данные!$A$2:$A$722,"&lt;="&amp;77232789999)</f>
        <v>0</v>
      </c>
      <c r="M15" s="65" t="n">
        <f aca="false">COUNTIFS(Данные!$B$2:$B$722,11,Данные!$C$2:$C$722,1,Данные!$A$2:$A$722,"&gt;="&amp;77233150000,Данные!$A$2:$A$722,"&lt;="&amp;77233155999)</f>
        <v>0</v>
      </c>
      <c r="N15" s="65" t="n">
        <f aca="false">COUNTIFS(Данные!$B$2:$B$722,11,Данные!$C$2:$C$722,1,Данные!$A$2:$A$722,"&gt;="&amp;77233235000,Данные!$A$2:$A$722,"&lt;="&amp;77233235999)</f>
        <v>0</v>
      </c>
      <c r="O15" s="65" t="n">
        <f aca="false">COUNTIFS(Данные!$B$2:$B$722,11,Данные!$C$2:$C$722,1,Данные!$A$2:$A$722,"&gt;="&amp;77233239000,Данные!$A$2:$A$722,"&lt;="&amp;77233239999)</f>
        <v>0</v>
      </c>
      <c r="P15" s="65" t="n">
        <f aca="false">COUNTIFS(Данные!$B$2:$B$722,11,Данные!$C$2:$C$722,1,Данные!$A$2:$A$722,"&gt;="&amp;77233272000,Данные!$A$2:$A$722,"&lt;="&amp;77233272999)</f>
        <v>0</v>
      </c>
      <c r="Q15" s="65" t="n">
        <f aca="false">COUNTIFS(Данные!$B$2:$B$722,11,Данные!$C$2:$C$722,1,Данные!$A$2:$A$722,"&gt;="&amp;77233291100,Данные!$A$2:$A$722,"&lt;="&amp;77233292999)</f>
        <v>0</v>
      </c>
      <c r="R15" s="65" t="n">
        <f aca="false">COUNTIFS(Данные!$B$2:$B$722,11,Данные!$C$2:$C$722,1,Данные!$A$2:$A$722,"&gt;="&amp;77233297000,Данные!$A$2:$A$722,"&lt;="&amp;77233298399)</f>
        <v>0</v>
      </c>
      <c r="S15" s="65" t="n">
        <f aca="false">COUNTIFS(Данные!$B$2:$B$722,11,Данные!$C$2:$C$722,1,Данные!$A$2:$A$722,"&gt;="&amp;77235124000,Данные!$A$2:$A$722,"&lt;="&amp;77235128499)</f>
        <v>0</v>
      </c>
      <c r="T15" s="65" t="n">
        <f aca="false">COUNTIFS(Данные!$B$2:$B$722,11,Данные!$C$2:$C$722,1,Данные!$A$2:$A$722,"&gt;="&amp;77235320000,Данные!$A$2:$A$722,"&lt;="&amp;77235320999)</f>
        <v>0</v>
      </c>
      <c r="U15" s="65" t="n">
        <f aca="false">COUNTIFS(Данные!$B$2:$B$722,11,Данные!$C$2:$C$722,1,Данные!$A$2:$A$722,"&gt;="&amp;77233620000,Данные!$A$2:$A$722,"&lt;="&amp;77233623339)</f>
        <v>0</v>
      </c>
      <c r="V15" s="65" t="n">
        <f aca="false">COUNTIFS(Данные!$B$2:$B$722,11,Данные!$C$2:$C$722,1,Данные!$A$2:$A$722,"&gt;="&amp;77233630000,Данные!$A$2:$A$722,"&lt;="&amp;77233630999)</f>
        <v>0</v>
      </c>
      <c r="W15" s="65" t="n">
        <f aca="false">COUNTIFS(Данные!$B$2:$B$722,11,Данные!$C$2:$C$722,1,Данные!$A$2:$A$722,"&gt;="&amp;77233637000,Данные!$A$2:$A$722,"&lt;="&amp;77233637599)</f>
        <v>0</v>
      </c>
      <c r="X15" s="65" t="n">
        <f aca="false">COUNTIFS(Данные!$B$2:$B$722,11,Данные!$C$2:$C$722,1,Данные!$A$2:$A$722,"&gt;="&amp;77233550000,Данные!$A$2:$A$722,"&lt;="&amp;77233550999)</f>
        <v>0</v>
      </c>
      <c r="Y15" s="65" t="n">
        <f aca="false">COUNTIFS(Данные!$B$2:$B$722,11,Данные!$C$2:$C$722,1,Данные!$A$2:$A$722,"&gt;="&amp;77233554000,Данные!$A$2:$A$722,"&lt;="&amp;77233554999)</f>
        <v>0</v>
      </c>
      <c r="Z15" s="65" t="n">
        <f aca="false">COUNTIFS(Данные!$B$2:$B$722,11,Данные!$C$2:$C$722,1,Данные!$A$2:$A$722,"&gt;="&amp;77233555000,Данные!$A$2:$A$722,"&lt;="&amp;77233556999)</f>
        <v>0</v>
      </c>
      <c r="AA15" s="65" t="n">
        <f aca="false">COUNTIFS(Данные!$B$2:$B$722,11,Данные!$C$2:$C$722,1,Данные!$A$2:$A$722,"&gt;="&amp;77233726000,Данные!$A$2:$A$722,"&lt;="&amp;77233726999)</f>
        <v>0</v>
      </c>
      <c r="AB15" s="65" t="n">
        <f aca="false">COUNTIFS(Данные!$B$2:$B$722,11,Данные!$C$2:$C$722,1,Данные!$A$2:$A$722,"&gt;="&amp;77233820000,Данные!$A$2:$A$722,"&lt;="&amp;77233820999)</f>
        <v>0</v>
      </c>
      <c r="AC15" s="65" t="n">
        <f aca="false">COUNTIFS(Данные!$B$2:$B$722,11,Данные!$C$2:$C$722,1,Данные!$A$2:$A$722,"&gt;="&amp;77233850000,Данные!$A$2:$A$722,"&lt;="&amp;77233850999)</f>
        <v>0</v>
      </c>
      <c r="AD15" s="65" t="n">
        <f aca="false">COUNTIFS(Данные!$B$2:$B$722,11,Данные!$C$2:$C$722,1,Данные!$A$2:$A$722,"&gt;="&amp;77233420000,Данные!$A$2:$A$722,"&lt;="&amp;77233420999)</f>
        <v>0</v>
      </c>
      <c r="AE15" s="65" t="n">
        <f aca="false">COUNTIFS(Данные!$B$2:$B$722,11,Данные!$C$2:$C$722,1,Данные!$A$2:$A$722,"&gt;="&amp;77234740000,Данные!$A$2:$A$722,"&lt;="&amp;77234742999)</f>
        <v>0</v>
      </c>
      <c r="AF15" s="65" t="n">
        <f aca="false">COUNTIFS(Данные!$B$2:$B$722,11,Данные!$C$2:$C$722,1,Данные!$A$2:$A$722,"&gt;="&amp;77234767000,Данные!$A$2:$A$722,"&lt;="&amp;77234767999)</f>
        <v>0</v>
      </c>
      <c r="AG15" s="65" t="n">
        <f aca="false">COUNTIFS(Данные!$B$2:$B$722,11,Данные!$C$2:$C$722,1,Данные!$A$2:$A$722,"&gt;="&amp;77234120000,Данные!$A$2:$A$722,"&lt;="&amp;77234120999)</f>
        <v>0</v>
      </c>
      <c r="AH15" s="65" t="n">
        <f aca="false">COUNTIFS(Данные!$B$2:$B$722,11,Данные!$C$2:$C$722,1,Данные!$A$2:$A$722,"&gt;="&amp;77234127000,Данные!$A$2:$A$722,"&lt;="&amp;77234127999)</f>
        <v>0</v>
      </c>
      <c r="AI15" s="65" t="n">
        <f aca="false">COUNTIFS(Данные!$B$2:$B$722,11,Данные!$C$2:$C$722,1,Данные!$A$2:$A$722,"&gt;="&amp;77234220000,Данные!$A$2:$A$722,"&lt;="&amp;77234220999)</f>
        <v>0</v>
      </c>
      <c r="AJ15" s="65" t="n">
        <f aca="false">COUNTIFS(Данные!$B$2:$B$722,11,Данные!$C$2:$C$722,1,Данные!$A$2:$A$722,"&gt;="&amp;77234250000,Данные!$A$2:$A$722,"&lt;="&amp;77234250999)</f>
        <v>0</v>
      </c>
      <c r="AK15" s="65" t="n">
        <f aca="false">COUNTIFS(Данные!$B$2:$B$722,11,Данные!$C$2:$C$722,1,Данные!$A$2:$A$722,"&gt;="&amp;77233922950,Данные!$A$2:$A$722,"&lt;="&amp;77233924999)</f>
        <v>0</v>
      </c>
      <c r="AL15" s="65" t="n">
        <f aca="false">COUNTIFS(Данные!$B$2:$B$722,11,Данные!$C$2:$C$722,1,Данные!$A$2:$A$722,"&gt;="&amp;77234320000,Данные!$A$2:$A$722,"&lt;="&amp;77234320999)</f>
        <v>0</v>
      </c>
      <c r="AM15" s="65" t="n">
        <f aca="false">COUNTIFS(Данные!$B$2:$B$722,11,Данные!$C$2:$C$722,1,Данные!$A$2:$A$722,"&gt;="&amp;77234350000,Данные!$A$2:$A$722,"&lt;="&amp;77234350999)</f>
        <v>0</v>
      </c>
      <c r="AN15" s="65" t="n">
        <f aca="false">COUNTIFS(Данные!$B$2:$B$722,11,Данные!$C$2:$C$722,1,Данные!$A$2:$A$722,"&gt;="&amp;77234020000,Данные!$A$2:$A$722,"&lt;="&amp;77234020999)</f>
        <v>0</v>
      </c>
      <c r="AO15" s="65" t="n">
        <f aca="false">COUNTIFS(Данные!$B$2:$B$722,11,Данные!$C$2:$C$722,1,Данные!$A$2:$A$722,"&gt;="&amp;77234029000,Данные!$A$2:$A$722,"&lt;="&amp;77234029999)</f>
        <v>0</v>
      </c>
      <c r="AP15" s="65" t="n">
        <f aca="false">COUNTIFS(Данные!$B$2:$B$722,11,Данные!$C$2:$C$722,1,Данные!$A$2:$A$722,"&gt;="&amp;77234050000,Данные!$A$2:$A$722,"&lt;="&amp;77234050999)</f>
        <v>0</v>
      </c>
      <c r="AQ15" s="65" t="n">
        <f aca="false">COUNTIFS(Данные!$B$2:$B$722,11,Данные!$C$2:$C$722,1,Данные!$A$2:$A$722,"&gt;="&amp;77234427000,Данные!$A$2:$A$722,"&lt;="&amp;77234428999)</f>
        <v>0</v>
      </c>
      <c r="AR15" s="65" t="n">
        <f aca="false">COUNTIFS(Данные!$B$2:$B$722,11,Данные!$C$2:$C$722,1,Данные!$A$2:$A$722,"&gt;="&amp;77234450000,Данные!$A$2:$A$722,"&lt;="&amp;77234450999)</f>
        <v>0</v>
      </c>
      <c r="AS15" s="65" t="n">
        <f aca="false">COUNTIFS(Данные!$B$2:$B$722,11,Данные!$C$2:$C$722,1,Данные!$A$2:$A$722,"&gt;="&amp;77234620000,Данные!$A$2:$A$722,"&lt;="&amp;77234620999)</f>
        <v>0</v>
      </c>
      <c r="AT15" s="65" t="n">
        <f aca="false">COUNTIFS(Данные!$B$2:$B$722,11,Данные!$C$2:$C$722,1,Данные!$A$2:$A$722,"&gt;="&amp;77234650000,Данные!$A$2:$A$722,"&lt;="&amp;77234650999)</f>
        <v>0</v>
      </c>
      <c r="AU15" s="65" t="n">
        <f aca="false">COUNTIFS(Данные!$B$2:$B$722,11,Данные!$C$2:$C$722,1,Данные!$A$2:$A$722,"&gt;="&amp;77234820000,Данные!$A$2:$A$722,"&lt;="&amp;77234820999)</f>
        <v>0</v>
      </c>
      <c r="AV15" s="65" t="n">
        <f aca="false">COUNTIFS(Данные!$B$2:$B$722,11,Данные!$C$2:$C$722,1,Данные!$A$2:$A$722,"&gt;="&amp;77234850000,Данные!$A$2:$A$722,"&lt;="&amp;77234850999)</f>
        <v>0</v>
      </c>
      <c r="AW15" s="65" t="n">
        <f aca="false">COUNTIFS(Данные!$B$2:$B$722,11,Данные!$C$2:$C$722,1,Данные!$A$2:$A$722,"&gt;="&amp;77233327000,Данные!$A$2:$A$722,"&lt;="&amp;77233327999)</f>
        <v>0</v>
      </c>
      <c r="AX15" s="65" t="n">
        <f aca="false">COUNTIFS(Данные!$B$2:$B$722,11,Данные!$C$2:$C$722,1,Данные!$A$2:$A$722,"&gt;="&amp;77233350000,Данные!$A$2:$A$722,"&lt;="&amp;77233350599)</f>
        <v>0</v>
      </c>
      <c r="AY15" s="65" t="n">
        <f aca="false">COUNTIFS(Данные!$B$2:$B$722,11,Данные!$C$2:$C$722,1,Данные!$A$2:$A$722,"&gt;="&amp;77233351000,Данные!$A$2:$A$722,"&lt;="&amp;77233351999)</f>
        <v>0</v>
      </c>
      <c r="AZ15" s="66" t="n">
        <f aca="false">COUNTIFS(Данные!$B$2:$B$722,11,Данные!$C$2:$C$722,1,Данные!$A$2:$A$722,"&gt;="&amp;7722440000,Данные!$A$2:$A$722,"&lt;="&amp;7722440999)</f>
        <v>0</v>
      </c>
      <c r="BA15" s="66" t="n">
        <f aca="false">COUNTIFS(Данные!$B$2:$B$722,11,Данные!$C$2:$C$722,1,Данные!$A$2:$A$722,"&gt;="&amp;7722442000,Данные!$A$2:$A$722,"&lt;="&amp;7722445659)</f>
        <v>0</v>
      </c>
      <c r="BB15" s="66" t="n">
        <f aca="false">COUNTIFS(Данные!$B$2:$B$722,11,Данные!$C$2:$C$722,1,Данные!$A$2:$A$722,"&gt;="&amp;7722450000,Данные!$A$2:$A$722,"&lt;="&amp;7722450199)</f>
        <v>0</v>
      </c>
      <c r="BC15" s="66" t="n">
        <f aca="false">COUNTIFS(Данные!$B$2:$B$722,11,Данные!$C$2:$C$722,1,Данные!$A$2:$A$722,"&gt;="&amp;7722451000,Данные!$A$2:$A$722,"&lt;="&amp;7722451374)</f>
        <v>0</v>
      </c>
      <c r="BD15" s="66" t="n">
        <f aca="false">COUNTIFS(Данные!$B$2:$B$722,11,Данные!$C$2:$C$722,1,Данные!$A$2:$A$722,"&gt;="&amp;7722452000,Данные!$A$2:$A$722,"&lt;="&amp;7722452299)</f>
        <v>0</v>
      </c>
      <c r="BE15" s="66" t="n">
        <f aca="false">COUNTIFS(Данные!$B$2:$B$722,11,Данные!$C$2:$C$722,1,Данные!$A$2:$A$722,"&gt;="&amp;7722453000,Данные!$A$2:$A$722,"&lt;="&amp;7722453816)</f>
        <v>0</v>
      </c>
      <c r="BF15" s="66" t="n">
        <f aca="false">COUNTIFS(Данные!$B$2:$B$722,11,Данные!$C$2:$C$722,1,Данные!$A$2:$A$722,"&gt;="&amp;7722454000,Данные!$A$2:$A$722,"&lt;="&amp;7722454099)</f>
        <v>0</v>
      </c>
      <c r="BG15" s="66" t="n">
        <f aca="false">COUNTIFS(Данные!$B$2:$B$722,11,Данные!$C$2:$C$722,1,Данные!$A$2:$A$722,"&gt;="&amp;7722458000,Данные!$A$2:$A$722,"&lt;="&amp;7722458999)</f>
        <v>0</v>
      </c>
      <c r="BH15" s="66" t="n">
        <f aca="false">COUNTIFS(Данные!$B$2:$B$722,11,Данные!$C$2:$C$722,1,Данные!$A$2:$A$722,"&gt;="&amp;7722630000,Данные!$A$2:$A$722,"&lt;="&amp;7722638549)</f>
        <v>0</v>
      </c>
      <c r="BI15" s="66" t="n">
        <f aca="false">COUNTIFS(Данные!$B$2:$B$722,11,Данные!$C$2:$C$722,1,Данные!$A$2:$A$722,"&gt;="&amp;7722639400,Данные!$A$2:$A$722,"&lt;="&amp;7722639899)</f>
        <v>0</v>
      </c>
      <c r="BJ15" s="66" t="n">
        <f aca="false">COUNTIFS(Данные!$B$2:$B$722,11,Данные!$C$2:$C$722,1,Данные!$A$2:$A$722,"&gt;="&amp;7725750000,Данные!$A$2:$A$722,"&lt;="&amp;7725750399)</f>
        <v>0</v>
      </c>
      <c r="BK15" s="66" t="n">
        <f aca="false">COUNTIFS(Данные!$B$2:$B$722,11,Данные!$C$2:$C$722,1,Данные!$A$2:$A$722,"&gt;="&amp;7723620000,Данные!$A$2:$A$722,"&lt;="&amp;7723621299)</f>
        <v>0</v>
      </c>
      <c r="BL15" s="66" t="n">
        <f aca="false">COUNTIFS(Данные!$B$2:$B$722,11,Данные!$C$2:$C$722,1,Данные!$A$2:$A$722,"&gt;="&amp;7723621600,Данные!$A$2:$A$722,"&lt;="&amp;7723623399)</f>
        <v>0</v>
      </c>
      <c r="BM15" s="66" t="n">
        <f aca="false">COUNTIFS(Данные!$B$2:$B$722,11,Данные!$C$2:$C$722,1,Данные!$A$2:$A$722,"&gt;="&amp;7725127000,Данные!$A$2:$A$722,"&lt;="&amp;7725127999)</f>
        <v>0</v>
      </c>
      <c r="BN15" s="66" t="n">
        <f aca="false">COUNTIFS(Данные!$B$2:$B$722,11,Данные!$C$2:$C$722,1,Данные!$A$2:$A$722,"&gt;="&amp;7723772000,Данные!$A$2:$A$722,"&lt;="&amp;7723724999)</f>
        <v>0</v>
      </c>
      <c r="BO15" s="65" t="n">
        <f aca="false">COUNTIFS(Данные!$B$2:$B$722,11,Данные!$C$2:$C$722,1,Данные!$A$2:$A$722,"&gt;="&amp;7723765000,Данные!$A$2:$A$722,"&lt;="&amp;7723765499)</f>
        <v>0</v>
      </c>
      <c r="BP15" s="66" t="n">
        <f aca="false">COUNTIFS(Данные!$B$2:$B$722,11,Данные!$C$2:$C$722,1,Данные!$A$2:$A$722,"&gt;="&amp;7723948000,Данные!$A$2:$A$722,"&lt;="&amp;7723948999)</f>
        <v>0</v>
      </c>
      <c r="BQ15" s="66" t="n">
        <f aca="false">COUNTIFS(Данные!$B$2:$B$722,11,Данные!$C$2:$C$722,1,Данные!$A$2:$A$722,"&gt;="&amp;7723950000,Данные!$A$2:$A$722,"&lt;="&amp;7723951099)</f>
        <v>0</v>
      </c>
      <c r="BR15" s="66" t="n">
        <f aca="false">COUNTIFS(Данные!$B$2:$B$722,11,Данные!$C$2:$C$722,1,Данные!$A$2:$A$722,"&gt;="&amp;7723020000,Данные!$A$2:$A$722,"&lt;="&amp;7723020999)</f>
        <v>0</v>
      </c>
      <c r="BS15" s="66" t="n">
        <f aca="false">COUNTIFS(Данные!$B$2:$B$722,11,Данные!$C$2:$C$722,1,Данные!$A$2:$A$722,"&gt;="&amp;7723029000,Данные!$A$2:$A$722,"&lt;="&amp;7723029999)</f>
        <v>0</v>
      </c>
      <c r="BT15" s="66" t="n">
        <f aca="false">COUNTIFS(Данные!$B$2:$B$722,11,Данные!$C$2:$C$722,1,Данные!$A$2:$A$722,"&gt;="&amp;7723055000,Данные!$A$2:$A$722,"&lt;="&amp;7723056549)</f>
        <v>0</v>
      </c>
      <c r="BU15" s="65" t="n">
        <f aca="false">COUNTIFS(Данные!$B$2:$B$722,11,Данные!$C$2:$C$722,1,Данные!$A$2:$A$722,"&gt;="&amp;7725250000,Данные!$A$2:$A$722,"&lt;="&amp;7725250499)</f>
        <v>0</v>
      </c>
      <c r="BV15" s="66" t="n">
        <f aca="false">COUNTIFS(Данные!$B$2:$B$722,11,Данные!$C$2:$C$722,1,Данные!$A$2:$A$722,"&gt;="&amp;7183841400,Данные!$A$2:$A$722,"&lt;="&amp;7183841499)</f>
        <v>0</v>
      </c>
      <c r="BW15" s="49" t="n">
        <v>300</v>
      </c>
      <c r="BX15" s="67" t="n">
        <f aca="false">F15-BW15</f>
        <v>-300</v>
      </c>
    </row>
    <row r="16" s="15" customFormat="true" ht="12" hidden="false" customHeight="true" outlineLevel="0" collapsed="false">
      <c r="A16" s="47"/>
      <c r="B16" s="48"/>
      <c r="C16" s="50" t="n">
        <v>2</v>
      </c>
      <c r="D16" s="50" t="n">
        <v>112</v>
      </c>
      <c r="E16" s="51"/>
      <c r="F16" s="65" t="n">
        <f aca="false">COUNTIFS(Данные!$B$2:$B$722,11,Данные!$C$2:$C$722,2)</f>
        <v>0</v>
      </c>
      <c r="G16" s="65" t="n">
        <f aca="false">COUNTIFS(Данные!$B$2:$B$722,11,Данные!$C$2:$C$722,2,Данные!$A$2:$A$722,"&gt;="&amp;77232210840,Данные!$A$2:$A$722,"&lt;="&amp;77232216999)</f>
        <v>0</v>
      </c>
      <c r="H16" s="65" t="n">
        <f aca="false">COUNTIFS(Данные!$B$2:$B$722,11,Данные!$C$2:$C$722,2,Данные!$A$2:$A$722,"&gt;="&amp;77232510512,Данные!$A$2:$A$722,"&lt;="&amp;77232519487)</f>
        <v>0</v>
      </c>
      <c r="I16" s="65" t="n">
        <f aca="false">COUNTIFS(Данные!$B$2:$B$722,11,Данные!$C$2:$C$722,2,Данные!$A$2:$A$722,"&gt;="&amp;77232524160,Данные!$A$2:$A$722,"&lt;="&amp;77232529999)</f>
        <v>0</v>
      </c>
      <c r="J16" s="65" t="n">
        <f aca="false">COUNTIFS(Данные!$B$2:$B$722,11,Данные!$C$2:$C$722,2,Данные!$A$2:$A$722,"&gt;="&amp;77232544000,Данные!$A$2:$A$722,"&lt;="&amp;77232544999)</f>
        <v>0</v>
      </c>
      <c r="K16" s="65" t="n">
        <f aca="false">COUNTIFS(Данные!$B$2:$B$722,11,Данные!$C$2:$C$722,2,Данные!$A$2:$A$722,"&gt;="&amp;77232295504,Данные!$A$2:$A$722,"&lt;="&amp;77232296999)</f>
        <v>0</v>
      </c>
      <c r="L16" s="65" t="n">
        <f aca="false">COUNTIFS(Данные!$B$2:$B$722,11,Данные!$C$2:$C$722,2,Данные!$A$2:$A$722,"&gt;="&amp;77232785000,Данные!$A$2:$A$722,"&lt;="&amp;77232789999)</f>
        <v>0</v>
      </c>
      <c r="M16" s="65" t="n">
        <f aca="false">COUNTIFS(Данные!$B$2:$B$722,11,Данные!$C$2:$C$722,2,Данные!$A$2:$A$722,"&gt;="&amp;77233150000,Данные!$A$2:$A$722,"&lt;="&amp;77233155999)</f>
        <v>0</v>
      </c>
      <c r="N16" s="65" t="n">
        <f aca="false">COUNTIFS(Данные!$B$2:$B$722,11,Данные!$C$2:$C$722,2,Данные!$A$2:$A$722,"&gt;="&amp;77233235000,Данные!$A$2:$A$722,"&lt;="&amp;77233235999)</f>
        <v>0</v>
      </c>
      <c r="O16" s="65" t="n">
        <f aca="false">COUNTIFS(Данные!$B$2:$B$722,11,Данные!$C$2:$C$722,2,Данные!$A$2:$A$722,"&gt;="&amp;77233239000,Данные!$A$2:$A$722,"&lt;="&amp;77233239999)</f>
        <v>0</v>
      </c>
      <c r="P16" s="65" t="n">
        <f aca="false">COUNTIFS(Данные!$B$2:$B$722,11,Данные!$C$2:$C$722,2,Данные!$A$2:$A$722,"&gt;="&amp;77233272000,Данные!$A$2:$A$722,"&lt;="&amp;77233272999)</f>
        <v>0</v>
      </c>
      <c r="Q16" s="65" t="n">
        <f aca="false">COUNTIFS(Данные!$B$2:$B$722,11,Данные!$C$2:$C$722,2,Данные!$A$2:$A$722,"&gt;="&amp;77233291100,Данные!$A$2:$A$722,"&lt;="&amp;77233292999)</f>
        <v>0</v>
      </c>
      <c r="R16" s="65" t="n">
        <f aca="false">COUNTIFS(Данные!$B$2:$B$722,11,Данные!$C$2:$C$722,2,Данные!$A$2:$A$722,"&gt;="&amp;77233297000,Данные!$A$2:$A$722,"&lt;="&amp;77233298399)</f>
        <v>0</v>
      </c>
      <c r="S16" s="65" t="n">
        <f aca="false">COUNTIFS(Данные!$B$2:$B$722,11,Данные!$C$2:$C$722,2,Данные!$A$2:$A$722,"&gt;="&amp;77235124000,Данные!$A$2:$A$722,"&lt;="&amp;77235128499)</f>
        <v>0</v>
      </c>
      <c r="T16" s="65" t="n">
        <f aca="false">COUNTIFS(Данные!$B$2:$B$722,11,Данные!$C$2:$C$722,2,Данные!$A$2:$A$722,"&gt;="&amp;77235320000,Данные!$A$2:$A$722,"&lt;="&amp;77235320999)</f>
        <v>0</v>
      </c>
      <c r="U16" s="65" t="n">
        <f aca="false">COUNTIFS(Данные!$B$2:$B$722,11,Данные!$C$2:$C$722,2,Данные!$A$2:$A$722,"&gt;="&amp;77233620000,Данные!$A$2:$A$722,"&lt;="&amp;77233623339)</f>
        <v>0</v>
      </c>
      <c r="V16" s="65" t="n">
        <f aca="false">COUNTIFS(Данные!$B$2:$B$722,11,Данные!$C$2:$C$722,2,Данные!$A$2:$A$722,"&gt;="&amp;77233630000,Данные!$A$2:$A$722,"&lt;="&amp;77233630999)</f>
        <v>0</v>
      </c>
      <c r="W16" s="65" t="n">
        <f aca="false">COUNTIFS(Данные!$B$2:$B$722,11,Данные!$C$2:$C$722,2,Данные!$A$2:$A$722,"&gt;="&amp;77233637000,Данные!$A$2:$A$722,"&lt;="&amp;77233637599)</f>
        <v>0</v>
      </c>
      <c r="X16" s="65" t="n">
        <f aca="false">COUNTIFS(Данные!$B$2:$B$722,11,Данные!$C$2:$C$722,2,Данные!$A$2:$A$722,"&gt;="&amp;77233550000,Данные!$A$2:$A$722,"&lt;="&amp;77233550999)</f>
        <v>0</v>
      </c>
      <c r="Y16" s="65" t="n">
        <f aca="false">COUNTIFS(Данные!$B$2:$B$722,11,Данные!$C$2:$C$722,2,Данные!$A$2:$A$722,"&gt;="&amp;77233554000,Данные!$A$2:$A$722,"&lt;="&amp;77233554999)</f>
        <v>0</v>
      </c>
      <c r="Z16" s="65" t="n">
        <f aca="false">COUNTIFS(Данные!$B$2:$B$722,11,Данные!$C$2:$C$722,2,Данные!$A$2:$A$722,"&gt;="&amp;77233555000,Данные!$A$2:$A$722,"&lt;="&amp;77233556999)</f>
        <v>0</v>
      </c>
      <c r="AA16" s="65" t="n">
        <f aca="false">COUNTIFS(Данные!$B$2:$B$722,11,Данные!$C$2:$C$722,2,Данные!$A$2:$A$722,"&gt;="&amp;77233726000,Данные!$A$2:$A$722,"&lt;="&amp;77233726999)</f>
        <v>0</v>
      </c>
      <c r="AB16" s="65" t="n">
        <f aca="false">COUNTIFS(Данные!$B$2:$B$722,11,Данные!$C$2:$C$722,2,Данные!$A$2:$A$722,"&gt;="&amp;77233820000,Данные!$A$2:$A$722,"&lt;="&amp;77233820999)</f>
        <v>0</v>
      </c>
      <c r="AC16" s="65" t="n">
        <f aca="false">COUNTIFS(Данные!$B$2:$B$722,11,Данные!$C$2:$C$722,2,Данные!$A$2:$A$722,"&gt;="&amp;77233850000,Данные!$A$2:$A$722,"&lt;="&amp;77233850999)</f>
        <v>0</v>
      </c>
      <c r="AD16" s="65" t="n">
        <f aca="false">COUNTIFS(Данные!$B$2:$B$722,11,Данные!$C$2:$C$722,2,Данные!$A$2:$A$722,"&gt;="&amp;77233420000,Данные!$A$2:$A$722,"&lt;="&amp;77233420999)</f>
        <v>0</v>
      </c>
      <c r="AE16" s="65" t="n">
        <f aca="false">COUNTIFS(Данные!$B$2:$B$722,11,Данные!$C$2:$C$722,2,Данные!$A$2:$A$722,"&gt;="&amp;77234740000,Данные!$A$2:$A$722,"&lt;="&amp;77234742999)</f>
        <v>0</v>
      </c>
      <c r="AF16" s="65" t="n">
        <f aca="false">COUNTIFS(Данные!$B$2:$B$722,11,Данные!$C$2:$C$722,2,Данные!$A$2:$A$722,"&gt;="&amp;77234767000,Данные!$A$2:$A$722,"&lt;="&amp;77234767999)</f>
        <v>0</v>
      </c>
      <c r="AG16" s="65" t="n">
        <f aca="false">COUNTIFS(Данные!$B$2:$B$722,11,Данные!$C$2:$C$722,2,Данные!$A$2:$A$722,"&gt;="&amp;77234120000,Данные!$A$2:$A$722,"&lt;="&amp;77234120999)</f>
        <v>0</v>
      </c>
      <c r="AH16" s="65" t="n">
        <f aca="false">COUNTIFS(Данные!$B$2:$B$722,11,Данные!$C$2:$C$722,2,Данные!$A$2:$A$722,"&gt;="&amp;77234127000,Данные!$A$2:$A$722,"&lt;="&amp;77234127999)</f>
        <v>0</v>
      </c>
      <c r="AI16" s="65" t="n">
        <f aca="false">COUNTIFS(Данные!$B$2:$B$722,11,Данные!$C$2:$C$722,2,Данные!$A$2:$A$722,"&gt;="&amp;77234220000,Данные!$A$2:$A$722,"&lt;="&amp;77234220999)</f>
        <v>0</v>
      </c>
      <c r="AJ16" s="65" t="n">
        <f aca="false">COUNTIFS(Данные!$B$2:$B$722,11,Данные!$C$2:$C$722,2,Данные!$A$2:$A$722,"&gt;="&amp;77234250000,Данные!$A$2:$A$722,"&lt;="&amp;77234250999)</f>
        <v>0</v>
      </c>
      <c r="AK16" s="65" t="n">
        <f aca="false">COUNTIFS(Данные!$B$2:$B$722,11,Данные!$C$2:$C$722,2,Данные!$A$2:$A$722,"&gt;="&amp;77233922950,Данные!$A$2:$A$722,"&lt;="&amp;77233924999)</f>
        <v>0</v>
      </c>
      <c r="AL16" s="65" t="n">
        <f aca="false">COUNTIFS(Данные!$B$2:$B$722,11,Данные!$C$2:$C$722,2,Данные!$A$2:$A$722,"&gt;="&amp;77234320000,Данные!$A$2:$A$722,"&lt;="&amp;77234320999)</f>
        <v>0</v>
      </c>
      <c r="AM16" s="65" t="n">
        <f aca="false">COUNTIFS(Данные!$B$2:$B$722,11,Данные!$C$2:$C$722,2,Данные!$A$2:$A$722,"&gt;="&amp;77234350000,Данные!$A$2:$A$722,"&lt;="&amp;77234350999)</f>
        <v>0</v>
      </c>
      <c r="AN16" s="65" t="n">
        <f aca="false">COUNTIFS(Данные!$B$2:$B$722,11,Данные!$C$2:$C$722,2,Данные!$A$2:$A$722,"&gt;="&amp;77234020000,Данные!$A$2:$A$722,"&lt;="&amp;77234020999)</f>
        <v>0</v>
      </c>
      <c r="AO16" s="65" t="n">
        <f aca="false">COUNTIFS(Данные!$B$2:$B$722,11,Данные!$C$2:$C$722,2,Данные!$A$2:$A$722,"&gt;="&amp;77234029000,Данные!$A$2:$A$722,"&lt;="&amp;77234029999)</f>
        <v>0</v>
      </c>
      <c r="AP16" s="65" t="n">
        <f aca="false">COUNTIFS(Данные!$B$2:$B$722,11,Данные!$C$2:$C$722,2,Данные!$A$2:$A$722,"&gt;="&amp;77234050000,Данные!$A$2:$A$722,"&lt;="&amp;77234050999)</f>
        <v>0</v>
      </c>
      <c r="AQ16" s="65" t="n">
        <f aca="false">COUNTIFS(Данные!$B$2:$B$722,11,Данные!$C$2:$C$722,2,Данные!$A$2:$A$722,"&gt;="&amp;77234427000,Данные!$A$2:$A$722,"&lt;="&amp;77234428999)</f>
        <v>0</v>
      </c>
      <c r="AR16" s="65" t="n">
        <f aca="false">COUNTIFS(Данные!$B$2:$B$722,11,Данные!$C$2:$C$722,2,Данные!$A$2:$A$722,"&gt;="&amp;77234450000,Данные!$A$2:$A$722,"&lt;="&amp;77234450999)</f>
        <v>0</v>
      </c>
      <c r="AS16" s="65" t="n">
        <f aca="false">COUNTIFS(Данные!$B$2:$B$722,11,Данные!$C$2:$C$722,2,Данные!$A$2:$A$722,"&gt;="&amp;77234620000,Данные!$A$2:$A$722,"&lt;="&amp;77234620999)</f>
        <v>0</v>
      </c>
      <c r="AT16" s="65" t="n">
        <f aca="false">COUNTIFS(Данные!$B$2:$B$722,11,Данные!$C$2:$C$722,2,Данные!$A$2:$A$722,"&gt;="&amp;77234650000,Данные!$A$2:$A$722,"&lt;="&amp;77234650999)</f>
        <v>0</v>
      </c>
      <c r="AU16" s="65" t="n">
        <f aca="false">COUNTIFS(Данные!$B$2:$B$722,11,Данные!$C$2:$C$722,2,Данные!$A$2:$A$722,"&gt;="&amp;77234820000,Данные!$A$2:$A$722,"&lt;="&amp;77234820999)</f>
        <v>0</v>
      </c>
      <c r="AV16" s="65" t="n">
        <f aca="false">COUNTIFS(Данные!$B$2:$B$722,11,Данные!$C$2:$C$722,2,Данные!$A$2:$A$722,"&gt;="&amp;77234850000,Данные!$A$2:$A$722,"&lt;="&amp;77234850999)</f>
        <v>0</v>
      </c>
      <c r="AW16" s="65" t="n">
        <f aca="false">COUNTIFS(Данные!$B$2:$B$722,11,Данные!$C$2:$C$722,2,Данные!$A$2:$A$722,"&gt;="&amp;77233327000,Данные!$A$2:$A$722,"&lt;="&amp;77233327999)</f>
        <v>0</v>
      </c>
      <c r="AX16" s="65" t="n">
        <f aca="false">COUNTIFS(Данные!$B$2:$B$722,11,Данные!$C$2:$C$722,2,Данные!$A$2:$A$722,"&gt;="&amp;77233350000,Данные!$A$2:$A$722,"&lt;="&amp;77233350599)</f>
        <v>0</v>
      </c>
      <c r="AY16" s="65" t="n">
        <f aca="false">COUNTIFS(Данные!$B$2:$B$722,11,Данные!$C$2:$C$722,2,Данные!$A$2:$A$722,"&gt;="&amp;77233351000,Данные!$A$2:$A$722,"&lt;="&amp;77233351999)</f>
        <v>0</v>
      </c>
      <c r="AZ16" s="66" t="n">
        <f aca="false">COUNTIFS(Данные!$B$2:$B$722,11,Данные!$C$2:$C$722,2,Данные!$A$2:$A$722,"&gt;="&amp;7722440000,Данные!$A$2:$A$722,"&lt;="&amp;7722440999)</f>
        <v>0</v>
      </c>
      <c r="BA16" s="66" t="n">
        <f aca="false">COUNTIFS(Данные!$B$2:$B$722,11,Данные!$C$2:$C$722,2,Данные!$A$2:$A$722,"&gt;="&amp;7722442000,Данные!$A$2:$A$722,"&lt;="&amp;7722445659)</f>
        <v>0</v>
      </c>
      <c r="BB16" s="66" t="n">
        <f aca="false">COUNTIFS(Данные!$B$2:$B$722,11,Данные!$C$2:$C$722,2,Данные!$A$2:$A$722,"&gt;="&amp;7722450000,Данные!$A$2:$A$722,"&lt;="&amp;7722450199)</f>
        <v>0</v>
      </c>
      <c r="BC16" s="66" t="n">
        <f aca="false">COUNTIFS(Данные!$B$2:$B$722,11,Данные!$C$2:$C$722,2,Данные!$A$2:$A$722,"&gt;="&amp;7722451000,Данные!$A$2:$A$722,"&lt;="&amp;7722451374)</f>
        <v>0</v>
      </c>
      <c r="BD16" s="66" t="n">
        <f aca="false">COUNTIFS(Данные!$B$2:$B$722,11,Данные!$C$2:$C$722,2,Данные!$A$2:$A$722,"&gt;="&amp;7722452000,Данные!$A$2:$A$722,"&lt;="&amp;7722452299)</f>
        <v>0</v>
      </c>
      <c r="BE16" s="66" t="n">
        <f aca="false">COUNTIFS(Данные!$B$2:$B$722,11,Данные!$C$2:$C$722,2,Данные!$A$2:$A$722,"&gt;="&amp;7722453000,Данные!$A$2:$A$722,"&lt;="&amp;7722453816)</f>
        <v>0</v>
      </c>
      <c r="BF16" s="66" t="n">
        <f aca="false">COUNTIFS(Данные!$B$2:$B$722,11,Данные!$C$2:$C$722,2,Данные!$A$2:$A$722,"&gt;="&amp;7722454000,Данные!$A$2:$A$722,"&lt;="&amp;7722454099)</f>
        <v>0</v>
      </c>
      <c r="BG16" s="66" t="n">
        <f aca="false">COUNTIFS(Данные!$B$2:$B$722,11,Данные!$C$2:$C$722,2,Данные!$A$2:$A$722,"&gt;="&amp;7722458000,Данные!$A$2:$A$722,"&lt;="&amp;7722458999)</f>
        <v>0</v>
      </c>
      <c r="BH16" s="66" t="n">
        <f aca="false">COUNTIFS(Данные!$B$2:$B$722,11,Данные!$C$2:$C$722,2,Данные!$A$2:$A$722,"&gt;="&amp;7722630000,Данные!$A$2:$A$722,"&lt;="&amp;7722638549)</f>
        <v>0</v>
      </c>
      <c r="BI16" s="66" t="n">
        <f aca="false">COUNTIFS(Данные!$B$2:$B$722,11,Данные!$C$2:$C$722,2,Данные!$A$2:$A$722,"&gt;="&amp;7722639400,Данные!$A$2:$A$722,"&lt;="&amp;7722639899)</f>
        <v>0</v>
      </c>
      <c r="BJ16" s="66" t="n">
        <f aca="false">COUNTIFS(Данные!$B$2:$B$722,11,Данные!$C$2:$C$722,2,Данные!$A$2:$A$722,"&gt;="&amp;7725750000,Данные!$A$2:$A$722,"&lt;="&amp;7725750399)</f>
        <v>0</v>
      </c>
      <c r="BK16" s="66" t="n">
        <f aca="false">COUNTIFS(Данные!$B$2:$B$722,11,Данные!$C$2:$C$722,2,Данные!$A$2:$A$722,"&gt;="&amp;7723620000,Данные!$A$2:$A$722,"&lt;="&amp;7723621299)</f>
        <v>0</v>
      </c>
      <c r="BL16" s="66" t="n">
        <f aca="false">COUNTIFS(Данные!$B$2:$B$722,11,Данные!$C$2:$C$722,2,Данные!$A$2:$A$722,"&gt;="&amp;7723621600,Данные!$A$2:$A$722,"&lt;="&amp;7723623399)</f>
        <v>0</v>
      </c>
      <c r="BM16" s="66" t="n">
        <f aca="false">COUNTIFS(Данные!$B$2:$B$722,11,Данные!$C$2:$C$722,2,Данные!$A$2:$A$722,"&gt;="&amp;7725127000,Данные!$A$2:$A$722,"&lt;="&amp;7725127999)</f>
        <v>0</v>
      </c>
      <c r="BN16" s="66" t="n">
        <f aca="false">COUNTIFS(Данные!$B$2:$B$722,11,Данные!$C$2:$C$722,2,Данные!$A$2:$A$722,"&gt;="&amp;7723772000,Данные!$A$2:$A$722,"&lt;="&amp;7723724999)</f>
        <v>0</v>
      </c>
      <c r="BO16" s="65" t="n">
        <f aca="false">COUNTIFS(Данные!$B$2:$B$722,11,Данные!$C$2:$C$722,2,Данные!$A$2:$A$722,"&gt;="&amp;7723765000,Данные!$A$2:$A$722,"&lt;="&amp;7723765499)</f>
        <v>0</v>
      </c>
      <c r="BP16" s="66" t="n">
        <f aca="false">COUNTIFS(Данные!$B$2:$B$722,11,Данные!$C$2:$C$722,2,Данные!$A$2:$A$722,"&gt;="&amp;7723948000,Данные!$A$2:$A$722,"&lt;="&amp;7723948999)</f>
        <v>0</v>
      </c>
      <c r="BQ16" s="66" t="n">
        <f aca="false">COUNTIFS(Данные!$B$2:$B$722,11,Данные!$C$2:$C$722,2,Данные!$A$2:$A$722,"&gt;="&amp;7723950000,Данные!$A$2:$A$722,"&lt;="&amp;7723951099)</f>
        <v>0</v>
      </c>
      <c r="BR16" s="66" t="n">
        <f aca="false">COUNTIFS(Данные!$B$2:$B$722,11,Данные!$C$2:$C$722,2,Данные!$A$2:$A$722,"&gt;="&amp;7723020000,Данные!$A$2:$A$722,"&lt;="&amp;7723020999)</f>
        <v>0</v>
      </c>
      <c r="BS16" s="66" t="n">
        <f aca="false">COUNTIFS(Данные!$B$2:$B$722,11,Данные!$C$2:$C$722,2,Данные!$A$2:$A$722,"&gt;="&amp;7723029000,Данные!$A$2:$A$722,"&lt;="&amp;7723029999)</f>
        <v>0</v>
      </c>
      <c r="BT16" s="66" t="n">
        <f aca="false">COUNTIFS(Данные!$B$2:$B$722,11,Данные!$C$2:$C$722,2,Данные!$A$2:$A$722,"&gt;="&amp;7723055000,Данные!$A$2:$A$722,"&lt;="&amp;7723056549)</f>
        <v>0</v>
      </c>
      <c r="BU16" s="65" t="n">
        <f aca="false">COUNTIFS(Данные!$B$2:$B$722,11,Данные!$C$2:$C$722,2,Данные!$A$2:$A$722,"&gt;="&amp;7725250000,Данные!$A$2:$A$722,"&lt;="&amp;7725250499)</f>
        <v>0</v>
      </c>
      <c r="BV16" s="66" t="n">
        <f aca="false">COUNTIFS(Данные!$B$2:$B$722,11,Данные!$C$2:$C$722,2,Данные!$A$2:$A$722,"&gt;="&amp;7183841400,Данные!$A$2:$A$722,"&lt;="&amp;7183841499)</f>
        <v>0</v>
      </c>
      <c r="BW16" s="49" t="n">
        <v>300</v>
      </c>
      <c r="BX16" s="67" t="n">
        <f aca="false">F16-BW16</f>
        <v>-300</v>
      </c>
    </row>
    <row r="17" s="15" customFormat="true" ht="12" hidden="false" customHeight="true" outlineLevel="0" collapsed="false">
      <c r="A17" s="38" t="n">
        <v>12</v>
      </c>
      <c r="B17" s="39" t="s">
        <v>65</v>
      </c>
      <c r="C17" s="41" t="n">
        <v>0</v>
      </c>
      <c r="D17" s="41" t="n">
        <v>120</v>
      </c>
      <c r="E17" s="42" t="n">
        <f aca="false">SUM(F17:F19)</f>
        <v>0</v>
      </c>
      <c r="F17" s="62" t="n">
        <f aca="false">COUNTIFS(Данные!$B$2:$B$722,12,Данные!$C$2:$C$722,0)</f>
        <v>0</v>
      </c>
      <c r="G17" s="62" t="n">
        <f aca="false">COUNTIFS(Данные!$B$2:$B$722,12,Данные!$C$2:$C$722,0,Данные!$A$2:$A$722,"&gt;="&amp;77232210840,Данные!$A$2:$A$722,"&lt;="&amp;77232216999)</f>
        <v>0</v>
      </c>
      <c r="H17" s="62" t="n">
        <f aca="false">COUNTIFS(Данные!$B$2:$B$722,12,Данные!$C$2:$C$722,0,Данные!$A$2:$A$722,"&gt;="&amp;77232510512,Данные!$A$2:$A$722,"&lt;="&amp;77232519487)</f>
        <v>0</v>
      </c>
      <c r="I17" s="62" t="n">
        <f aca="false">COUNTIFS(Данные!$B$2:$B$722,12,Данные!$C$2:$C$722,0,Данные!$A$2:$A$722,"&gt;="&amp;77232524160,Данные!$A$2:$A$722,"&lt;="&amp;77232529999)</f>
        <v>0</v>
      </c>
      <c r="J17" s="62" t="n">
        <f aca="false">COUNTIFS(Данные!$B$2:$B$722,12,Данные!$C$2:$C$722,0,Данные!$A$2:$A$722,"&gt;="&amp;77232544000,Данные!$A$2:$A$722,"&lt;="&amp;77232544999)</f>
        <v>0</v>
      </c>
      <c r="K17" s="62" t="n">
        <f aca="false">COUNTIFS(Данные!$B$2:$B$722,12,Данные!$C$2:$C$722,0,Данные!$A$2:$A$722,"&gt;="&amp;77232295504,Данные!$A$2:$A$722,"&lt;="&amp;77232296999)</f>
        <v>0</v>
      </c>
      <c r="L17" s="62" t="n">
        <f aca="false">COUNTIFS(Данные!$B$2:$B$722,12,Данные!$C$2:$C$722,0,Данные!$A$2:$A$722,"&gt;="&amp;77232785000,Данные!$A$2:$A$722,"&lt;="&amp;77232789999)</f>
        <v>0</v>
      </c>
      <c r="M17" s="62" t="n">
        <f aca="false">COUNTIFS(Данные!$B$2:$B$722,12,Данные!$C$2:$C$722,0,Данные!$A$2:$A$722,"&gt;="&amp;77233150000,Данные!$A$2:$A$722,"&lt;="&amp;77233155999)</f>
        <v>0</v>
      </c>
      <c r="N17" s="62" t="n">
        <f aca="false">COUNTIFS(Данные!$B$2:$B$722,12,Данные!$C$2:$C$722,0,Данные!$A$2:$A$722,"&gt;="&amp;77233235000,Данные!$A$2:$A$722,"&lt;="&amp;77233235999)</f>
        <v>0</v>
      </c>
      <c r="O17" s="62" t="n">
        <f aca="false">COUNTIFS(Данные!$B$2:$B$722,12,Данные!$C$2:$C$722,0,Данные!$A$2:$A$722,"&gt;="&amp;77233239000,Данные!$A$2:$A$722,"&lt;="&amp;77233239999)</f>
        <v>0</v>
      </c>
      <c r="P17" s="62" t="n">
        <f aca="false">COUNTIFS(Данные!$B$2:$B$722,12,Данные!$C$2:$C$722,0,Данные!$A$2:$A$722,"&gt;="&amp;77233272000,Данные!$A$2:$A$722,"&lt;="&amp;77233272999)</f>
        <v>0</v>
      </c>
      <c r="Q17" s="62" t="n">
        <f aca="false">COUNTIFS(Данные!$B$2:$B$722,12,Данные!$C$2:$C$722,0,Данные!$A$2:$A$722,"&gt;="&amp;77233291100,Данные!$A$2:$A$722,"&lt;="&amp;77233292999)</f>
        <v>0</v>
      </c>
      <c r="R17" s="62" t="n">
        <f aca="false">COUNTIFS(Данные!$B$2:$B$722,12,Данные!$C$2:$C$722,0,Данные!$A$2:$A$722,"&gt;="&amp;77233297000,Данные!$A$2:$A$722,"&lt;="&amp;77233298399)</f>
        <v>0</v>
      </c>
      <c r="S17" s="62" t="n">
        <f aca="false">COUNTIFS(Данные!$B$2:$B$722,12,Данные!$C$2:$C$722,0,Данные!$A$2:$A$722,"&gt;="&amp;77235124000,Данные!$A$2:$A$722,"&lt;="&amp;77235128499)</f>
        <v>0</v>
      </c>
      <c r="T17" s="62" t="n">
        <f aca="false">COUNTIFS(Данные!$B$2:$B$722,12,Данные!$C$2:$C$722,0,Данные!$A$2:$A$722,"&gt;="&amp;77235320000,Данные!$A$2:$A$722,"&lt;="&amp;77235320999)</f>
        <v>0</v>
      </c>
      <c r="U17" s="62" t="n">
        <f aca="false">COUNTIFS(Данные!$B$2:$B$722,12,Данные!$C$2:$C$722,0,Данные!$A$2:$A$722,"&gt;="&amp;77233620000,Данные!$A$2:$A$722,"&lt;="&amp;77233623339)</f>
        <v>0</v>
      </c>
      <c r="V17" s="62" t="n">
        <f aca="false">COUNTIFS(Данные!$B$2:$B$722,12,Данные!$C$2:$C$722,0,Данные!$A$2:$A$722,"&gt;="&amp;77233630000,Данные!$A$2:$A$722,"&lt;="&amp;77233630999)</f>
        <v>0</v>
      </c>
      <c r="W17" s="62" t="n">
        <f aca="false">COUNTIFS(Данные!$B$2:$B$722,12,Данные!$C$2:$C$722,0,Данные!$A$2:$A$722,"&gt;="&amp;77233637000,Данные!$A$2:$A$722,"&lt;="&amp;77233637599)</f>
        <v>0</v>
      </c>
      <c r="X17" s="62" t="n">
        <f aca="false">COUNTIFS(Данные!$B$2:$B$722,12,Данные!$C$2:$C$722,0,Данные!$A$2:$A$722,"&gt;="&amp;77233550000,Данные!$A$2:$A$722,"&lt;="&amp;77233550999)</f>
        <v>0</v>
      </c>
      <c r="Y17" s="62" t="n">
        <f aca="false">COUNTIFS(Данные!$B$2:$B$722,12,Данные!$C$2:$C$722,0,Данные!$A$2:$A$722,"&gt;="&amp;77233554000,Данные!$A$2:$A$722,"&lt;="&amp;77233554999)</f>
        <v>0</v>
      </c>
      <c r="Z17" s="62" t="n">
        <f aca="false">COUNTIFS(Данные!$B$2:$B$722,12,Данные!$C$2:$C$722,0,Данные!$A$2:$A$722,"&gt;="&amp;77233555000,Данные!$A$2:$A$722,"&lt;="&amp;77233556999)</f>
        <v>0</v>
      </c>
      <c r="AA17" s="62" t="n">
        <f aca="false">COUNTIFS(Данные!$B$2:$B$722,12,Данные!$C$2:$C$722,0,Данные!$A$2:$A$722,"&gt;="&amp;77233726000,Данные!$A$2:$A$722,"&lt;="&amp;77233726999)</f>
        <v>0</v>
      </c>
      <c r="AB17" s="62" t="n">
        <f aca="false">COUNTIFS(Данные!$B$2:$B$722,12,Данные!$C$2:$C$722,0,Данные!$A$2:$A$722,"&gt;="&amp;77233820000,Данные!$A$2:$A$722,"&lt;="&amp;77233820999)</f>
        <v>0</v>
      </c>
      <c r="AC17" s="62" t="n">
        <f aca="false">COUNTIFS(Данные!$B$2:$B$722,12,Данные!$C$2:$C$722,0,Данные!$A$2:$A$722,"&gt;="&amp;77233850000,Данные!$A$2:$A$722,"&lt;="&amp;77233850999)</f>
        <v>0</v>
      </c>
      <c r="AD17" s="62" t="n">
        <f aca="false">COUNTIFS(Данные!$B$2:$B$722,12,Данные!$C$2:$C$722,0,Данные!$A$2:$A$722,"&gt;="&amp;77233420000,Данные!$A$2:$A$722,"&lt;="&amp;77233420999)</f>
        <v>0</v>
      </c>
      <c r="AE17" s="62" t="n">
        <f aca="false">COUNTIFS(Данные!$B$2:$B$722,12,Данные!$C$2:$C$722,0,Данные!$A$2:$A$722,"&gt;="&amp;77234740000,Данные!$A$2:$A$722,"&lt;="&amp;77234742999)</f>
        <v>0</v>
      </c>
      <c r="AF17" s="62" t="n">
        <f aca="false">COUNTIFS(Данные!$B$2:$B$722,12,Данные!$C$2:$C$722,0,Данные!$A$2:$A$722,"&gt;="&amp;77234767000,Данные!$A$2:$A$722,"&lt;="&amp;77234767999)</f>
        <v>0</v>
      </c>
      <c r="AG17" s="62" t="n">
        <f aca="false">COUNTIFS(Данные!$B$2:$B$722,12,Данные!$C$2:$C$722,0,Данные!$A$2:$A$722,"&gt;="&amp;77234120000,Данные!$A$2:$A$722,"&lt;="&amp;77234120999)</f>
        <v>0</v>
      </c>
      <c r="AH17" s="62" t="n">
        <f aca="false">COUNTIFS(Данные!$B$2:$B$722,12,Данные!$C$2:$C$722,0,Данные!$A$2:$A$722,"&gt;="&amp;77234127000,Данные!$A$2:$A$722,"&lt;="&amp;77234127999)</f>
        <v>0</v>
      </c>
      <c r="AI17" s="62" t="n">
        <f aca="false">COUNTIFS(Данные!$B$2:$B$722,12,Данные!$C$2:$C$722,0,Данные!$A$2:$A$722,"&gt;="&amp;77234220000,Данные!$A$2:$A$722,"&lt;="&amp;77234220999)</f>
        <v>0</v>
      </c>
      <c r="AJ17" s="62" t="n">
        <f aca="false">COUNTIFS(Данные!$B$2:$B$722,12,Данные!$C$2:$C$722,0,Данные!$A$2:$A$722,"&gt;="&amp;77234250000,Данные!$A$2:$A$722,"&lt;="&amp;77234250999)</f>
        <v>0</v>
      </c>
      <c r="AK17" s="62" t="n">
        <f aca="false">COUNTIFS(Данные!$B$2:$B$722,12,Данные!$C$2:$C$722,0,Данные!$A$2:$A$722,"&gt;="&amp;77233922950,Данные!$A$2:$A$722,"&lt;="&amp;77233924999)</f>
        <v>0</v>
      </c>
      <c r="AL17" s="62" t="n">
        <f aca="false">COUNTIFS(Данные!$B$2:$B$722,12,Данные!$C$2:$C$722,0,Данные!$A$2:$A$722,"&gt;="&amp;77234320000,Данные!$A$2:$A$722,"&lt;="&amp;77234320999)</f>
        <v>0</v>
      </c>
      <c r="AM17" s="62" t="n">
        <f aca="false">COUNTIFS(Данные!$B$2:$B$722,12,Данные!$C$2:$C$722,0,Данные!$A$2:$A$722,"&gt;="&amp;77234350000,Данные!$A$2:$A$722,"&lt;="&amp;77234350999)</f>
        <v>0</v>
      </c>
      <c r="AN17" s="62" t="n">
        <f aca="false">COUNTIFS(Данные!$B$2:$B$722,12,Данные!$C$2:$C$722,0,Данные!$A$2:$A$722,"&gt;="&amp;77234020000,Данные!$A$2:$A$722,"&lt;="&amp;77234020999)</f>
        <v>0</v>
      </c>
      <c r="AO17" s="62" t="n">
        <f aca="false">COUNTIFS(Данные!$B$2:$B$722,12,Данные!$C$2:$C$722,0,Данные!$A$2:$A$722,"&gt;="&amp;77234029000,Данные!$A$2:$A$722,"&lt;="&amp;77234029999)</f>
        <v>0</v>
      </c>
      <c r="AP17" s="62" t="n">
        <f aca="false">COUNTIFS(Данные!$B$2:$B$722,12,Данные!$C$2:$C$722,0,Данные!$A$2:$A$722,"&gt;="&amp;77234050000,Данные!$A$2:$A$722,"&lt;="&amp;77234050999)</f>
        <v>0</v>
      </c>
      <c r="AQ17" s="62" t="n">
        <f aca="false">COUNTIFS(Данные!$B$2:$B$722,12,Данные!$C$2:$C$722,0,Данные!$A$2:$A$722,"&gt;="&amp;77234427000,Данные!$A$2:$A$722,"&lt;="&amp;77234428999)</f>
        <v>0</v>
      </c>
      <c r="AR17" s="62" t="n">
        <f aca="false">COUNTIFS(Данные!$B$2:$B$722,12,Данные!$C$2:$C$722,0,Данные!$A$2:$A$722,"&gt;="&amp;77234450000,Данные!$A$2:$A$722,"&lt;="&amp;77234450999)</f>
        <v>0</v>
      </c>
      <c r="AS17" s="62" t="n">
        <f aca="false">COUNTIFS(Данные!$B$2:$B$722,12,Данные!$C$2:$C$722,0,Данные!$A$2:$A$722,"&gt;="&amp;77234620000,Данные!$A$2:$A$722,"&lt;="&amp;77234620999)</f>
        <v>0</v>
      </c>
      <c r="AT17" s="62" t="n">
        <f aca="false">COUNTIFS(Данные!$B$2:$B$722,12,Данные!$C$2:$C$722,0,Данные!$A$2:$A$722,"&gt;="&amp;77234650000,Данные!$A$2:$A$722,"&lt;="&amp;77234650999)</f>
        <v>0</v>
      </c>
      <c r="AU17" s="62" t="n">
        <f aca="false">COUNTIFS(Данные!$B$2:$B$722,12,Данные!$C$2:$C$722,0,Данные!$A$2:$A$722,"&gt;="&amp;77234820000,Данные!$A$2:$A$722,"&lt;="&amp;77234820999)</f>
        <v>0</v>
      </c>
      <c r="AV17" s="62" t="n">
        <f aca="false">COUNTIFS(Данные!$B$2:$B$722,12,Данные!$C$2:$C$722,0,Данные!$A$2:$A$722,"&gt;="&amp;77234850000,Данные!$A$2:$A$722,"&lt;="&amp;77234850999)</f>
        <v>0</v>
      </c>
      <c r="AW17" s="62" t="n">
        <f aca="false">COUNTIFS(Данные!$B$2:$B$722,12,Данные!$C$2:$C$722,0,Данные!$A$2:$A$722,"&gt;="&amp;77233327000,Данные!$A$2:$A$722,"&lt;="&amp;77233327999)</f>
        <v>0</v>
      </c>
      <c r="AX17" s="62" t="n">
        <f aca="false">COUNTIFS(Данные!$B$2:$B$722,12,Данные!$C$2:$C$722,0,Данные!$A$2:$A$722,"&gt;="&amp;77233350000,Данные!$A$2:$A$722,"&lt;="&amp;77233350599)</f>
        <v>0</v>
      </c>
      <c r="AY17" s="62" t="n">
        <f aca="false">COUNTIFS(Данные!$B$2:$B$722,12,Данные!$C$2:$C$722,0,Данные!$A$2:$A$722,"&gt;="&amp;77233351000,Данные!$A$2:$A$722,"&lt;="&amp;77233351999)</f>
        <v>0</v>
      </c>
      <c r="AZ17" s="62" t="n">
        <f aca="false">COUNTIFS(Данные!$B$2:$B$722,12,Данные!$C$2:$C$722,0,Данные!$A$2:$A$722,"&gt;="&amp;7722440000,Данные!$A$2:$A$722,"&lt;="&amp;7722440999)</f>
        <v>0</v>
      </c>
      <c r="BA17" s="63" t="n">
        <f aca="false">COUNTIFS(Данные!$B$2:$B$722,12,Данные!$C$2:$C$722,0,Данные!$A$2:$A$722,"&gt;="&amp;7722442000,Данные!$A$2:$A$722,"&lt;="&amp;7722445659)</f>
        <v>0</v>
      </c>
      <c r="BB17" s="63" t="n">
        <f aca="false">COUNTIFS(Данные!$B$2:$B$722,12,Данные!$C$2:$C$722,0,Данные!$A$2:$A$722,"&gt;="&amp;7722450000,Данные!$A$2:$A$722,"&lt;="&amp;7722450199)</f>
        <v>0</v>
      </c>
      <c r="BC17" s="63" t="n">
        <f aca="false">COUNTIFS(Данные!$B$2:$B$722,12,Данные!$C$2:$C$722,0,Данные!$A$2:$A$722,"&gt;="&amp;7722451000,Данные!$A$2:$A$722,"&lt;="&amp;7722451374)</f>
        <v>0</v>
      </c>
      <c r="BD17" s="63" t="n">
        <f aca="false">COUNTIFS(Данные!$B$2:$B$722,12,Данные!$C$2:$C$722,0,Данные!$A$2:$A$722,"&gt;="&amp;7722452000,Данные!$A$2:$A$722,"&lt;="&amp;7722452299)</f>
        <v>0</v>
      </c>
      <c r="BE17" s="63" t="n">
        <f aca="false">COUNTIFS(Данные!$B$2:$B$722,12,Данные!$C$2:$C$722,0,Данные!$A$2:$A$722,"&gt;="&amp;7722453000,Данные!$A$2:$A$722,"&lt;="&amp;7722453816)</f>
        <v>0</v>
      </c>
      <c r="BF17" s="63" t="n">
        <f aca="false">COUNTIFS(Данные!$B$2:$B$722,12,Данные!$C$2:$C$722,0,Данные!$A$2:$A$722,"&gt;="&amp;7722454000,Данные!$A$2:$A$722,"&lt;="&amp;7722454099)</f>
        <v>0</v>
      </c>
      <c r="BG17" s="63" t="n">
        <f aca="false">COUNTIFS(Данные!$B$2:$B$722,12,Данные!$C$2:$C$722,0,Данные!$A$2:$A$722,"&gt;="&amp;7722458000,Данные!$A$2:$A$722,"&lt;="&amp;7722458999)</f>
        <v>0</v>
      </c>
      <c r="BH17" s="63" t="n">
        <f aca="false">COUNTIFS(Данные!$B$2:$B$722,12,Данные!$C$2:$C$722,0,Данные!$A$2:$A$722,"&gt;="&amp;7722630000,Данные!$A$2:$A$722,"&lt;="&amp;7722638549)</f>
        <v>0</v>
      </c>
      <c r="BI17" s="63" t="n">
        <f aca="false">COUNTIFS(Данные!$B$2:$B$722,12,Данные!$C$2:$C$722,0,Данные!$A$2:$A$722,"&gt;="&amp;7722639400,Данные!$A$2:$A$722,"&lt;="&amp;7722639899)</f>
        <v>0</v>
      </c>
      <c r="BJ17" s="63" t="n">
        <f aca="false">COUNTIFS(Данные!$B$2:$B$722,12,Данные!$C$2:$C$722,0,Данные!$A$2:$A$722,"&gt;="&amp;7725750000,Данные!$A$2:$A$722,"&lt;="&amp;7725750399)</f>
        <v>0</v>
      </c>
      <c r="BK17" s="63" t="n">
        <f aca="false">COUNTIFS(Данные!$B$2:$B$722,12,Данные!$C$2:$C$722,0,Данные!$A$2:$A$722,"&gt;="&amp;7723620000,Данные!$A$2:$A$722,"&lt;="&amp;7723621299)</f>
        <v>0</v>
      </c>
      <c r="BL17" s="63" t="n">
        <f aca="false">COUNTIFS(Данные!$B$2:$B$722,12,Данные!$C$2:$C$722,0,Данные!$A$2:$A$722,"&gt;="&amp;7723621600,Данные!$A$2:$A$722,"&lt;="&amp;7723623399)</f>
        <v>0</v>
      </c>
      <c r="BM17" s="63" t="n">
        <f aca="false">COUNTIFS(Данные!$B$2:$B$722,12,Данные!$C$2:$C$722,0,Данные!$A$2:$A$722,"&gt;="&amp;7725127000,Данные!$A$2:$A$722,"&lt;="&amp;7725127999)</f>
        <v>0</v>
      </c>
      <c r="BN17" s="63" t="n">
        <f aca="false">COUNTIFS(Данные!$B$2:$B$722,12,Данные!$C$2:$C$722,0,Данные!$A$2:$A$722,"&gt;="&amp;7723772000,Данные!$A$2:$A$722,"&lt;="&amp;7723724999)</f>
        <v>0</v>
      </c>
      <c r="BO17" s="62" t="n">
        <f aca="false">COUNTIFS(Данные!$B$2:$B$722,12,Данные!$C$2:$C$722,0,Данные!$A$2:$A$722,"&gt;="&amp;7723765000,Данные!$A$2:$A$722,"&lt;="&amp;7723765499)</f>
        <v>0</v>
      </c>
      <c r="BP17" s="63" t="n">
        <f aca="false">COUNTIFS(Данные!$B$2:$B$722,12,Данные!$C$2:$C$722,0,Данные!$A$2:$A$722,"&gt;="&amp;7723948000,Данные!$A$2:$A$722,"&lt;="&amp;7723948999)</f>
        <v>0</v>
      </c>
      <c r="BQ17" s="63" t="n">
        <f aca="false">COUNTIFS(Данные!$B$2:$B$722,12,Данные!$C$2:$C$722,0,Данные!$A$2:$A$722,"&gt;="&amp;7723950000,Данные!$A$2:$A$722,"&lt;="&amp;7723951099)</f>
        <v>0</v>
      </c>
      <c r="BR17" s="63" t="n">
        <f aca="false">COUNTIFS(Данные!$B$2:$B$722,12,Данные!$C$2:$C$722,0,Данные!$A$2:$A$722,"&gt;="&amp;7723020000,Данные!$A$2:$A$722,"&lt;="&amp;7723020999)</f>
        <v>0</v>
      </c>
      <c r="BS17" s="63" t="n">
        <f aca="false">COUNTIFS(Данные!$B$2:$B$722,12,Данные!$C$2:$C$722,0,Данные!$A$2:$A$722,"&gt;="&amp;7723029000,Данные!$A$2:$A$722,"&lt;="&amp;7723029999)</f>
        <v>0</v>
      </c>
      <c r="BT17" s="63" t="n">
        <f aca="false">COUNTIFS(Данные!$B$2:$B$722,12,Данные!$C$2:$C$722,0,Данные!$A$2:$A$722,"&gt;="&amp;7723055000,Данные!$A$2:$A$722,"&lt;="&amp;7723056549)</f>
        <v>0</v>
      </c>
      <c r="BU17" s="62" t="n">
        <f aca="false">COUNTIFS(Данные!$B$2:$B$722,12,Данные!$C$2:$C$722,0,Данные!$A$2:$A$722,"&gt;="&amp;7725250000,Данные!$A$2:$A$722,"&lt;="&amp;7725250499)</f>
        <v>0</v>
      </c>
      <c r="BV17" s="63" t="n">
        <f aca="false">COUNTIFS(Данные!$B$2:$B$722,12,Данные!$C$2:$C$722,0,Данные!$A$2:$A$722,"&gt;="&amp;7183841400,Данные!$A$2:$A$722,"&lt;="&amp;7183841499)</f>
        <v>0</v>
      </c>
      <c r="BW17" s="40" t="n">
        <v>300</v>
      </c>
      <c r="BX17" s="64" t="n">
        <f aca="false">F17-BW17</f>
        <v>-300</v>
      </c>
    </row>
    <row r="18" s="15" customFormat="true" ht="12" hidden="false" customHeight="true" outlineLevel="0" collapsed="false">
      <c r="A18" s="38"/>
      <c r="B18" s="39"/>
      <c r="C18" s="41" t="n">
        <v>1</v>
      </c>
      <c r="D18" s="41" t="n">
        <v>121</v>
      </c>
      <c r="E18" s="42"/>
      <c r="F18" s="62" t="n">
        <f aca="false">COUNTIFS(Данные!$B$2:$B$722,12,Данные!$C$2:$C$722,1)</f>
        <v>0</v>
      </c>
      <c r="G18" s="62" t="n">
        <f aca="false">COUNTIFS(Данные!$B$2:$B$722,12,Данные!$C$2:$C$722,1,Данные!$A$2:$A$722,"&gt;="&amp;77232210840,Данные!$A$2:$A$722,"&lt;="&amp;77232216999)</f>
        <v>0</v>
      </c>
      <c r="H18" s="62" t="n">
        <f aca="false">COUNTIFS(Данные!$B$2:$B$722,12,Данные!$C$2:$C$722,1,Данные!$A$2:$A$722,"&gt;="&amp;77232510512,Данные!$A$2:$A$722,"&lt;="&amp;77232519487)</f>
        <v>0</v>
      </c>
      <c r="I18" s="62" t="n">
        <f aca="false">COUNTIFS(Данные!$B$2:$B$722,12,Данные!$C$2:$C$722,1,Данные!$A$2:$A$722,"&gt;="&amp;77232524160,Данные!$A$2:$A$722,"&lt;="&amp;77232529999)</f>
        <v>0</v>
      </c>
      <c r="J18" s="62" t="n">
        <f aca="false">COUNTIFS(Данные!$B$2:$B$722,12,Данные!$C$2:$C$722,1,Данные!$A$2:$A$722,"&gt;="&amp;77232544000,Данные!$A$2:$A$722,"&lt;="&amp;77232544999)</f>
        <v>0</v>
      </c>
      <c r="K18" s="62" t="n">
        <f aca="false">COUNTIFS(Данные!$B$2:$B$722,12,Данные!$C$2:$C$722,1,Данные!$A$2:$A$722,"&gt;="&amp;77232295504,Данные!$A$2:$A$722,"&lt;="&amp;77232296999)</f>
        <v>0</v>
      </c>
      <c r="L18" s="62" t="n">
        <f aca="false">COUNTIFS(Данные!$B$2:$B$722,12,Данные!$C$2:$C$722,1,Данные!$A$2:$A$722,"&gt;="&amp;77232785000,Данные!$A$2:$A$722,"&lt;="&amp;77232789999)</f>
        <v>0</v>
      </c>
      <c r="M18" s="62" t="n">
        <f aca="false">COUNTIFS(Данные!$B$2:$B$722,12,Данные!$C$2:$C$722,1,Данные!$A$2:$A$722,"&gt;="&amp;77233150000,Данные!$A$2:$A$722,"&lt;="&amp;77233155999)</f>
        <v>0</v>
      </c>
      <c r="N18" s="62" t="n">
        <f aca="false">COUNTIFS(Данные!$B$2:$B$722,12,Данные!$C$2:$C$722,1,Данные!$A$2:$A$722,"&gt;="&amp;77233235000,Данные!$A$2:$A$722,"&lt;="&amp;77233235999)</f>
        <v>0</v>
      </c>
      <c r="O18" s="62" t="n">
        <f aca="false">COUNTIFS(Данные!$B$2:$B$722,12,Данные!$C$2:$C$722,1,Данные!$A$2:$A$722,"&gt;="&amp;77233239000,Данные!$A$2:$A$722,"&lt;="&amp;77233239999)</f>
        <v>0</v>
      </c>
      <c r="P18" s="62" t="n">
        <f aca="false">COUNTIFS(Данные!$B$2:$B$722,12,Данные!$C$2:$C$722,1,Данные!$A$2:$A$722,"&gt;="&amp;77233272000,Данные!$A$2:$A$722,"&lt;="&amp;77233272999)</f>
        <v>0</v>
      </c>
      <c r="Q18" s="62" t="n">
        <f aca="false">COUNTIFS(Данные!$B$2:$B$722,12,Данные!$C$2:$C$722,1,Данные!$A$2:$A$722,"&gt;="&amp;77233291100,Данные!$A$2:$A$722,"&lt;="&amp;77233292999)</f>
        <v>0</v>
      </c>
      <c r="R18" s="62" t="n">
        <f aca="false">COUNTIFS(Данные!$B$2:$B$722,12,Данные!$C$2:$C$722,1,Данные!$A$2:$A$722,"&gt;="&amp;77233297000,Данные!$A$2:$A$722,"&lt;="&amp;77233298399)</f>
        <v>0</v>
      </c>
      <c r="S18" s="62" t="n">
        <f aca="false">COUNTIFS(Данные!$B$2:$B$722,12,Данные!$C$2:$C$722,1,Данные!$A$2:$A$722,"&gt;="&amp;77235124000,Данные!$A$2:$A$722,"&lt;="&amp;77235128499)</f>
        <v>0</v>
      </c>
      <c r="T18" s="62" t="n">
        <f aca="false">COUNTIFS(Данные!$B$2:$B$722,12,Данные!$C$2:$C$722,1,Данные!$A$2:$A$722,"&gt;="&amp;77235320000,Данные!$A$2:$A$722,"&lt;="&amp;77235320999)</f>
        <v>0</v>
      </c>
      <c r="U18" s="62" t="n">
        <f aca="false">COUNTIFS(Данные!$B$2:$B$722,12,Данные!$C$2:$C$722,1,Данные!$A$2:$A$722,"&gt;="&amp;77233620000,Данные!$A$2:$A$722,"&lt;="&amp;77233623339)</f>
        <v>0</v>
      </c>
      <c r="V18" s="62" t="n">
        <f aca="false">COUNTIFS(Данные!$B$2:$B$722,12,Данные!$C$2:$C$722,1,Данные!$A$2:$A$722,"&gt;="&amp;77233630000,Данные!$A$2:$A$722,"&lt;="&amp;77233630999)</f>
        <v>0</v>
      </c>
      <c r="W18" s="62" t="n">
        <f aca="false">COUNTIFS(Данные!$B$2:$B$722,12,Данные!$C$2:$C$722,1,Данные!$A$2:$A$722,"&gt;="&amp;77233637000,Данные!$A$2:$A$722,"&lt;="&amp;77233637599)</f>
        <v>0</v>
      </c>
      <c r="X18" s="62" t="n">
        <f aca="false">COUNTIFS(Данные!$B$2:$B$722,12,Данные!$C$2:$C$722,1,Данные!$A$2:$A$722,"&gt;="&amp;77233550000,Данные!$A$2:$A$722,"&lt;="&amp;77233550999)</f>
        <v>0</v>
      </c>
      <c r="Y18" s="62" t="n">
        <f aca="false">COUNTIFS(Данные!$B$2:$B$722,12,Данные!$C$2:$C$722,1,Данные!$A$2:$A$722,"&gt;="&amp;77233554000,Данные!$A$2:$A$722,"&lt;="&amp;77233554999)</f>
        <v>0</v>
      </c>
      <c r="Z18" s="62" t="n">
        <f aca="false">COUNTIFS(Данные!$B$2:$B$722,12,Данные!$C$2:$C$722,1,Данные!$A$2:$A$722,"&gt;="&amp;77233555000,Данные!$A$2:$A$722,"&lt;="&amp;77233556999)</f>
        <v>0</v>
      </c>
      <c r="AA18" s="62" t="n">
        <f aca="false">COUNTIFS(Данные!$B$2:$B$722,12,Данные!$C$2:$C$722,1,Данные!$A$2:$A$722,"&gt;="&amp;77233726000,Данные!$A$2:$A$722,"&lt;="&amp;77233726999)</f>
        <v>0</v>
      </c>
      <c r="AB18" s="62" t="n">
        <f aca="false">COUNTIFS(Данные!$B$2:$B$722,12,Данные!$C$2:$C$722,1,Данные!$A$2:$A$722,"&gt;="&amp;77233820000,Данные!$A$2:$A$722,"&lt;="&amp;77233820999)</f>
        <v>0</v>
      </c>
      <c r="AC18" s="62" t="n">
        <f aca="false">COUNTIFS(Данные!$B$2:$B$722,12,Данные!$C$2:$C$722,1,Данные!$A$2:$A$722,"&gt;="&amp;77233850000,Данные!$A$2:$A$722,"&lt;="&amp;77233850999)</f>
        <v>0</v>
      </c>
      <c r="AD18" s="62" t="n">
        <f aca="false">COUNTIFS(Данные!$B$2:$B$722,12,Данные!$C$2:$C$722,1,Данные!$A$2:$A$722,"&gt;="&amp;77233420000,Данные!$A$2:$A$722,"&lt;="&amp;77233420999)</f>
        <v>0</v>
      </c>
      <c r="AE18" s="62" t="n">
        <f aca="false">COUNTIFS(Данные!$B$2:$B$722,12,Данные!$C$2:$C$722,1,Данные!$A$2:$A$722,"&gt;="&amp;77234740000,Данные!$A$2:$A$722,"&lt;="&amp;77234742999)</f>
        <v>0</v>
      </c>
      <c r="AF18" s="62" t="n">
        <f aca="false">COUNTIFS(Данные!$B$2:$B$722,12,Данные!$C$2:$C$722,1,Данные!$A$2:$A$722,"&gt;="&amp;77234767000,Данные!$A$2:$A$722,"&lt;="&amp;77234767999)</f>
        <v>0</v>
      </c>
      <c r="AG18" s="62" t="n">
        <f aca="false">COUNTIFS(Данные!$B$2:$B$722,12,Данные!$C$2:$C$722,1,Данные!$A$2:$A$722,"&gt;="&amp;77234120000,Данные!$A$2:$A$722,"&lt;="&amp;77234120999)</f>
        <v>0</v>
      </c>
      <c r="AH18" s="62" t="n">
        <f aca="false">COUNTIFS(Данные!$B$2:$B$722,12,Данные!$C$2:$C$722,1,Данные!$A$2:$A$722,"&gt;="&amp;77234127000,Данные!$A$2:$A$722,"&lt;="&amp;77234127999)</f>
        <v>0</v>
      </c>
      <c r="AI18" s="62" t="n">
        <f aca="false">COUNTIFS(Данные!$B$2:$B$722,12,Данные!$C$2:$C$722,1,Данные!$A$2:$A$722,"&gt;="&amp;77234220000,Данные!$A$2:$A$722,"&lt;="&amp;77234220999)</f>
        <v>0</v>
      </c>
      <c r="AJ18" s="62" t="n">
        <f aca="false">COUNTIFS(Данные!$B$2:$B$722,12,Данные!$C$2:$C$722,1,Данные!$A$2:$A$722,"&gt;="&amp;77234250000,Данные!$A$2:$A$722,"&lt;="&amp;77234250999)</f>
        <v>0</v>
      </c>
      <c r="AK18" s="62" t="n">
        <f aca="false">COUNTIFS(Данные!$B$2:$B$722,12,Данные!$C$2:$C$722,1,Данные!$A$2:$A$722,"&gt;="&amp;77233922950,Данные!$A$2:$A$722,"&lt;="&amp;77233924999)</f>
        <v>0</v>
      </c>
      <c r="AL18" s="62" t="n">
        <f aca="false">COUNTIFS(Данные!$B$2:$B$722,12,Данные!$C$2:$C$722,1,Данные!$A$2:$A$722,"&gt;="&amp;77234320000,Данные!$A$2:$A$722,"&lt;="&amp;77234320999)</f>
        <v>0</v>
      </c>
      <c r="AM18" s="62" t="n">
        <f aca="false">COUNTIFS(Данные!$B$2:$B$722,12,Данные!$C$2:$C$722,1,Данные!$A$2:$A$722,"&gt;="&amp;77234350000,Данные!$A$2:$A$722,"&lt;="&amp;77234350999)</f>
        <v>0</v>
      </c>
      <c r="AN18" s="62" t="n">
        <f aca="false">COUNTIFS(Данные!$B$2:$B$722,12,Данные!$C$2:$C$722,1,Данные!$A$2:$A$722,"&gt;="&amp;77234020000,Данные!$A$2:$A$722,"&lt;="&amp;77234020999)</f>
        <v>0</v>
      </c>
      <c r="AO18" s="62" t="n">
        <f aca="false">COUNTIFS(Данные!$B$2:$B$722,12,Данные!$C$2:$C$722,1,Данные!$A$2:$A$722,"&gt;="&amp;77234029000,Данные!$A$2:$A$722,"&lt;="&amp;77234029999)</f>
        <v>0</v>
      </c>
      <c r="AP18" s="62" t="n">
        <f aca="false">COUNTIFS(Данные!$B$2:$B$722,12,Данные!$C$2:$C$722,1,Данные!$A$2:$A$722,"&gt;="&amp;77234050000,Данные!$A$2:$A$722,"&lt;="&amp;77234050999)</f>
        <v>0</v>
      </c>
      <c r="AQ18" s="62" t="n">
        <f aca="false">COUNTIFS(Данные!$B$2:$B$722,12,Данные!$C$2:$C$722,1,Данные!$A$2:$A$722,"&gt;="&amp;77234427000,Данные!$A$2:$A$722,"&lt;="&amp;77234428999)</f>
        <v>0</v>
      </c>
      <c r="AR18" s="62" t="n">
        <f aca="false">COUNTIFS(Данные!$B$2:$B$722,12,Данные!$C$2:$C$722,1,Данные!$A$2:$A$722,"&gt;="&amp;77234450000,Данные!$A$2:$A$722,"&lt;="&amp;77234450999)</f>
        <v>0</v>
      </c>
      <c r="AS18" s="62" t="n">
        <f aca="false">COUNTIFS(Данные!$B$2:$B$722,12,Данные!$C$2:$C$722,1,Данные!$A$2:$A$722,"&gt;="&amp;77234620000,Данные!$A$2:$A$722,"&lt;="&amp;77234620999)</f>
        <v>0</v>
      </c>
      <c r="AT18" s="62" t="n">
        <f aca="false">COUNTIFS(Данные!$B$2:$B$722,12,Данные!$C$2:$C$722,1,Данные!$A$2:$A$722,"&gt;="&amp;77234650000,Данные!$A$2:$A$722,"&lt;="&amp;77234650999)</f>
        <v>0</v>
      </c>
      <c r="AU18" s="62" t="n">
        <f aca="false">COUNTIFS(Данные!$B$2:$B$722,12,Данные!$C$2:$C$722,1,Данные!$A$2:$A$722,"&gt;="&amp;77234820000,Данные!$A$2:$A$722,"&lt;="&amp;77234820999)</f>
        <v>0</v>
      </c>
      <c r="AV18" s="62" t="n">
        <f aca="false">COUNTIFS(Данные!$B$2:$B$722,12,Данные!$C$2:$C$722,1,Данные!$A$2:$A$722,"&gt;="&amp;77234850000,Данные!$A$2:$A$722,"&lt;="&amp;77234850999)</f>
        <v>0</v>
      </c>
      <c r="AW18" s="62" t="n">
        <f aca="false">COUNTIFS(Данные!$B$2:$B$722,12,Данные!$C$2:$C$722,1,Данные!$A$2:$A$722,"&gt;="&amp;77233327000,Данные!$A$2:$A$722,"&lt;="&amp;77233327999)</f>
        <v>0</v>
      </c>
      <c r="AX18" s="62" t="n">
        <f aca="false">COUNTIFS(Данные!$B$2:$B$722,12,Данные!$C$2:$C$722,1,Данные!$A$2:$A$722,"&gt;="&amp;77233350000,Данные!$A$2:$A$722,"&lt;="&amp;77233350599)</f>
        <v>0</v>
      </c>
      <c r="AY18" s="62" t="n">
        <f aca="false">COUNTIFS(Данные!$B$2:$B$722,12,Данные!$C$2:$C$722,1,Данные!$A$2:$A$722,"&gt;="&amp;77233351000,Данные!$A$2:$A$722,"&lt;="&amp;77233351999)</f>
        <v>0</v>
      </c>
      <c r="AZ18" s="63" t="n">
        <f aca="false">COUNTIFS(Данные!$B$2:$B$722,12,Данные!$C$2:$C$722,1,Данные!$A$2:$A$722,"&gt;="&amp;7722440000,Данные!$A$2:$A$722,"&lt;="&amp;7722440999)</f>
        <v>0</v>
      </c>
      <c r="BA18" s="63" t="n">
        <f aca="false">COUNTIFS(Данные!$B$2:$B$722,12,Данные!$C$2:$C$722,1,Данные!$A$2:$A$722,"&gt;="&amp;7722442000,Данные!$A$2:$A$722,"&lt;="&amp;7722445659)</f>
        <v>0</v>
      </c>
      <c r="BB18" s="63" t="n">
        <f aca="false">COUNTIFS(Данные!$B$2:$B$722,12,Данные!$C$2:$C$722,1,Данные!$A$2:$A$722,"&gt;="&amp;7722450000,Данные!$A$2:$A$722,"&lt;="&amp;7722450199)</f>
        <v>0</v>
      </c>
      <c r="BC18" s="63" t="n">
        <f aca="false">COUNTIFS(Данные!$B$2:$B$722,12,Данные!$C$2:$C$722,1,Данные!$A$2:$A$722,"&gt;="&amp;7722451000,Данные!$A$2:$A$722,"&lt;="&amp;7722451374)</f>
        <v>0</v>
      </c>
      <c r="BD18" s="63" t="n">
        <f aca="false">COUNTIFS(Данные!$B$2:$B$722,12,Данные!$C$2:$C$722,1,Данные!$A$2:$A$722,"&gt;="&amp;7722452000,Данные!$A$2:$A$722,"&lt;="&amp;7722452299)</f>
        <v>0</v>
      </c>
      <c r="BE18" s="63" t="n">
        <f aca="false">COUNTIFS(Данные!$B$2:$B$722,12,Данные!$C$2:$C$722,1,Данные!$A$2:$A$722,"&gt;="&amp;7722453000,Данные!$A$2:$A$722,"&lt;="&amp;7722453816)</f>
        <v>0</v>
      </c>
      <c r="BF18" s="63" t="n">
        <f aca="false">COUNTIFS(Данные!$B$2:$B$722,12,Данные!$C$2:$C$722,1,Данные!$A$2:$A$722,"&gt;="&amp;7722454000,Данные!$A$2:$A$722,"&lt;="&amp;7722454099)</f>
        <v>0</v>
      </c>
      <c r="BG18" s="63" t="n">
        <f aca="false">COUNTIFS(Данные!$B$2:$B$722,12,Данные!$C$2:$C$722,1,Данные!$A$2:$A$722,"&gt;="&amp;7722458000,Данные!$A$2:$A$722,"&lt;="&amp;7722458999)</f>
        <v>0</v>
      </c>
      <c r="BH18" s="63" t="n">
        <f aca="false">COUNTIFS(Данные!$B$2:$B$722,12,Данные!$C$2:$C$722,1,Данные!$A$2:$A$722,"&gt;="&amp;7722630000,Данные!$A$2:$A$722,"&lt;="&amp;7722638549)</f>
        <v>0</v>
      </c>
      <c r="BI18" s="63" t="n">
        <f aca="false">COUNTIFS(Данные!$B$2:$B$722,12,Данные!$C$2:$C$722,1,Данные!$A$2:$A$722,"&gt;="&amp;7722639400,Данные!$A$2:$A$722,"&lt;="&amp;7722639899)</f>
        <v>0</v>
      </c>
      <c r="BJ18" s="63" t="n">
        <f aca="false">COUNTIFS(Данные!$B$2:$B$722,12,Данные!$C$2:$C$722,1,Данные!$A$2:$A$722,"&gt;="&amp;7725750000,Данные!$A$2:$A$722,"&lt;="&amp;7725750399)</f>
        <v>0</v>
      </c>
      <c r="BK18" s="63" t="n">
        <f aca="false">COUNTIFS(Данные!$B$2:$B$722,12,Данные!$C$2:$C$722,1,Данные!$A$2:$A$722,"&gt;="&amp;7723620000,Данные!$A$2:$A$722,"&lt;="&amp;7723621299)</f>
        <v>0</v>
      </c>
      <c r="BL18" s="63" t="n">
        <f aca="false">COUNTIFS(Данные!$B$2:$B$722,12,Данные!$C$2:$C$722,1,Данные!$A$2:$A$722,"&gt;="&amp;7723621600,Данные!$A$2:$A$722,"&lt;="&amp;7723623399)</f>
        <v>0</v>
      </c>
      <c r="BM18" s="63" t="n">
        <f aca="false">COUNTIFS(Данные!$B$2:$B$722,12,Данные!$C$2:$C$722,1,Данные!$A$2:$A$722,"&gt;="&amp;7725127000,Данные!$A$2:$A$722,"&lt;="&amp;7725127999)</f>
        <v>0</v>
      </c>
      <c r="BN18" s="63" t="n">
        <f aca="false">COUNTIFS(Данные!$B$2:$B$722,12,Данные!$C$2:$C$722,1,Данные!$A$2:$A$722,"&gt;="&amp;7723772000,Данные!$A$2:$A$722,"&lt;="&amp;7723724999)</f>
        <v>0</v>
      </c>
      <c r="BO18" s="62" t="n">
        <f aca="false">COUNTIFS(Данные!$B$2:$B$722,12,Данные!$C$2:$C$722,1,Данные!$A$2:$A$722,"&gt;="&amp;7723765000,Данные!$A$2:$A$722,"&lt;="&amp;7723765499)</f>
        <v>0</v>
      </c>
      <c r="BP18" s="63" t="n">
        <f aca="false">COUNTIFS(Данные!$B$2:$B$722,12,Данные!$C$2:$C$722,1,Данные!$A$2:$A$722,"&gt;="&amp;7723948000,Данные!$A$2:$A$722,"&lt;="&amp;7723948999)</f>
        <v>0</v>
      </c>
      <c r="BQ18" s="63" t="n">
        <f aca="false">COUNTIFS(Данные!$B$2:$B$722,12,Данные!$C$2:$C$722,1,Данные!$A$2:$A$722,"&gt;="&amp;7723950000,Данные!$A$2:$A$722,"&lt;="&amp;7723951099)</f>
        <v>0</v>
      </c>
      <c r="BR18" s="63" t="n">
        <f aca="false">COUNTIFS(Данные!$B$2:$B$722,12,Данные!$C$2:$C$722,1,Данные!$A$2:$A$722,"&gt;="&amp;7723020000,Данные!$A$2:$A$722,"&lt;="&amp;7723020999)</f>
        <v>0</v>
      </c>
      <c r="BS18" s="63" t="n">
        <f aca="false">COUNTIFS(Данные!$B$2:$B$722,12,Данные!$C$2:$C$722,1,Данные!$A$2:$A$722,"&gt;="&amp;7723029000,Данные!$A$2:$A$722,"&lt;="&amp;7723029999)</f>
        <v>0</v>
      </c>
      <c r="BT18" s="63" t="n">
        <f aca="false">COUNTIFS(Данные!$B$2:$B$722,12,Данные!$C$2:$C$722,1,Данные!$A$2:$A$722,"&gt;="&amp;7723055000,Данные!$A$2:$A$722,"&lt;="&amp;7723056549)</f>
        <v>0</v>
      </c>
      <c r="BU18" s="62" t="n">
        <f aca="false">COUNTIFS(Данные!$B$2:$B$722,12,Данные!$C$2:$C$722,1,Данные!$A$2:$A$722,"&gt;="&amp;7725250000,Данные!$A$2:$A$722,"&lt;="&amp;7725250499)</f>
        <v>0</v>
      </c>
      <c r="BV18" s="63" t="n">
        <f aca="false">COUNTIFS(Данные!$B$2:$B$722,12,Данные!$C$2:$C$722,1,Данные!$A$2:$A$722,"&gt;="&amp;7183841400,Данные!$A$2:$A$722,"&lt;="&amp;7183841499)</f>
        <v>0</v>
      </c>
      <c r="BW18" s="40" t="n">
        <v>300</v>
      </c>
      <c r="BX18" s="64" t="n">
        <f aca="false">F18-BW18</f>
        <v>-300</v>
      </c>
    </row>
    <row r="19" s="15" customFormat="true" ht="12" hidden="false" customHeight="true" outlineLevel="0" collapsed="false">
      <c r="A19" s="38"/>
      <c r="B19" s="39"/>
      <c r="C19" s="41" t="n">
        <v>2</v>
      </c>
      <c r="D19" s="41" t="n">
        <v>122</v>
      </c>
      <c r="E19" s="42"/>
      <c r="F19" s="62" t="n">
        <f aca="false">COUNTIFS(Данные!$B$2:$B$722,12,Данные!$C$2:$C$722,2)</f>
        <v>0</v>
      </c>
      <c r="G19" s="62" t="n">
        <f aca="false">COUNTIFS(Данные!$B$2:$B$722,12,Данные!$C$2:$C$722,2,Данные!$A$2:$A$722,"&gt;="&amp;77232210840,Данные!$A$2:$A$722,"&lt;="&amp;77232216999)</f>
        <v>0</v>
      </c>
      <c r="H19" s="62" t="n">
        <f aca="false">COUNTIFS(Данные!$B$2:$B$722,12,Данные!$C$2:$C$722,2,Данные!$A$2:$A$722,"&gt;="&amp;77232510512,Данные!$A$2:$A$722,"&lt;="&amp;77232519487)</f>
        <v>0</v>
      </c>
      <c r="I19" s="62" t="n">
        <f aca="false">COUNTIFS(Данные!$B$2:$B$722,12,Данные!$C$2:$C$722,2,Данные!$A$2:$A$722,"&gt;="&amp;77232524160,Данные!$A$2:$A$722,"&lt;="&amp;77232529999)</f>
        <v>0</v>
      </c>
      <c r="J19" s="62" t="n">
        <f aca="false">COUNTIFS(Данные!$B$2:$B$722,12,Данные!$C$2:$C$722,2,Данные!$A$2:$A$722,"&gt;="&amp;77232544000,Данные!$A$2:$A$722,"&lt;="&amp;77232544999)</f>
        <v>0</v>
      </c>
      <c r="K19" s="62" t="n">
        <f aca="false">COUNTIFS(Данные!$B$2:$B$722,12,Данные!$C$2:$C$722,2,Данные!$A$2:$A$722,"&gt;="&amp;77232295504,Данные!$A$2:$A$722,"&lt;="&amp;77232296999)</f>
        <v>0</v>
      </c>
      <c r="L19" s="62" t="n">
        <f aca="false">COUNTIFS(Данные!$B$2:$B$722,12,Данные!$C$2:$C$722,2,Данные!$A$2:$A$722,"&gt;="&amp;77232785000,Данные!$A$2:$A$722,"&lt;="&amp;77232789999)</f>
        <v>0</v>
      </c>
      <c r="M19" s="62" t="n">
        <f aca="false">COUNTIFS(Данные!$B$2:$B$722,12,Данные!$C$2:$C$722,2,Данные!$A$2:$A$722,"&gt;="&amp;77233150000,Данные!$A$2:$A$722,"&lt;="&amp;77233155999)</f>
        <v>0</v>
      </c>
      <c r="N19" s="62" t="n">
        <f aca="false">COUNTIFS(Данные!$B$2:$B$722,12,Данные!$C$2:$C$722,2,Данные!$A$2:$A$722,"&gt;="&amp;77233235000,Данные!$A$2:$A$722,"&lt;="&amp;77233235999)</f>
        <v>0</v>
      </c>
      <c r="O19" s="62" t="n">
        <f aca="false">COUNTIFS(Данные!$B$2:$B$722,12,Данные!$C$2:$C$722,2,Данные!$A$2:$A$722,"&gt;="&amp;77233239000,Данные!$A$2:$A$722,"&lt;="&amp;77233239999)</f>
        <v>0</v>
      </c>
      <c r="P19" s="62" t="n">
        <f aca="false">COUNTIFS(Данные!$B$2:$B$722,12,Данные!$C$2:$C$722,2,Данные!$A$2:$A$722,"&gt;="&amp;77233272000,Данные!$A$2:$A$722,"&lt;="&amp;77233272999)</f>
        <v>0</v>
      </c>
      <c r="Q19" s="62" t="n">
        <f aca="false">COUNTIFS(Данные!$B$2:$B$722,12,Данные!$C$2:$C$722,2,Данные!$A$2:$A$722,"&gt;="&amp;77233291100,Данные!$A$2:$A$722,"&lt;="&amp;77233292999)</f>
        <v>0</v>
      </c>
      <c r="R19" s="62" t="n">
        <f aca="false">COUNTIFS(Данные!$B$2:$B$722,12,Данные!$C$2:$C$722,2,Данные!$A$2:$A$722,"&gt;="&amp;77233297000,Данные!$A$2:$A$722,"&lt;="&amp;77233298399)</f>
        <v>0</v>
      </c>
      <c r="S19" s="62" t="n">
        <f aca="false">COUNTIFS(Данные!$B$2:$B$722,12,Данные!$C$2:$C$722,2,Данные!$A$2:$A$722,"&gt;="&amp;77235124000,Данные!$A$2:$A$722,"&lt;="&amp;77235128499)</f>
        <v>0</v>
      </c>
      <c r="T19" s="62" t="n">
        <f aca="false">COUNTIFS(Данные!$B$2:$B$722,12,Данные!$C$2:$C$722,2,Данные!$A$2:$A$722,"&gt;="&amp;77235320000,Данные!$A$2:$A$722,"&lt;="&amp;77235320999)</f>
        <v>0</v>
      </c>
      <c r="U19" s="62" t="n">
        <f aca="false">COUNTIFS(Данные!$B$2:$B$722,12,Данные!$C$2:$C$722,2,Данные!$A$2:$A$722,"&gt;="&amp;77233620000,Данные!$A$2:$A$722,"&lt;="&amp;77233623339)</f>
        <v>0</v>
      </c>
      <c r="V19" s="62" t="n">
        <f aca="false">COUNTIFS(Данные!$B$2:$B$722,12,Данные!$C$2:$C$722,2,Данные!$A$2:$A$722,"&gt;="&amp;77233630000,Данные!$A$2:$A$722,"&lt;="&amp;77233630999)</f>
        <v>0</v>
      </c>
      <c r="W19" s="62" t="n">
        <f aca="false">COUNTIFS(Данные!$B$2:$B$722,12,Данные!$C$2:$C$722,2,Данные!$A$2:$A$722,"&gt;="&amp;77233637000,Данные!$A$2:$A$722,"&lt;="&amp;77233637599)</f>
        <v>0</v>
      </c>
      <c r="X19" s="62" t="n">
        <f aca="false">COUNTIFS(Данные!$B$2:$B$722,12,Данные!$C$2:$C$722,2,Данные!$A$2:$A$722,"&gt;="&amp;77233550000,Данные!$A$2:$A$722,"&lt;="&amp;77233550999)</f>
        <v>0</v>
      </c>
      <c r="Y19" s="62" t="n">
        <f aca="false">COUNTIFS(Данные!$B$2:$B$722,12,Данные!$C$2:$C$722,2,Данные!$A$2:$A$722,"&gt;="&amp;77233554000,Данные!$A$2:$A$722,"&lt;="&amp;77233554999)</f>
        <v>0</v>
      </c>
      <c r="Z19" s="62" t="n">
        <f aca="false">COUNTIFS(Данные!$B$2:$B$722,12,Данные!$C$2:$C$722,2,Данные!$A$2:$A$722,"&gt;="&amp;77233555000,Данные!$A$2:$A$722,"&lt;="&amp;77233556999)</f>
        <v>0</v>
      </c>
      <c r="AA19" s="62" t="n">
        <f aca="false">COUNTIFS(Данные!$B$2:$B$722,12,Данные!$C$2:$C$722,2,Данные!$A$2:$A$722,"&gt;="&amp;77233726000,Данные!$A$2:$A$722,"&lt;="&amp;77233726999)</f>
        <v>0</v>
      </c>
      <c r="AB19" s="62" t="n">
        <f aca="false">COUNTIFS(Данные!$B$2:$B$722,12,Данные!$C$2:$C$722,2,Данные!$A$2:$A$722,"&gt;="&amp;77233820000,Данные!$A$2:$A$722,"&lt;="&amp;77233820999)</f>
        <v>0</v>
      </c>
      <c r="AC19" s="62" t="n">
        <f aca="false">COUNTIFS(Данные!$B$2:$B$722,12,Данные!$C$2:$C$722,2,Данные!$A$2:$A$722,"&gt;="&amp;77233850000,Данные!$A$2:$A$722,"&lt;="&amp;77233850999)</f>
        <v>0</v>
      </c>
      <c r="AD19" s="62" t="n">
        <f aca="false">COUNTIFS(Данные!$B$2:$B$722,12,Данные!$C$2:$C$722,2,Данные!$A$2:$A$722,"&gt;="&amp;77233420000,Данные!$A$2:$A$722,"&lt;="&amp;77233420999)</f>
        <v>0</v>
      </c>
      <c r="AE19" s="62" t="n">
        <f aca="false">COUNTIFS(Данные!$B$2:$B$722,12,Данные!$C$2:$C$722,2,Данные!$A$2:$A$722,"&gt;="&amp;77234740000,Данные!$A$2:$A$722,"&lt;="&amp;77234742999)</f>
        <v>0</v>
      </c>
      <c r="AF19" s="62" t="n">
        <f aca="false">COUNTIFS(Данные!$B$2:$B$722,12,Данные!$C$2:$C$722,2,Данные!$A$2:$A$722,"&gt;="&amp;77234767000,Данные!$A$2:$A$722,"&lt;="&amp;77234767999)</f>
        <v>0</v>
      </c>
      <c r="AG19" s="62" t="n">
        <f aca="false">COUNTIFS(Данные!$B$2:$B$722,12,Данные!$C$2:$C$722,2,Данные!$A$2:$A$722,"&gt;="&amp;77234120000,Данные!$A$2:$A$722,"&lt;="&amp;77234120999)</f>
        <v>0</v>
      </c>
      <c r="AH19" s="62" t="n">
        <f aca="false">COUNTIFS(Данные!$B$2:$B$722,12,Данные!$C$2:$C$722,2,Данные!$A$2:$A$722,"&gt;="&amp;77234127000,Данные!$A$2:$A$722,"&lt;="&amp;77234127999)</f>
        <v>0</v>
      </c>
      <c r="AI19" s="62" t="n">
        <f aca="false">COUNTIFS(Данные!$B$2:$B$722,12,Данные!$C$2:$C$722,2,Данные!$A$2:$A$722,"&gt;="&amp;77234220000,Данные!$A$2:$A$722,"&lt;="&amp;77234220999)</f>
        <v>0</v>
      </c>
      <c r="AJ19" s="62" t="n">
        <f aca="false">COUNTIFS(Данные!$B$2:$B$722,12,Данные!$C$2:$C$722,2,Данные!$A$2:$A$722,"&gt;="&amp;77234250000,Данные!$A$2:$A$722,"&lt;="&amp;77234250999)</f>
        <v>0</v>
      </c>
      <c r="AK19" s="62" t="n">
        <f aca="false">COUNTIFS(Данные!$B$2:$B$722,12,Данные!$C$2:$C$722,2,Данные!$A$2:$A$722,"&gt;="&amp;77233922950,Данные!$A$2:$A$722,"&lt;="&amp;77233924999)</f>
        <v>0</v>
      </c>
      <c r="AL19" s="62" t="n">
        <f aca="false">COUNTIFS(Данные!$B$2:$B$722,12,Данные!$C$2:$C$722,2,Данные!$A$2:$A$722,"&gt;="&amp;77234320000,Данные!$A$2:$A$722,"&lt;="&amp;77234320999)</f>
        <v>0</v>
      </c>
      <c r="AM19" s="62" t="n">
        <f aca="false">COUNTIFS(Данные!$B$2:$B$722,12,Данные!$C$2:$C$722,2,Данные!$A$2:$A$722,"&gt;="&amp;77234350000,Данные!$A$2:$A$722,"&lt;="&amp;77234350999)</f>
        <v>0</v>
      </c>
      <c r="AN19" s="62" t="n">
        <f aca="false">COUNTIFS(Данные!$B$2:$B$722,12,Данные!$C$2:$C$722,2,Данные!$A$2:$A$722,"&gt;="&amp;77234020000,Данные!$A$2:$A$722,"&lt;="&amp;77234020999)</f>
        <v>0</v>
      </c>
      <c r="AO19" s="62" t="n">
        <f aca="false">COUNTIFS(Данные!$B$2:$B$722,12,Данные!$C$2:$C$722,2,Данные!$A$2:$A$722,"&gt;="&amp;77234029000,Данные!$A$2:$A$722,"&lt;="&amp;77234029999)</f>
        <v>0</v>
      </c>
      <c r="AP19" s="62" t="n">
        <f aca="false">COUNTIFS(Данные!$B$2:$B$722,12,Данные!$C$2:$C$722,2,Данные!$A$2:$A$722,"&gt;="&amp;77234050000,Данные!$A$2:$A$722,"&lt;="&amp;77234050999)</f>
        <v>0</v>
      </c>
      <c r="AQ19" s="62" t="n">
        <f aca="false">COUNTIFS(Данные!$B$2:$B$722,12,Данные!$C$2:$C$722,2,Данные!$A$2:$A$722,"&gt;="&amp;77234427000,Данные!$A$2:$A$722,"&lt;="&amp;77234428999)</f>
        <v>0</v>
      </c>
      <c r="AR19" s="62" t="n">
        <f aca="false">COUNTIFS(Данные!$B$2:$B$722,12,Данные!$C$2:$C$722,2,Данные!$A$2:$A$722,"&gt;="&amp;77234450000,Данные!$A$2:$A$722,"&lt;="&amp;77234450999)</f>
        <v>0</v>
      </c>
      <c r="AS19" s="62" t="n">
        <f aca="false">COUNTIFS(Данные!$B$2:$B$722,12,Данные!$C$2:$C$722,2,Данные!$A$2:$A$722,"&gt;="&amp;77234620000,Данные!$A$2:$A$722,"&lt;="&amp;77234620999)</f>
        <v>0</v>
      </c>
      <c r="AT19" s="62" t="n">
        <f aca="false">COUNTIFS(Данные!$B$2:$B$722,12,Данные!$C$2:$C$722,2,Данные!$A$2:$A$722,"&gt;="&amp;77234650000,Данные!$A$2:$A$722,"&lt;="&amp;77234650999)</f>
        <v>0</v>
      </c>
      <c r="AU19" s="62" t="n">
        <f aca="false">COUNTIFS(Данные!$B$2:$B$722,12,Данные!$C$2:$C$722,2,Данные!$A$2:$A$722,"&gt;="&amp;77234820000,Данные!$A$2:$A$722,"&lt;="&amp;77234820999)</f>
        <v>0</v>
      </c>
      <c r="AV19" s="62" t="n">
        <f aca="false">COUNTIFS(Данные!$B$2:$B$722,12,Данные!$C$2:$C$722,2,Данные!$A$2:$A$722,"&gt;="&amp;77234850000,Данные!$A$2:$A$722,"&lt;="&amp;77234850999)</f>
        <v>0</v>
      </c>
      <c r="AW19" s="62" t="n">
        <f aca="false">COUNTIFS(Данные!$B$2:$B$722,12,Данные!$C$2:$C$722,2,Данные!$A$2:$A$722,"&gt;="&amp;77233327000,Данные!$A$2:$A$722,"&lt;="&amp;77233327999)</f>
        <v>0</v>
      </c>
      <c r="AX19" s="62" t="n">
        <f aca="false">COUNTIFS(Данные!$B$2:$B$722,12,Данные!$C$2:$C$722,2,Данные!$A$2:$A$722,"&gt;="&amp;77233350000,Данные!$A$2:$A$722,"&lt;="&amp;77233350599)</f>
        <v>0</v>
      </c>
      <c r="AY19" s="62" t="n">
        <f aca="false">COUNTIFS(Данные!$B$2:$B$722,12,Данные!$C$2:$C$722,2,Данные!$A$2:$A$722,"&gt;="&amp;77233351000,Данные!$A$2:$A$722,"&lt;="&amp;77233351999)</f>
        <v>0</v>
      </c>
      <c r="AZ19" s="63" t="n">
        <f aca="false">COUNTIFS(Данные!$B$2:$B$722,12,Данные!$C$2:$C$722,2,Данные!$A$2:$A$722,"&gt;="&amp;7722440000,Данные!$A$2:$A$722,"&lt;="&amp;7722440999)</f>
        <v>0</v>
      </c>
      <c r="BA19" s="63" t="n">
        <f aca="false">COUNTIFS(Данные!$B$2:$B$722,12,Данные!$C$2:$C$722,2,Данные!$A$2:$A$722,"&gt;="&amp;7722442000,Данные!$A$2:$A$722,"&lt;="&amp;7722445659)</f>
        <v>0</v>
      </c>
      <c r="BB19" s="63" t="n">
        <f aca="false">COUNTIFS(Данные!$B$2:$B$722,12,Данные!$C$2:$C$722,2,Данные!$A$2:$A$722,"&gt;="&amp;7722450000,Данные!$A$2:$A$722,"&lt;="&amp;7722450199)</f>
        <v>0</v>
      </c>
      <c r="BC19" s="63" t="n">
        <f aca="false">COUNTIFS(Данные!$B$2:$B$722,12,Данные!$C$2:$C$722,2,Данные!$A$2:$A$722,"&gt;="&amp;7722451000,Данные!$A$2:$A$722,"&lt;="&amp;7722451374)</f>
        <v>0</v>
      </c>
      <c r="BD19" s="63" t="n">
        <f aca="false">COUNTIFS(Данные!$B$2:$B$722,12,Данные!$C$2:$C$722,2,Данные!$A$2:$A$722,"&gt;="&amp;7722452000,Данные!$A$2:$A$722,"&lt;="&amp;7722452299)</f>
        <v>0</v>
      </c>
      <c r="BE19" s="63" t="n">
        <f aca="false">COUNTIFS(Данные!$B$2:$B$722,12,Данные!$C$2:$C$722,2,Данные!$A$2:$A$722,"&gt;="&amp;7722453000,Данные!$A$2:$A$722,"&lt;="&amp;7722453816)</f>
        <v>0</v>
      </c>
      <c r="BF19" s="63" t="n">
        <f aca="false">COUNTIFS(Данные!$B$2:$B$722,12,Данные!$C$2:$C$722,2,Данные!$A$2:$A$722,"&gt;="&amp;7722454000,Данные!$A$2:$A$722,"&lt;="&amp;7722454099)</f>
        <v>0</v>
      </c>
      <c r="BG19" s="63" t="n">
        <f aca="false">COUNTIFS(Данные!$B$2:$B$722,12,Данные!$C$2:$C$722,2,Данные!$A$2:$A$722,"&gt;="&amp;7722458000,Данные!$A$2:$A$722,"&lt;="&amp;7722458999)</f>
        <v>0</v>
      </c>
      <c r="BH19" s="63" t="n">
        <f aca="false">COUNTIFS(Данные!$B$2:$B$722,12,Данные!$C$2:$C$722,2,Данные!$A$2:$A$722,"&gt;="&amp;7722630000,Данные!$A$2:$A$722,"&lt;="&amp;7722638549)</f>
        <v>0</v>
      </c>
      <c r="BI19" s="63" t="n">
        <f aca="false">COUNTIFS(Данные!$B$2:$B$722,12,Данные!$C$2:$C$722,2,Данные!$A$2:$A$722,"&gt;="&amp;7722639400,Данные!$A$2:$A$722,"&lt;="&amp;7722639899)</f>
        <v>0</v>
      </c>
      <c r="BJ19" s="63" t="n">
        <f aca="false">COUNTIFS(Данные!$B$2:$B$722,12,Данные!$C$2:$C$722,2,Данные!$A$2:$A$722,"&gt;="&amp;7725750000,Данные!$A$2:$A$722,"&lt;="&amp;7725750399)</f>
        <v>0</v>
      </c>
      <c r="BK19" s="63" t="n">
        <f aca="false">COUNTIFS(Данные!$B$2:$B$722,12,Данные!$C$2:$C$722,2,Данные!$A$2:$A$722,"&gt;="&amp;7723620000,Данные!$A$2:$A$722,"&lt;="&amp;7723621299)</f>
        <v>0</v>
      </c>
      <c r="BL19" s="63" t="n">
        <f aca="false">COUNTIFS(Данные!$B$2:$B$722,12,Данные!$C$2:$C$722,2,Данные!$A$2:$A$722,"&gt;="&amp;7723621600,Данные!$A$2:$A$722,"&lt;="&amp;7723623399)</f>
        <v>0</v>
      </c>
      <c r="BM19" s="63" t="n">
        <f aca="false">COUNTIFS(Данные!$B$2:$B$722,12,Данные!$C$2:$C$722,2,Данные!$A$2:$A$722,"&gt;="&amp;7725127000,Данные!$A$2:$A$722,"&lt;="&amp;7725127999)</f>
        <v>0</v>
      </c>
      <c r="BN19" s="63" t="n">
        <f aca="false">COUNTIFS(Данные!$B$2:$B$722,12,Данные!$C$2:$C$722,2,Данные!$A$2:$A$722,"&gt;="&amp;7723772000,Данные!$A$2:$A$722,"&lt;="&amp;7723724999)</f>
        <v>0</v>
      </c>
      <c r="BO19" s="62" t="n">
        <f aca="false">COUNTIFS(Данные!$B$2:$B$722,12,Данные!$C$2:$C$722,2,Данные!$A$2:$A$722,"&gt;="&amp;7723765000,Данные!$A$2:$A$722,"&lt;="&amp;7723765499)</f>
        <v>0</v>
      </c>
      <c r="BP19" s="63" t="n">
        <f aca="false">COUNTIFS(Данные!$B$2:$B$722,12,Данные!$C$2:$C$722,2,Данные!$A$2:$A$722,"&gt;="&amp;7723948000,Данные!$A$2:$A$722,"&lt;="&amp;7723948999)</f>
        <v>0</v>
      </c>
      <c r="BQ19" s="63" t="n">
        <f aca="false">COUNTIFS(Данные!$B$2:$B$722,12,Данные!$C$2:$C$722,2,Данные!$A$2:$A$722,"&gt;="&amp;7723950000,Данные!$A$2:$A$722,"&lt;="&amp;7723951099)</f>
        <v>0</v>
      </c>
      <c r="BR19" s="63" t="n">
        <f aca="false">COUNTIFS(Данные!$B$2:$B$722,12,Данные!$C$2:$C$722,2,Данные!$A$2:$A$722,"&gt;="&amp;7723020000,Данные!$A$2:$A$722,"&lt;="&amp;7723020999)</f>
        <v>0</v>
      </c>
      <c r="BS19" s="63" t="n">
        <f aca="false">COUNTIFS(Данные!$B$2:$B$722,12,Данные!$C$2:$C$722,2,Данные!$A$2:$A$722,"&gt;="&amp;7723029000,Данные!$A$2:$A$722,"&lt;="&amp;7723029999)</f>
        <v>0</v>
      </c>
      <c r="BT19" s="63" t="n">
        <f aca="false">COUNTIFS(Данные!$B$2:$B$722,12,Данные!$C$2:$C$722,2,Данные!$A$2:$A$722,"&gt;="&amp;7723055000,Данные!$A$2:$A$722,"&lt;="&amp;7723056549)</f>
        <v>0</v>
      </c>
      <c r="BU19" s="62" t="n">
        <f aca="false">COUNTIFS(Данные!$B$2:$B$722,12,Данные!$C$2:$C$722,2,Данные!$A$2:$A$722,"&gt;="&amp;7725250000,Данные!$A$2:$A$722,"&lt;="&amp;7725250499)</f>
        <v>0</v>
      </c>
      <c r="BV19" s="63" t="n">
        <f aca="false">COUNTIFS(Данные!$B$2:$B$722,12,Данные!$C$2:$C$722,2,Данные!$A$2:$A$722,"&gt;="&amp;7183841400,Данные!$A$2:$A$722,"&lt;="&amp;7183841499)</f>
        <v>0</v>
      </c>
      <c r="BW19" s="40" t="n">
        <v>300</v>
      </c>
      <c r="BX19" s="64" t="n">
        <f aca="false">F19-BW19</f>
        <v>-300</v>
      </c>
    </row>
    <row r="20" s="15" customFormat="true" ht="12" hidden="false" customHeight="true" outlineLevel="0" collapsed="false">
      <c r="A20" s="47" t="n">
        <v>13</v>
      </c>
      <c r="B20" s="48" t="s">
        <v>66</v>
      </c>
      <c r="C20" s="50" t="n">
        <v>0</v>
      </c>
      <c r="D20" s="50" t="n">
        <v>130</v>
      </c>
      <c r="E20" s="51" t="n">
        <f aca="false">SUM(F20:F22)</f>
        <v>0</v>
      </c>
      <c r="F20" s="65" t="n">
        <f aca="false">COUNTIFS(Данные!$B$2:$B$722,13,Данные!$C$2:$C$722,0)</f>
        <v>0</v>
      </c>
      <c r="G20" s="65" t="n">
        <f aca="false">COUNTIFS(Данные!$B$2:$B$722,13,Данные!$C$2:$C$722,0,Данные!$A$2:$A$722,"&gt;="&amp;77232210840,Данные!$A$2:$A$722,"&lt;="&amp;77232216999)</f>
        <v>0</v>
      </c>
      <c r="H20" s="65" t="n">
        <f aca="false">COUNTIFS(Данные!$B$2:$B$722,13,Данные!$C$2:$C$722,0,Данные!$A$2:$A$722,"&gt;="&amp;77232510512,Данные!$A$2:$A$722,"&lt;="&amp;77232519487)</f>
        <v>0</v>
      </c>
      <c r="I20" s="65" t="n">
        <f aca="false">COUNTIFS(Данные!$B$2:$B$722,13,Данные!$C$2:$C$722,0,Данные!$A$2:$A$722,"&gt;="&amp;77232524160,Данные!$A$2:$A$722,"&lt;="&amp;77232529999)</f>
        <v>0</v>
      </c>
      <c r="J20" s="65" t="n">
        <f aca="false">COUNTIFS(Данные!$B$2:$B$722,13,Данные!$C$2:$C$722,0,Данные!$A$2:$A$722,"&gt;="&amp;77232544000,Данные!$A$2:$A$722,"&lt;="&amp;77232544999)</f>
        <v>0</v>
      </c>
      <c r="K20" s="65" t="n">
        <f aca="false">COUNTIFS(Данные!$B$2:$B$722,13,Данные!$C$2:$C$722,0,Данные!$A$2:$A$722,"&gt;="&amp;77232295504,Данные!$A$2:$A$722,"&lt;="&amp;77232296999)</f>
        <v>0</v>
      </c>
      <c r="L20" s="65" t="n">
        <f aca="false">COUNTIFS(Данные!$B$2:$B$722,13,Данные!$C$2:$C$722,0,Данные!$A$2:$A$722,"&gt;="&amp;77232785000,Данные!$A$2:$A$722,"&lt;="&amp;77232789999)</f>
        <v>0</v>
      </c>
      <c r="M20" s="65" t="n">
        <f aca="false">COUNTIFS(Данные!$B$2:$B$722,13,Данные!$C$2:$C$722,0,Данные!$A$2:$A$722,"&gt;="&amp;77233150000,Данные!$A$2:$A$722,"&lt;="&amp;77233155999)</f>
        <v>0</v>
      </c>
      <c r="N20" s="65" t="n">
        <f aca="false">COUNTIFS(Данные!$B$2:$B$722,13,Данные!$C$2:$C$722,0,Данные!$A$2:$A$722,"&gt;="&amp;77233235000,Данные!$A$2:$A$722,"&lt;="&amp;77233235999)</f>
        <v>0</v>
      </c>
      <c r="O20" s="65" t="n">
        <f aca="false">COUNTIFS(Данные!$B$2:$B$722,13,Данные!$C$2:$C$722,0,Данные!$A$2:$A$722,"&gt;="&amp;77233239000,Данные!$A$2:$A$722,"&lt;="&amp;77233239999)</f>
        <v>0</v>
      </c>
      <c r="P20" s="65" t="n">
        <f aca="false">COUNTIFS(Данные!$B$2:$B$722,13,Данные!$C$2:$C$722,0,Данные!$A$2:$A$722,"&gt;="&amp;77233272000,Данные!$A$2:$A$722,"&lt;="&amp;77233272999)</f>
        <v>0</v>
      </c>
      <c r="Q20" s="65" t="n">
        <f aca="false">COUNTIFS(Данные!$B$2:$B$722,13,Данные!$C$2:$C$722,0,Данные!$A$2:$A$722,"&gt;="&amp;77233291100,Данные!$A$2:$A$722,"&lt;="&amp;77233292999)</f>
        <v>0</v>
      </c>
      <c r="R20" s="65" t="n">
        <f aca="false">COUNTIFS(Данные!$B$2:$B$722,13,Данные!$C$2:$C$722,0,Данные!$A$2:$A$722,"&gt;="&amp;77233297000,Данные!$A$2:$A$722,"&lt;="&amp;77233298399)</f>
        <v>0</v>
      </c>
      <c r="S20" s="65" t="n">
        <f aca="false">COUNTIFS(Данные!$B$2:$B$722,13,Данные!$C$2:$C$722,0,Данные!$A$2:$A$722,"&gt;="&amp;77235124000,Данные!$A$2:$A$722,"&lt;="&amp;77235128499)</f>
        <v>0</v>
      </c>
      <c r="T20" s="65" t="n">
        <f aca="false">COUNTIFS(Данные!$B$2:$B$722,13,Данные!$C$2:$C$722,0,Данные!$A$2:$A$722,"&gt;="&amp;77235320000,Данные!$A$2:$A$722,"&lt;="&amp;77235320999)</f>
        <v>0</v>
      </c>
      <c r="U20" s="65" t="n">
        <f aca="false">COUNTIFS(Данные!$B$2:$B$722,13,Данные!$C$2:$C$722,0,Данные!$A$2:$A$722,"&gt;="&amp;77233620000,Данные!$A$2:$A$722,"&lt;="&amp;77233623339)</f>
        <v>0</v>
      </c>
      <c r="V20" s="65" t="n">
        <f aca="false">COUNTIFS(Данные!$B$2:$B$722,13,Данные!$C$2:$C$722,0,Данные!$A$2:$A$722,"&gt;="&amp;77233630000,Данные!$A$2:$A$722,"&lt;="&amp;77233630999)</f>
        <v>0</v>
      </c>
      <c r="W20" s="65" t="n">
        <f aca="false">COUNTIFS(Данные!$B$2:$B$722,13,Данные!$C$2:$C$722,0,Данные!$A$2:$A$722,"&gt;="&amp;77233637000,Данные!$A$2:$A$722,"&lt;="&amp;77233637599)</f>
        <v>0</v>
      </c>
      <c r="X20" s="65" t="n">
        <f aca="false">COUNTIFS(Данные!$B$2:$B$722,13,Данные!$C$2:$C$722,0,Данные!$A$2:$A$722,"&gt;="&amp;77233550000,Данные!$A$2:$A$722,"&lt;="&amp;77233550999)</f>
        <v>0</v>
      </c>
      <c r="Y20" s="65" t="n">
        <f aca="false">COUNTIFS(Данные!$B$2:$B$722,13,Данные!$C$2:$C$722,0,Данные!$A$2:$A$722,"&gt;="&amp;77233554000,Данные!$A$2:$A$722,"&lt;="&amp;77233554999)</f>
        <v>0</v>
      </c>
      <c r="Z20" s="65" t="n">
        <f aca="false">COUNTIFS(Данные!$B$2:$B$722,13,Данные!$C$2:$C$722,0,Данные!$A$2:$A$722,"&gt;="&amp;77233555000,Данные!$A$2:$A$722,"&lt;="&amp;77233556999)</f>
        <v>0</v>
      </c>
      <c r="AA20" s="65" t="n">
        <f aca="false">COUNTIFS(Данные!$B$2:$B$722,13,Данные!$C$2:$C$722,0,Данные!$A$2:$A$722,"&gt;="&amp;77233726000,Данные!$A$2:$A$722,"&lt;="&amp;77233726999)</f>
        <v>0</v>
      </c>
      <c r="AB20" s="65" t="n">
        <f aca="false">COUNTIFS(Данные!$B$2:$B$722,13,Данные!$C$2:$C$722,0,Данные!$A$2:$A$722,"&gt;="&amp;77233820000,Данные!$A$2:$A$722,"&lt;="&amp;77233820999)</f>
        <v>0</v>
      </c>
      <c r="AC20" s="65" t="n">
        <f aca="false">COUNTIFS(Данные!$B$2:$B$722,13,Данные!$C$2:$C$722,0,Данные!$A$2:$A$722,"&gt;="&amp;77233850000,Данные!$A$2:$A$722,"&lt;="&amp;77233850999)</f>
        <v>0</v>
      </c>
      <c r="AD20" s="65" t="n">
        <f aca="false">COUNTIFS(Данные!$B$2:$B$722,13,Данные!$C$2:$C$722,0,Данные!$A$2:$A$722,"&gt;="&amp;77233420000,Данные!$A$2:$A$722,"&lt;="&amp;77233420999)</f>
        <v>0</v>
      </c>
      <c r="AE20" s="65" t="n">
        <f aca="false">COUNTIFS(Данные!$B$2:$B$722,13,Данные!$C$2:$C$722,0,Данные!$A$2:$A$722,"&gt;="&amp;77234740000,Данные!$A$2:$A$722,"&lt;="&amp;77234742999)</f>
        <v>0</v>
      </c>
      <c r="AF20" s="65" t="n">
        <f aca="false">COUNTIFS(Данные!$B$2:$B$722,13,Данные!$C$2:$C$722,0,Данные!$A$2:$A$722,"&gt;="&amp;77234767000,Данные!$A$2:$A$722,"&lt;="&amp;77234767999)</f>
        <v>0</v>
      </c>
      <c r="AG20" s="65" t="n">
        <f aca="false">COUNTIFS(Данные!$B$2:$B$722,13,Данные!$C$2:$C$722,0,Данные!$A$2:$A$722,"&gt;="&amp;77234120000,Данные!$A$2:$A$722,"&lt;="&amp;77234120999)</f>
        <v>0</v>
      </c>
      <c r="AH20" s="65" t="n">
        <f aca="false">COUNTIFS(Данные!$B$2:$B$722,13,Данные!$C$2:$C$722,0,Данные!$A$2:$A$722,"&gt;="&amp;77234127000,Данные!$A$2:$A$722,"&lt;="&amp;77234127999)</f>
        <v>0</v>
      </c>
      <c r="AI20" s="65" t="n">
        <f aca="false">COUNTIFS(Данные!$B$2:$B$722,13,Данные!$C$2:$C$722,0,Данные!$A$2:$A$722,"&gt;="&amp;77234220000,Данные!$A$2:$A$722,"&lt;="&amp;77234220999)</f>
        <v>0</v>
      </c>
      <c r="AJ20" s="65" t="n">
        <f aca="false">COUNTIFS(Данные!$B$2:$B$722,13,Данные!$C$2:$C$722,0,Данные!$A$2:$A$722,"&gt;="&amp;77234250000,Данные!$A$2:$A$722,"&lt;="&amp;77234250999)</f>
        <v>0</v>
      </c>
      <c r="AK20" s="65" t="n">
        <f aca="false">COUNTIFS(Данные!$B$2:$B$722,13,Данные!$C$2:$C$722,0,Данные!$A$2:$A$722,"&gt;="&amp;77233922950,Данные!$A$2:$A$722,"&lt;="&amp;77233924999)</f>
        <v>0</v>
      </c>
      <c r="AL20" s="65" t="n">
        <f aca="false">COUNTIFS(Данные!$B$2:$B$722,13,Данные!$C$2:$C$722,0,Данные!$A$2:$A$722,"&gt;="&amp;77234320000,Данные!$A$2:$A$722,"&lt;="&amp;77234320999)</f>
        <v>0</v>
      </c>
      <c r="AM20" s="65" t="n">
        <f aca="false">COUNTIFS(Данные!$B$2:$B$722,13,Данные!$C$2:$C$722,0,Данные!$A$2:$A$722,"&gt;="&amp;77234350000,Данные!$A$2:$A$722,"&lt;="&amp;77234350999)</f>
        <v>0</v>
      </c>
      <c r="AN20" s="65" t="n">
        <f aca="false">COUNTIFS(Данные!$B$2:$B$722,13,Данные!$C$2:$C$722,0,Данные!$A$2:$A$722,"&gt;="&amp;77234020000,Данные!$A$2:$A$722,"&lt;="&amp;77234020999)</f>
        <v>0</v>
      </c>
      <c r="AO20" s="65" t="n">
        <f aca="false">COUNTIFS(Данные!$B$2:$B$722,13,Данные!$C$2:$C$722,0,Данные!$A$2:$A$722,"&gt;="&amp;77234029000,Данные!$A$2:$A$722,"&lt;="&amp;77234029999)</f>
        <v>0</v>
      </c>
      <c r="AP20" s="65" t="n">
        <f aca="false">COUNTIFS(Данные!$B$2:$B$722,13,Данные!$C$2:$C$722,0,Данные!$A$2:$A$722,"&gt;="&amp;77234050000,Данные!$A$2:$A$722,"&lt;="&amp;77234050999)</f>
        <v>0</v>
      </c>
      <c r="AQ20" s="65" t="n">
        <f aca="false">COUNTIFS(Данные!$B$2:$B$722,13,Данные!$C$2:$C$722,0,Данные!$A$2:$A$722,"&gt;="&amp;77234427000,Данные!$A$2:$A$722,"&lt;="&amp;77234428999)</f>
        <v>0</v>
      </c>
      <c r="AR20" s="65" t="n">
        <f aca="false">COUNTIFS(Данные!$B$2:$B$722,13,Данные!$C$2:$C$722,0,Данные!$A$2:$A$722,"&gt;="&amp;77234450000,Данные!$A$2:$A$722,"&lt;="&amp;77234450999)</f>
        <v>0</v>
      </c>
      <c r="AS20" s="65" t="n">
        <f aca="false">COUNTIFS(Данные!$B$2:$B$722,13,Данные!$C$2:$C$722,0,Данные!$A$2:$A$722,"&gt;="&amp;77234620000,Данные!$A$2:$A$722,"&lt;="&amp;77234620999)</f>
        <v>0</v>
      </c>
      <c r="AT20" s="65" t="n">
        <f aca="false">COUNTIFS(Данные!$B$2:$B$722,13,Данные!$C$2:$C$722,0,Данные!$A$2:$A$722,"&gt;="&amp;77234650000,Данные!$A$2:$A$722,"&lt;="&amp;77234650999)</f>
        <v>0</v>
      </c>
      <c r="AU20" s="65" t="n">
        <f aca="false">COUNTIFS(Данные!$B$2:$B$722,13,Данные!$C$2:$C$722,0,Данные!$A$2:$A$722,"&gt;="&amp;77234820000,Данные!$A$2:$A$722,"&lt;="&amp;77234820999)</f>
        <v>0</v>
      </c>
      <c r="AV20" s="65" t="n">
        <f aca="false">COUNTIFS(Данные!$B$2:$B$722,13,Данные!$C$2:$C$722,0,Данные!$A$2:$A$722,"&gt;="&amp;77234850000,Данные!$A$2:$A$722,"&lt;="&amp;77234850999)</f>
        <v>0</v>
      </c>
      <c r="AW20" s="65" t="n">
        <f aca="false">COUNTIFS(Данные!$B$2:$B$722,13,Данные!$C$2:$C$722,0,Данные!$A$2:$A$722,"&gt;="&amp;77233327000,Данные!$A$2:$A$722,"&lt;="&amp;77233327999)</f>
        <v>0</v>
      </c>
      <c r="AX20" s="65" t="n">
        <f aca="false">COUNTIFS(Данные!$B$2:$B$722,13,Данные!$C$2:$C$722,0,Данные!$A$2:$A$722,"&gt;="&amp;77233350000,Данные!$A$2:$A$722,"&lt;="&amp;77233350599)</f>
        <v>0</v>
      </c>
      <c r="AY20" s="65" t="n">
        <f aca="false">COUNTIFS(Данные!$B$2:$B$722,13,Данные!$C$2:$C$722,0,Данные!$A$2:$A$722,"&gt;="&amp;77233351000,Данные!$A$2:$A$722,"&lt;="&amp;77233351999)</f>
        <v>0</v>
      </c>
      <c r="AZ20" s="66" t="n">
        <f aca="false">COUNTIFS(Данные!$B$2:$B$722,13,Данные!$C$2:$C$722,0,Данные!$A$2:$A$722,"&gt;="&amp;7722440000,Данные!$A$2:$A$722,"&lt;="&amp;7722440999)</f>
        <v>0</v>
      </c>
      <c r="BA20" s="66" t="n">
        <f aca="false">COUNTIFS(Данные!$B$2:$B$722,13,Данные!$C$2:$C$722,0,Данные!$A$2:$A$722,"&gt;="&amp;7722442000,Данные!$A$2:$A$722,"&lt;="&amp;7722445659)</f>
        <v>0</v>
      </c>
      <c r="BB20" s="66" t="n">
        <f aca="false">COUNTIFS(Данные!$B$2:$B$722,13,Данные!$C$2:$C$722,0,Данные!$A$2:$A$722,"&gt;="&amp;7722450000,Данные!$A$2:$A$722,"&lt;="&amp;7722450199)</f>
        <v>0</v>
      </c>
      <c r="BC20" s="66" t="n">
        <f aca="false">COUNTIFS(Данные!$B$2:$B$722,13,Данные!$C$2:$C$722,0,Данные!$A$2:$A$722,"&gt;="&amp;7722451000,Данные!$A$2:$A$722,"&lt;="&amp;7722451374)</f>
        <v>0</v>
      </c>
      <c r="BD20" s="66" t="n">
        <f aca="false">COUNTIFS(Данные!$B$2:$B$722,13,Данные!$C$2:$C$722,0,Данные!$A$2:$A$722,"&gt;="&amp;7722452000,Данные!$A$2:$A$722,"&lt;="&amp;7722452299)</f>
        <v>0</v>
      </c>
      <c r="BE20" s="66" t="n">
        <f aca="false">COUNTIFS(Данные!$B$2:$B$722,13,Данные!$C$2:$C$722,0,Данные!$A$2:$A$722,"&gt;="&amp;7722453000,Данные!$A$2:$A$722,"&lt;="&amp;7722453816)</f>
        <v>0</v>
      </c>
      <c r="BF20" s="66" t="n">
        <f aca="false">COUNTIFS(Данные!$B$2:$B$722,13,Данные!$C$2:$C$722,0,Данные!$A$2:$A$722,"&gt;="&amp;7722454000,Данные!$A$2:$A$722,"&lt;="&amp;7722454099)</f>
        <v>0</v>
      </c>
      <c r="BG20" s="66" t="n">
        <f aca="false">COUNTIFS(Данные!$B$2:$B$722,13,Данные!$C$2:$C$722,0,Данные!$A$2:$A$722,"&gt;="&amp;7722458000,Данные!$A$2:$A$722,"&lt;="&amp;7722458999)</f>
        <v>0</v>
      </c>
      <c r="BH20" s="66" t="n">
        <f aca="false">COUNTIFS(Данные!$B$2:$B$722,13,Данные!$C$2:$C$722,0,Данные!$A$2:$A$722,"&gt;="&amp;7722630000,Данные!$A$2:$A$722,"&lt;="&amp;7722638549)</f>
        <v>0</v>
      </c>
      <c r="BI20" s="66" t="n">
        <f aca="false">COUNTIFS(Данные!$B$2:$B$722,13,Данные!$C$2:$C$722,0,Данные!$A$2:$A$722,"&gt;="&amp;7722639400,Данные!$A$2:$A$722,"&lt;="&amp;7722639899)</f>
        <v>0</v>
      </c>
      <c r="BJ20" s="66" t="n">
        <f aca="false">COUNTIFS(Данные!$B$2:$B$722,13,Данные!$C$2:$C$722,0,Данные!$A$2:$A$722,"&gt;="&amp;7725750000,Данные!$A$2:$A$722,"&lt;="&amp;7725750399)</f>
        <v>0</v>
      </c>
      <c r="BK20" s="66" t="n">
        <f aca="false">COUNTIFS(Данные!$B$2:$B$722,13,Данные!$C$2:$C$722,0,Данные!$A$2:$A$722,"&gt;="&amp;7723620000,Данные!$A$2:$A$722,"&lt;="&amp;7723621299)</f>
        <v>0</v>
      </c>
      <c r="BL20" s="66" t="n">
        <f aca="false">COUNTIFS(Данные!$B$2:$B$722,13,Данные!$C$2:$C$722,0,Данные!$A$2:$A$722,"&gt;="&amp;7723621600,Данные!$A$2:$A$722,"&lt;="&amp;7723623399)</f>
        <v>0</v>
      </c>
      <c r="BM20" s="66" t="n">
        <f aca="false">COUNTIFS(Данные!$B$2:$B$722,13,Данные!$C$2:$C$722,0,Данные!$A$2:$A$722,"&gt;="&amp;7725127000,Данные!$A$2:$A$722,"&lt;="&amp;7725127999)</f>
        <v>0</v>
      </c>
      <c r="BN20" s="66" t="n">
        <f aca="false">COUNTIFS(Данные!$B$2:$B$722,13,Данные!$C$2:$C$722,0,Данные!$A$2:$A$722,"&gt;="&amp;7723772000,Данные!$A$2:$A$722,"&lt;="&amp;7723724999)</f>
        <v>0</v>
      </c>
      <c r="BO20" s="65" t="n">
        <f aca="false">COUNTIFS(Данные!$B$2:$B$722,13,Данные!$C$2:$C$722,0,Данные!$A$2:$A$722,"&gt;="&amp;7723765000,Данные!$A$2:$A$722,"&lt;="&amp;7723765499)</f>
        <v>0</v>
      </c>
      <c r="BP20" s="66" t="n">
        <f aca="false">COUNTIFS(Данные!$B$2:$B$722,13,Данные!$C$2:$C$722,0,Данные!$A$2:$A$722,"&gt;="&amp;7723948000,Данные!$A$2:$A$722,"&lt;="&amp;7723948999)</f>
        <v>0</v>
      </c>
      <c r="BQ20" s="66" t="n">
        <f aca="false">COUNTIFS(Данные!$B$2:$B$722,13,Данные!$C$2:$C$722,0,Данные!$A$2:$A$722,"&gt;="&amp;7723950000,Данные!$A$2:$A$722,"&lt;="&amp;7723951099)</f>
        <v>0</v>
      </c>
      <c r="BR20" s="66" t="n">
        <f aca="false">COUNTIFS(Данные!$B$2:$B$722,13,Данные!$C$2:$C$722,0,Данные!$A$2:$A$722,"&gt;="&amp;7723020000,Данные!$A$2:$A$722,"&lt;="&amp;7723020999)</f>
        <v>0</v>
      </c>
      <c r="BS20" s="66" t="n">
        <f aca="false">COUNTIFS(Данные!$B$2:$B$722,13,Данные!$C$2:$C$722,0,Данные!$A$2:$A$722,"&gt;="&amp;7723029000,Данные!$A$2:$A$722,"&lt;="&amp;7723029999)</f>
        <v>0</v>
      </c>
      <c r="BT20" s="66" t="n">
        <f aca="false">COUNTIFS(Данные!$B$2:$B$722,13,Данные!$C$2:$C$722,0,Данные!$A$2:$A$722,"&gt;="&amp;7723055000,Данные!$A$2:$A$722,"&lt;="&amp;7723056549)</f>
        <v>0</v>
      </c>
      <c r="BU20" s="65" t="n">
        <f aca="false">COUNTIFS(Данные!$B$2:$B$722,13,Данные!$C$2:$C$722,0,Данные!$A$2:$A$722,"&gt;="&amp;7725250000,Данные!$A$2:$A$722,"&lt;="&amp;7725250499)</f>
        <v>0</v>
      </c>
      <c r="BV20" s="66" t="n">
        <f aca="false">COUNTIFS(Данные!$B$2:$B$722,13,Данные!$C$2:$C$722,0,Данные!$A$2:$A$722,"&gt;="&amp;7183841400,Данные!$A$2:$A$722,"&lt;="&amp;7183841499)</f>
        <v>0</v>
      </c>
      <c r="BW20" s="49" t="n">
        <v>300</v>
      </c>
      <c r="BX20" s="67" t="n">
        <f aca="false">F20-BW20</f>
        <v>-300</v>
      </c>
    </row>
    <row r="21" s="15" customFormat="true" ht="12" hidden="false" customHeight="true" outlineLevel="0" collapsed="false">
      <c r="A21" s="47"/>
      <c r="B21" s="48"/>
      <c r="C21" s="50" t="n">
        <v>1</v>
      </c>
      <c r="D21" s="50" t="n">
        <v>131</v>
      </c>
      <c r="E21" s="51"/>
      <c r="F21" s="65" t="n">
        <f aca="false">COUNTIFS(Данные!$B$2:$B$722,13,Данные!$C$2:$C$722,1)</f>
        <v>0</v>
      </c>
      <c r="G21" s="65" t="n">
        <f aca="false">COUNTIFS(Данные!$B$2:$B$722,13,Данные!$C$2:$C$722,1,Данные!$A$2:$A$722,"&gt;="&amp;77232210840,Данные!$A$2:$A$722,"&lt;="&amp;77232216999)</f>
        <v>0</v>
      </c>
      <c r="H21" s="65" t="n">
        <f aca="false">COUNTIFS(Данные!$B$2:$B$722,13,Данные!$C$2:$C$722,1,Данные!$A$2:$A$722,"&gt;="&amp;77232510512,Данные!$A$2:$A$722,"&lt;="&amp;77232519487)</f>
        <v>0</v>
      </c>
      <c r="I21" s="65" t="n">
        <f aca="false">COUNTIFS(Данные!$B$2:$B$722,13,Данные!$C$2:$C$722,1,Данные!$A$2:$A$722,"&gt;="&amp;77232524160,Данные!$A$2:$A$722,"&lt;="&amp;77232529999)</f>
        <v>0</v>
      </c>
      <c r="J21" s="65" t="n">
        <f aca="false">COUNTIFS(Данные!$B$2:$B$722,13,Данные!$C$2:$C$722,1,Данные!$A$2:$A$722,"&gt;="&amp;77232544000,Данные!$A$2:$A$722,"&lt;="&amp;77232544999)</f>
        <v>0</v>
      </c>
      <c r="K21" s="65" t="n">
        <f aca="false">COUNTIFS(Данные!$B$2:$B$722,13,Данные!$C$2:$C$722,1,Данные!$A$2:$A$722,"&gt;="&amp;77232295504,Данные!$A$2:$A$722,"&lt;="&amp;77232296999)</f>
        <v>0</v>
      </c>
      <c r="L21" s="65" t="n">
        <f aca="false">COUNTIFS(Данные!$B$2:$B$722,13,Данные!$C$2:$C$722,1,Данные!$A$2:$A$722,"&gt;="&amp;77232785000,Данные!$A$2:$A$722,"&lt;="&amp;77232789999)</f>
        <v>0</v>
      </c>
      <c r="M21" s="65" t="n">
        <f aca="false">COUNTIFS(Данные!$B$2:$B$722,13,Данные!$C$2:$C$722,1,Данные!$A$2:$A$722,"&gt;="&amp;77233150000,Данные!$A$2:$A$722,"&lt;="&amp;77233155999)</f>
        <v>0</v>
      </c>
      <c r="N21" s="65" t="n">
        <f aca="false">COUNTIFS(Данные!$B$2:$B$722,13,Данные!$C$2:$C$722,1,Данные!$A$2:$A$722,"&gt;="&amp;77233235000,Данные!$A$2:$A$722,"&lt;="&amp;77233235999)</f>
        <v>0</v>
      </c>
      <c r="O21" s="65" t="n">
        <f aca="false">COUNTIFS(Данные!$B$2:$B$722,13,Данные!$C$2:$C$722,1,Данные!$A$2:$A$722,"&gt;="&amp;77233239000,Данные!$A$2:$A$722,"&lt;="&amp;77233239999)</f>
        <v>0</v>
      </c>
      <c r="P21" s="65" t="n">
        <f aca="false">COUNTIFS(Данные!$B$2:$B$722,13,Данные!$C$2:$C$722,1,Данные!$A$2:$A$722,"&gt;="&amp;77233272000,Данные!$A$2:$A$722,"&lt;="&amp;77233272999)</f>
        <v>0</v>
      </c>
      <c r="Q21" s="65" t="n">
        <f aca="false">COUNTIFS(Данные!$B$2:$B$722,13,Данные!$C$2:$C$722,1,Данные!$A$2:$A$722,"&gt;="&amp;77233291100,Данные!$A$2:$A$722,"&lt;="&amp;77233292999)</f>
        <v>0</v>
      </c>
      <c r="R21" s="65" t="n">
        <f aca="false">COUNTIFS(Данные!$B$2:$B$722,13,Данные!$C$2:$C$722,1,Данные!$A$2:$A$722,"&gt;="&amp;77233297000,Данные!$A$2:$A$722,"&lt;="&amp;77233298399)</f>
        <v>0</v>
      </c>
      <c r="S21" s="65" t="n">
        <f aca="false">COUNTIFS(Данные!$B$2:$B$722,13,Данные!$C$2:$C$722,1,Данные!$A$2:$A$722,"&gt;="&amp;77235124000,Данные!$A$2:$A$722,"&lt;="&amp;77235128499)</f>
        <v>0</v>
      </c>
      <c r="T21" s="65" t="n">
        <f aca="false">COUNTIFS(Данные!$B$2:$B$722,13,Данные!$C$2:$C$722,1,Данные!$A$2:$A$722,"&gt;="&amp;77235320000,Данные!$A$2:$A$722,"&lt;="&amp;77235320999)</f>
        <v>0</v>
      </c>
      <c r="U21" s="65" t="n">
        <f aca="false">COUNTIFS(Данные!$B$2:$B$722,13,Данные!$C$2:$C$722,1,Данные!$A$2:$A$722,"&gt;="&amp;77233620000,Данные!$A$2:$A$722,"&lt;="&amp;77233623339)</f>
        <v>0</v>
      </c>
      <c r="V21" s="65" t="n">
        <f aca="false">COUNTIFS(Данные!$B$2:$B$722,13,Данные!$C$2:$C$722,1,Данные!$A$2:$A$722,"&gt;="&amp;77233630000,Данные!$A$2:$A$722,"&lt;="&amp;77233630999)</f>
        <v>0</v>
      </c>
      <c r="W21" s="65" t="n">
        <f aca="false">COUNTIFS(Данные!$B$2:$B$722,13,Данные!$C$2:$C$722,1,Данные!$A$2:$A$722,"&gt;="&amp;77233637000,Данные!$A$2:$A$722,"&lt;="&amp;77233637599)</f>
        <v>0</v>
      </c>
      <c r="X21" s="65" t="n">
        <f aca="false">COUNTIFS(Данные!$B$2:$B$722,13,Данные!$C$2:$C$722,1,Данные!$A$2:$A$722,"&gt;="&amp;77233550000,Данные!$A$2:$A$722,"&lt;="&amp;77233550999)</f>
        <v>0</v>
      </c>
      <c r="Y21" s="65" t="n">
        <f aca="false">COUNTIFS(Данные!$B$2:$B$722,13,Данные!$C$2:$C$722,1,Данные!$A$2:$A$722,"&gt;="&amp;77233554000,Данные!$A$2:$A$722,"&lt;="&amp;77233554999)</f>
        <v>0</v>
      </c>
      <c r="Z21" s="65" t="n">
        <f aca="false">COUNTIFS(Данные!$B$2:$B$722,13,Данные!$C$2:$C$722,1,Данные!$A$2:$A$722,"&gt;="&amp;77233555000,Данные!$A$2:$A$722,"&lt;="&amp;77233556999)</f>
        <v>0</v>
      </c>
      <c r="AA21" s="65" t="n">
        <f aca="false">COUNTIFS(Данные!$B$2:$B$722,13,Данные!$C$2:$C$722,1,Данные!$A$2:$A$722,"&gt;="&amp;77233726000,Данные!$A$2:$A$722,"&lt;="&amp;77233726999)</f>
        <v>0</v>
      </c>
      <c r="AB21" s="65" t="n">
        <f aca="false">COUNTIFS(Данные!$B$2:$B$722,13,Данные!$C$2:$C$722,1,Данные!$A$2:$A$722,"&gt;="&amp;77233820000,Данные!$A$2:$A$722,"&lt;="&amp;77233820999)</f>
        <v>0</v>
      </c>
      <c r="AC21" s="65" t="n">
        <f aca="false">COUNTIFS(Данные!$B$2:$B$722,13,Данные!$C$2:$C$722,1,Данные!$A$2:$A$722,"&gt;="&amp;77233850000,Данные!$A$2:$A$722,"&lt;="&amp;77233850999)</f>
        <v>0</v>
      </c>
      <c r="AD21" s="65" t="n">
        <f aca="false">COUNTIFS(Данные!$B$2:$B$722,13,Данные!$C$2:$C$722,1,Данные!$A$2:$A$722,"&gt;="&amp;77233420000,Данные!$A$2:$A$722,"&lt;="&amp;77233420999)</f>
        <v>0</v>
      </c>
      <c r="AE21" s="65" t="n">
        <f aca="false">COUNTIFS(Данные!$B$2:$B$722,13,Данные!$C$2:$C$722,1,Данные!$A$2:$A$722,"&gt;="&amp;77234740000,Данные!$A$2:$A$722,"&lt;="&amp;77234742999)</f>
        <v>0</v>
      </c>
      <c r="AF21" s="65" t="n">
        <f aca="false">COUNTIFS(Данные!$B$2:$B$722,13,Данные!$C$2:$C$722,1,Данные!$A$2:$A$722,"&gt;="&amp;77234767000,Данные!$A$2:$A$722,"&lt;="&amp;77234767999)</f>
        <v>0</v>
      </c>
      <c r="AG21" s="65" t="n">
        <f aca="false">COUNTIFS(Данные!$B$2:$B$722,13,Данные!$C$2:$C$722,1,Данные!$A$2:$A$722,"&gt;="&amp;77234120000,Данные!$A$2:$A$722,"&lt;="&amp;77234120999)</f>
        <v>0</v>
      </c>
      <c r="AH21" s="65" t="n">
        <f aca="false">COUNTIFS(Данные!$B$2:$B$722,13,Данные!$C$2:$C$722,1,Данные!$A$2:$A$722,"&gt;="&amp;77234127000,Данные!$A$2:$A$722,"&lt;="&amp;77234127999)</f>
        <v>0</v>
      </c>
      <c r="AI21" s="65" t="n">
        <f aca="false">COUNTIFS(Данные!$B$2:$B$722,13,Данные!$C$2:$C$722,1,Данные!$A$2:$A$722,"&gt;="&amp;77234220000,Данные!$A$2:$A$722,"&lt;="&amp;77234220999)</f>
        <v>0</v>
      </c>
      <c r="AJ21" s="65" t="n">
        <f aca="false">COUNTIFS(Данные!$B$2:$B$722,13,Данные!$C$2:$C$722,1,Данные!$A$2:$A$722,"&gt;="&amp;77234250000,Данные!$A$2:$A$722,"&lt;="&amp;77234250999)</f>
        <v>0</v>
      </c>
      <c r="AK21" s="65" t="n">
        <f aca="false">COUNTIFS(Данные!$B$2:$B$722,13,Данные!$C$2:$C$722,1,Данные!$A$2:$A$722,"&gt;="&amp;77233922950,Данные!$A$2:$A$722,"&lt;="&amp;77233924999)</f>
        <v>0</v>
      </c>
      <c r="AL21" s="65" t="n">
        <f aca="false">COUNTIFS(Данные!$B$2:$B$722,13,Данные!$C$2:$C$722,1,Данные!$A$2:$A$722,"&gt;="&amp;77234320000,Данные!$A$2:$A$722,"&lt;="&amp;77234320999)</f>
        <v>0</v>
      </c>
      <c r="AM21" s="65" t="n">
        <f aca="false">COUNTIFS(Данные!$B$2:$B$722,13,Данные!$C$2:$C$722,1,Данные!$A$2:$A$722,"&gt;="&amp;77234350000,Данные!$A$2:$A$722,"&lt;="&amp;77234350999)</f>
        <v>0</v>
      </c>
      <c r="AN21" s="65" t="n">
        <f aca="false">COUNTIFS(Данные!$B$2:$B$722,13,Данные!$C$2:$C$722,1,Данные!$A$2:$A$722,"&gt;="&amp;77234020000,Данные!$A$2:$A$722,"&lt;="&amp;77234020999)</f>
        <v>0</v>
      </c>
      <c r="AO21" s="65" t="n">
        <f aca="false">COUNTIFS(Данные!$B$2:$B$722,13,Данные!$C$2:$C$722,1,Данные!$A$2:$A$722,"&gt;="&amp;77234029000,Данные!$A$2:$A$722,"&lt;="&amp;77234029999)</f>
        <v>0</v>
      </c>
      <c r="AP21" s="65" t="n">
        <f aca="false">COUNTIFS(Данные!$B$2:$B$722,13,Данные!$C$2:$C$722,1,Данные!$A$2:$A$722,"&gt;="&amp;77234050000,Данные!$A$2:$A$722,"&lt;="&amp;77234050999)</f>
        <v>0</v>
      </c>
      <c r="AQ21" s="65" t="n">
        <f aca="false">COUNTIFS(Данные!$B$2:$B$722,13,Данные!$C$2:$C$722,1,Данные!$A$2:$A$722,"&gt;="&amp;77234427000,Данные!$A$2:$A$722,"&lt;="&amp;77234428999)</f>
        <v>0</v>
      </c>
      <c r="AR21" s="65" t="n">
        <f aca="false">COUNTIFS(Данные!$B$2:$B$722,13,Данные!$C$2:$C$722,1,Данные!$A$2:$A$722,"&gt;="&amp;77234450000,Данные!$A$2:$A$722,"&lt;="&amp;77234450999)</f>
        <v>0</v>
      </c>
      <c r="AS21" s="65" t="n">
        <f aca="false">COUNTIFS(Данные!$B$2:$B$722,13,Данные!$C$2:$C$722,1,Данные!$A$2:$A$722,"&gt;="&amp;77234620000,Данные!$A$2:$A$722,"&lt;="&amp;77234620999)</f>
        <v>0</v>
      </c>
      <c r="AT21" s="65" t="n">
        <f aca="false">COUNTIFS(Данные!$B$2:$B$722,13,Данные!$C$2:$C$722,1,Данные!$A$2:$A$722,"&gt;="&amp;77234650000,Данные!$A$2:$A$722,"&lt;="&amp;77234650999)</f>
        <v>0</v>
      </c>
      <c r="AU21" s="65" t="n">
        <f aca="false">COUNTIFS(Данные!$B$2:$B$722,13,Данные!$C$2:$C$722,1,Данные!$A$2:$A$722,"&gt;="&amp;77234820000,Данные!$A$2:$A$722,"&lt;="&amp;77234820999)</f>
        <v>0</v>
      </c>
      <c r="AV21" s="65" t="n">
        <f aca="false">COUNTIFS(Данные!$B$2:$B$722,13,Данные!$C$2:$C$722,1,Данные!$A$2:$A$722,"&gt;="&amp;77234850000,Данные!$A$2:$A$722,"&lt;="&amp;77234850999)</f>
        <v>0</v>
      </c>
      <c r="AW21" s="65" t="n">
        <f aca="false">COUNTIFS(Данные!$B$2:$B$722,13,Данные!$C$2:$C$722,1,Данные!$A$2:$A$722,"&gt;="&amp;77233327000,Данные!$A$2:$A$722,"&lt;="&amp;77233327999)</f>
        <v>0</v>
      </c>
      <c r="AX21" s="65" t="n">
        <f aca="false">COUNTIFS(Данные!$B$2:$B$722,13,Данные!$C$2:$C$722,1,Данные!$A$2:$A$722,"&gt;="&amp;77233350000,Данные!$A$2:$A$722,"&lt;="&amp;77233350599)</f>
        <v>0</v>
      </c>
      <c r="AY21" s="65" t="n">
        <f aca="false">COUNTIFS(Данные!$B$2:$B$722,13,Данные!$C$2:$C$722,1,Данные!$A$2:$A$722,"&gt;="&amp;77233351000,Данные!$A$2:$A$722,"&lt;="&amp;77233351999)</f>
        <v>0</v>
      </c>
      <c r="AZ21" s="66" t="n">
        <f aca="false">COUNTIFS(Данные!$B$2:$B$722,13,Данные!$C$2:$C$722,1,Данные!$A$2:$A$722,"&gt;="&amp;7722440000,Данные!$A$2:$A$722,"&lt;="&amp;7722440999)</f>
        <v>0</v>
      </c>
      <c r="BA21" s="66" t="n">
        <f aca="false">COUNTIFS(Данные!$B$2:$B$722,13,Данные!$C$2:$C$722,1,Данные!$A$2:$A$722,"&gt;="&amp;7722442000,Данные!$A$2:$A$722,"&lt;="&amp;7722445659)</f>
        <v>0</v>
      </c>
      <c r="BB21" s="66" t="n">
        <f aca="false">COUNTIFS(Данные!$B$2:$B$722,13,Данные!$C$2:$C$722,1,Данные!$A$2:$A$722,"&gt;="&amp;7722450000,Данные!$A$2:$A$722,"&lt;="&amp;7722450199)</f>
        <v>0</v>
      </c>
      <c r="BC21" s="66" t="n">
        <f aca="false">COUNTIFS(Данные!$B$2:$B$722,13,Данные!$C$2:$C$722,1,Данные!$A$2:$A$722,"&gt;="&amp;7722451000,Данные!$A$2:$A$722,"&lt;="&amp;7722451374)</f>
        <v>0</v>
      </c>
      <c r="BD21" s="66" t="n">
        <f aca="false">COUNTIFS(Данные!$B$2:$B$722,13,Данные!$C$2:$C$722,1,Данные!$A$2:$A$722,"&gt;="&amp;7722452000,Данные!$A$2:$A$722,"&lt;="&amp;7722452299)</f>
        <v>0</v>
      </c>
      <c r="BE21" s="66" t="n">
        <f aca="false">COUNTIFS(Данные!$B$2:$B$722,13,Данные!$C$2:$C$722,1,Данные!$A$2:$A$722,"&gt;="&amp;7722453000,Данные!$A$2:$A$722,"&lt;="&amp;7722453816)</f>
        <v>0</v>
      </c>
      <c r="BF21" s="66" t="n">
        <f aca="false">COUNTIFS(Данные!$B$2:$B$722,13,Данные!$C$2:$C$722,1,Данные!$A$2:$A$722,"&gt;="&amp;7722454000,Данные!$A$2:$A$722,"&lt;="&amp;7722454099)</f>
        <v>0</v>
      </c>
      <c r="BG21" s="66" t="n">
        <f aca="false">COUNTIFS(Данные!$B$2:$B$722,13,Данные!$C$2:$C$722,1,Данные!$A$2:$A$722,"&gt;="&amp;7722458000,Данные!$A$2:$A$722,"&lt;="&amp;7722458999)</f>
        <v>0</v>
      </c>
      <c r="BH21" s="66" t="n">
        <f aca="false">COUNTIFS(Данные!$B$2:$B$722,13,Данные!$C$2:$C$722,1,Данные!$A$2:$A$722,"&gt;="&amp;7722630000,Данные!$A$2:$A$722,"&lt;="&amp;7722638549)</f>
        <v>0</v>
      </c>
      <c r="BI21" s="66" t="n">
        <f aca="false">COUNTIFS(Данные!$B$2:$B$722,13,Данные!$C$2:$C$722,1,Данные!$A$2:$A$722,"&gt;="&amp;7722639400,Данные!$A$2:$A$722,"&lt;="&amp;7722639899)</f>
        <v>0</v>
      </c>
      <c r="BJ21" s="66" t="n">
        <f aca="false">COUNTIFS(Данные!$B$2:$B$722,13,Данные!$C$2:$C$722,1,Данные!$A$2:$A$722,"&gt;="&amp;7725750000,Данные!$A$2:$A$722,"&lt;="&amp;7725750399)</f>
        <v>0</v>
      </c>
      <c r="BK21" s="66" t="n">
        <f aca="false">COUNTIFS(Данные!$B$2:$B$722,13,Данные!$C$2:$C$722,1,Данные!$A$2:$A$722,"&gt;="&amp;7723620000,Данные!$A$2:$A$722,"&lt;="&amp;7723621299)</f>
        <v>0</v>
      </c>
      <c r="BL21" s="66" t="n">
        <f aca="false">COUNTIFS(Данные!$B$2:$B$722,13,Данные!$C$2:$C$722,1,Данные!$A$2:$A$722,"&gt;="&amp;7723621600,Данные!$A$2:$A$722,"&lt;="&amp;7723623399)</f>
        <v>0</v>
      </c>
      <c r="BM21" s="66" t="n">
        <f aca="false">COUNTIFS(Данные!$B$2:$B$722,13,Данные!$C$2:$C$722,1,Данные!$A$2:$A$722,"&gt;="&amp;7725127000,Данные!$A$2:$A$722,"&lt;="&amp;7725127999)</f>
        <v>0</v>
      </c>
      <c r="BN21" s="66" t="n">
        <f aca="false">COUNTIFS(Данные!$B$2:$B$722,13,Данные!$C$2:$C$722,1,Данные!$A$2:$A$722,"&gt;="&amp;7723772000,Данные!$A$2:$A$722,"&lt;="&amp;7723724999)</f>
        <v>0</v>
      </c>
      <c r="BO21" s="65" t="n">
        <f aca="false">COUNTIFS(Данные!$B$2:$B$722,13,Данные!$C$2:$C$722,1,Данные!$A$2:$A$722,"&gt;="&amp;7723765000,Данные!$A$2:$A$722,"&lt;="&amp;7723765499)</f>
        <v>0</v>
      </c>
      <c r="BP21" s="66" t="n">
        <f aca="false">COUNTIFS(Данные!$B$2:$B$722,13,Данные!$C$2:$C$722,1,Данные!$A$2:$A$722,"&gt;="&amp;7723948000,Данные!$A$2:$A$722,"&lt;="&amp;7723948999)</f>
        <v>0</v>
      </c>
      <c r="BQ21" s="66" t="n">
        <f aca="false">COUNTIFS(Данные!$B$2:$B$722,13,Данные!$C$2:$C$722,1,Данные!$A$2:$A$722,"&gt;="&amp;7723950000,Данные!$A$2:$A$722,"&lt;="&amp;7723951099)</f>
        <v>0</v>
      </c>
      <c r="BR21" s="66" t="n">
        <f aca="false">COUNTIFS(Данные!$B$2:$B$722,13,Данные!$C$2:$C$722,1,Данные!$A$2:$A$722,"&gt;="&amp;7723020000,Данные!$A$2:$A$722,"&lt;="&amp;7723020999)</f>
        <v>0</v>
      </c>
      <c r="BS21" s="66" t="n">
        <f aca="false">COUNTIFS(Данные!$B$2:$B$722,13,Данные!$C$2:$C$722,1,Данные!$A$2:$A$722,"&gt;="&amp;7723029000,Данные!$A$2:$A$722,"&lt;="&amp;7723029999)</f>
        <v>0</v>
      </c>
      <c r="BT21" s="66" t="n">
        <f aca="false">COUNTIFS(Данные!$B$2:$B$722,13,Данные!$C$2:$C$722,1,Данные!$A$2:$A$722,"&gt;="&amp;7723055000,Данные!$A$2:$A$722,"&lt;="&amp;7723056549)</f>
        <v>0</v>
      </c>
      <c r="BU21" s="65" t="n">
        <f aca="false">COUNTIFS(Данные!$B$2:$B$722,13,Данные!$C$2:$C$722,1,Данные!$A$2:$A$722,"&gt;="&amp;7725250000,Данные!$A$2:$A$722,"&lt;="&amp;7725250499)</f>
        <v>0</v>
      </c>
      <c r="BV21" s="66" t="n">
        <f aca="false">COUNTIFS(Данные!$B$2:$B$722,13,Данные!$C$2:$C$722,1,Данные!$A$2:$A$722,"&gt;="&amp;7183841400,Данные!$A$2:$A$722,"&lt;="&amp;7183841499)</f>
        <v>0</v>
      </c>
      <c r="BW21" s="49" t="n">
        <v>300</v>
      </c>
      <c r="BX21" s="67" t="n">
        <f aca="false">F21-BW21</f>
        <v>-300</v>
      </c>
    </row>
    <row r="22" s="15" customFormat="true" ht="12" hidden="false" customHeight="true" outlineLevel="0" collapsed="false">
      <c r="A22" s="47"/>
      <c r="B22" s="48"/>
      <c r="C22" s="50" t="n">
        <v>2</v>
      </c>
      <c r="D22" s="50" t="n">
        <v>132</v>
      </c>
      <c r="E22" s="51"/>
      <c r="F22" s="65" t="n">
        <f aca="false">COUNTIFS(Данные!$B$2:$B$722,13,Данные!$C$2:$C$722,2)</f>
        <v>0</v>
      </c>
      <c r="G22" s="65" t="n">
        <f aca="false">COUNTIFS(Данные!$B$2:$B$722,13,Данные!$C$2:$C$722,2,Данные!$A$2:$A$722,"&gt;="&amp;77232210840,Данные!$A$2:$A$722,"&lt;="&amp;77232216999)</f>
        <v>0</v>
      </c>
      <c r="H22" s="65" t="n">
        <f aca="false">COUNTIFS(Данные!$B$2:$B$722,13,Данные!$C$2:$C$722,2,Данные!$A$2:$A$722,"&gt;="&amp;77232510512,Данные!$A$2:$A$722,"&lt;="&amp;77232519487)</f>
        <v>0</v>
      </c>
      <c r="I22" s="65" t="n">
        <f aca="false">COUNTIFS(Данные!$B$2:$B$722,13,Данные!$C$2:$C$722,2,Данные!$A$2:$A$722,"&gt;="&amp;77232524160,Данные!$A$2:$A$722,"&lt;="&amp;77232529999)</f>
        <v>0</v>
      </c>
      <c r="J22" s="65" t="n">
        <f aca="false">COUNTIFS(Данные!$B$2:$B$722,13,Данные!$C$2:$C$722,2,Данные!$A$2:$A$722,"&gt;="&amp;77232544000,Данные!$A$2:$A$722,"&lt;="&amp;77232544999)</f>
        <v>0</v>
      </c>
      <c r="K22" s="65" t="n">
        <f aca="false">COUNTIFS(Данные!$B$2:$B$722,13,Данные!$C$2:$C$722,2,Данные!$A$2:$A$722,"&gt;="&amp;77232295504,Данные!$A$2:$A$722,"&lt;="&amp;77232296999)</f>
        <v>0</v>
      </c>
      <c r="L22" s="65" t="n">
        <f aca="false">COUNTIFS(Данные!$B$2:$B$722,13,Данные!$C$2:$C$722,2,Данные!$A$2:$A$722,"&gt;="&amp;77232785000,Данные!$A$2:$A$722,"&lt;="&amp;77232789999)</f>
        <v>0</v>
      </c>
      <c r="M22" s="65" t="n">
        <f aca="false">COUNTIFS(Данные!$B$2:$B$722,13,Данные!$C$2:$C$722,2,Данные!$A$2:$A$722,"&gt;="&amp;77233150000,Данные!$A$2:$A$722,"&lt;="&amp;77233155999)</f>
        <v>0</v>
      </c>
      <c r="N22" s="65" t="n">
        <f aca="false">COUNTIFS(Данные!$B$2:$B$722,13,Данные!$C$2:$C$722,2,Данные!$A$2:$A$722,"&gt;="&amp;77233235000,Данные!$A$2:$A$722,"&lt;="&amp;77233235999)</f>
        <v>0</v>
      </c>
      <c r="O22" s="65" t="n">
        <f aca="false">COUNTIFS(Данные!$B$2:$B$722,13,Данные!$C$2:$C$722,2,Данные!$A$2:$A$722,"&gt;="&amp;77233239000,Данные!$A$2:$A$722,"&lt;="&amp;77233239999)</f>
        <v>0</v>
      </c>
      <c r="P22" s="65" t="n">
        <f aca="false">COUNTIFS(Данные!$B$2:$B$722,13,Данные!$C$2:$C$722,2,Данные!$A$2:$A$722,"&gt;="&amp;77233272000,Данные!$A$2:$A$722,"&lt;="&amp;77233272999)</f>
        <v>0</v>
      </c>
      <c r="Q22" s="65" t="n">
        <f aca="false">COUNTIFS(Данные!$B$2:$B$722,13,Данные!$C$2:$C$722,2,Данные!$A$2:$A$722,"&gt;="&amp;77233291100,Данные!$A$2:$A$722,"&lt;="&amp;77233292999)</f>
        <v>0</v>
      </c>
      <c r="R22" s="65" t="n">
        <f aca="false">COUNTIFS(Данные!$B$2:$B$722,13,Данные!$C$2:$C$722,2,Данные!$A$2:$A$722,"&gt;="&amp;77233297000,Данные!$A$2:$A$722,"&lt;="&amp;77233298399)</f>
        <v>0</v>
      </c>
      <c r="S22" s="65" t="n">
        <f aca="false">COUNTIFS(Данные!$B$2:$B$722,13,Данные!$C$2:$C$722,2,Данные!$A$2:$A$722,"&gt;="&amp;77235124000,Данные!$A$2:$A$722,"&lt;="&amp;77235128499)</f>
        <v>0</v>
      </c>
      <c r="T22" s="65" t="n">
        <f aca="false">COUNTIFS(Данные!$B$2:$B$722,13,Данные!$C$2:$C$722,2,Данные!$A$2:$A$722,"&gt;="&amp;77235320000,Данные!$A$2:$A$722,"&lt;="&amp;77235320999)</f>
        <v>0</v>
      </c>
      <c r="U22" s="65" t="n">
        <f aca="false">COUNTIFS(Данные!$B$2:$B$722,13,Данные!$C$2:$C$722,2,Данные!$A$2:$A$722,"&gt;="&amp;77233620000,Данные!$A$2:$A$722,"&lt;="&amp;77233623339)</f>
        <v>0</v>
      </c>
      <c r="V22" s="65" t="n">
        <f aca="false">COUNTIFS(Данные!$B$2:$B$722,13,Данные!$C$2:$C$722,2,Данные!$A$2:$A$722,"&gt;="&amp;77233630000,Данные!$A$2:$A$722,"&lt;="&amp;77233630999)</f>
        <v>0</v>
      </c>
      <c r="W22" s="65" t="n">
        <f aca="false">COUNTIFS(Данные!$B$2:$B$722,13,Данные!$C$2:$C$722,2,Данные!$A$2:$A$722,"&gt;="&amp;77233637000,Данные!$A$2:$A$722,"&lt;="&amp;77233637599)</f>
        <v>0</v>
      </c>
      <c r="X22" s="65" t="n">
        <f aca="false">COUNTIFS(Данные!$B$2:$B$722,13,Данные!$C$2:$C$722,2,Данные!$A$2:$A$722,"&gt;="&amp;77233550000,Данные!$A$2:$A$722,"&lt;="&amp;77233550999)</f>
        <v>0</v>
      </c>
      <c r="Y22" s="65" t="n">
        <f aca="false">COUNTIFS(Данные!$B$2:$B$722,13,Данные!$C$2:$C$722,2,Данные!$A$2:$A$722,"&gt;="&amp;77233554000,Данные!$A$2:$A$722,"&lt;="&amp;77233554999)</f>
        <v>0</v>
      </c>
      <c r="Z22" s="65" t="n">
        <f aca="false">COUNTIFS(Данные!$B$2:$B$722,13,Данные!$C$2:$C$722,2,Данные!$A$2:$A$722,"&gt;="&amp;77233555000,Данные!$A$2:$A$722,"&lt;="&amp;77233556999)</f>
        <v>0</v>
      </c>
      <c r="AA22" s="65" t="n">
        <f aca="false">COUNTIFS(Данные!$B$2:$B$722,13,Данные!$C$2:$C$722,2,Данные!$A$2:$A$722,"&gt;="&amp;77233726000,Данные!$A$2:$A$722,"&lt;="&amp;77233726999)</f>
        <v>0</v>
      </c>
      <c r="AB22" s="65" t="n">
        <f aca="false">COUNTIFS(Данные!$B$2:$B$722,13,Данные!$C$2:$C$722,2,Данные!$A$2:$A$722,"&gt;="&amp;77233820000,Данные!$A$2:$A$722,"&lt;="&amp;77233820999)</f>
        <v>0</v>
      </c>
      <c r="AC22" s="65" t="n">
        <f aca="false">COUNTIFS(Данные!$B$2:$B$722,13,Данные!$C$2:$C$722,2,Данные!$A$2:$A$722,"&gt;="&amp;77233850000,Данные!$A$2:$A$722,"&lt;="&amp;77233850999)</f>
        <v>0</v>
      </c>
      <c r="AD22" s="65" t="n">
        <f aca="false">COUNTIFS(Данные!$B$2:$B$722,13,Данные!$C$2:$C$722,2,Данные!$A$2:$A$722,"&gt;="&amp;77233420000,Данные!$A$2:$A$722,"&lt;="&amp;77233420999)</f>
        <v>0</v>
      </c>
      <c r="AE22" s="65" t="n">
        <f aca="false">COUNTIFS(Данные!$B$2:$B$722,13,Данные!$C$2:$C$722,2,Данные!$A$2:$A$722,"&gt;="&amp;77234740000,Данные!$A$2:$A$722,"&lt;="&amp;77234742999)</f>
        <v>0</v>
      </c>
      <c r="AF22" s="65" t="n">
        <f aca="false">COUNTIFS(Данные!$B$2:$B$722,13,Данные!$C$2:$C$722,2,Данные!$A$2:$A$722,"&gt;="&amp;77234767000,Данные!$A$2:$A$722,"&lt;="&amp;77234767999)</f>
        <v>0</v>
      </c>
      <c r="AG22" s="65" t="n">
        <f aca="false">COUNTIFS(Данные!$B$2:$B$722,13,Данные!$C$2:$C$722,2,Данные!$A$2:$A$722,"&gt;="&amp;77234120000,Данные!$A$2:$A$722,"&lt;="&amp;77234120999)</f>
        <v>0</v>
      </c>
      <c r="AH22" s="65" t="n">
        <f aca="false">COUNTIFS(Данные!$B$2:$B$722,13,Данные!$C$2:$C$722,2,Данные!$A$2:$A$722,"&gt;="&amp;77234127000,Данные!$A$2:$A$722,"&lt;="&amp;77234127999)</f>
        <v>0</v>
      </c>
      <c r="AI22" s="65" t="n">
        <f aca="false">COUNTIFS(Данные!$B$2:$B$722,13,Данные!$C$2:$C$722,2,Данные!$A$2:$A$722,"&gt;="&amp;77234220000,Данные!$A$2:$A$722,"&lt;="&amp;77234220999)</f>
        <v>0</v>
      </c>
      <c r="AJ22" s="65" t="n">
        <f aca="false">COUNTIFS(Данные!$B$2:$B$722,13,Данные!$C$2:$C$722,2,Данные!$A$2:$A$722,"&gt;="&amp;77234250000,Данные!$A$2:$A$722,"&lt;="&amp;77234250999)</f>
        <v>0</v>
      </c>
      <c r="AK22" s="65" t="n">
        <f aca="false">COUNTIFS(Данные!$B$2:$B$722,13,Данные!$C$2:$C$722,2,Данные!$A$2:$A$722,"&gt;="&amp;77233922950,Данные!$A$2:$A$722,"&lt;="&amp;77233924999)</f>
        <v>0</v>
      </c>
      <c r="AL22" s="65" t="n">
        <f aca="false">COUNTIFS(Данные!$B$2:$B$722,13,Данные!$C$2:$C$722,2,Данные!$A$2:$A$722,"&gt;="&amp;77234320000,Данные!$A$2:$A$722,"&lt;="&amp;77234320999)</f>
        <v>0</v>
      </c>
      <c r="AM22" s="65" t="n">
        <f aca="false">COUNTIFS(Данные!$B$2:$B$722,13,Данные!$C$2:$C$722,2,Данные!$A$2:$A$722,"&gt;="&amp;77234350000,Данные!$A$2:$A$722,"&lt;="&amp;77234350999)</f>
        <v>0</v>
      </c>
      <c r="AN22" s="65" t="n">
        <f aca="false">COUNTIFS(Данные!$B$2:$B$722,13,Данные!$C$2:$C$722,2,Данные!$A$2:$A$722,"&gt;="&amp;77234020000,Данные!$A$2:$A$722,"&lt;="&amp;77234020999)</f>
        <v>0</v>
      </c>
      <c r="AO22" s="65" t="n">
        <f aca="false">COUNTIFS(Данные!$B$2:$B$722,13,Данные!$C$2:$C$722,2,Данные!$A$2:$A$722,"&gt;="&amp;77234029000,Данные!$A$2:$A$722,"&lt;="&amp;77234029999)</f>
        <v>0</v>
      </c>
      <c r="AP22" s="65" t="n">
        <f aca="false">COUNTIFS(Данные!$B$2:$B$722,13,Данные!$C$2:$C$722,2,Данные!$A$2:$A$722,"&gt;="&amp;77234050000,Данные!$A$2:$A$722,"&lt;="&amp;77234050999)</f>
        <v>0</v>
      </c>
      <c r="AQ22" s="65" t="n">
        <f aca="false">COUNTIFS(Данные!$B$2:$B$722,13,Данные!$C$2:$C$722,2,Данные!$A$2:$A$722,"&gt;="&amp;77234427000,Данные!$A$2:$A$722,"&lt;="&amp;77234428999)</f>
        <v>0</v>
      </c>
      <c r="AR22" s="65" t="n">
        <f aca="false">COUNTIFS(Данные!$B$2:$B$722,13,Данные!$C$2:$C$722,2,Данные!$A$2:$A$722,"&gt;="&amp;77234450000,Данные!$A$2:$A$722,"&lt;="&amp;77234450999)</f>
        <v>0</v>
      </c>
      <c r="AS22" s="65" t="n">
        <f aca="false">COUNTIFS(Данные!$B$2:$B$722,13,Данные!$C$2:$C$722,2,Данные!$A$2:$A$722,"&gt;="&amp;77234620000,Данные!$A$2:$A$722,"&lt;="&amp;77234620999)</f>
        <v>0</v>
      </c>
      <c r="AT22" s="65" t="n">
        <f aca="false">COUNTIFS(Данные!$B$2:$B$722,13,Данные!$C$2:$C$722,2,Данные!$A$2:$A$722,"&gt;="&amp;77234650000,Данные!$A$2:$A$722,"&lt;="&amp;77234650999)</f>
        <v>0</v>
      </c>
      <c r="AU22" s="65" t="n">
        <f aca="false">COUNTIFS(Данные!$B$2:$B$722,13,Данные!$C$2:$C$722,2,Данные!$A$2:$A$722,"&gt;="&amp;77234820000,Данные!$A$2:$A$722,"&lt;="&amp;77234820999)</f>
        <v>0</v>
      </c>
      <c r="AV22" s="65" t="n">
        <f aca="false">COUNTIFS(Данные!$B$2:$B$722,13,Данные!$C$2:$C$722,2,Данные!$A$2:$A$722,"&gt;="&amp;77234850000,Данные!$A$2:$A$722,"&lt;="&amp;77234850999)</f>
        <v>0</v>
      </c>
      <c r="AW22" s="65" t="n">
        <f aca="false">COUNTIFS(Данные!$B$2:$B$722,13,Данные!$C$2:$C$722,2,Данные!$A$2:$A$722,"&gt;="&amp;77233327000,Данные!$A$2:$A$722,"&lt;="&amp;77233327999)</f>
        <v>0</v>
      </c>
      <c r="AX22" s="65" t="n">
        <f aca="false">COUNTIFS(Данные!$B$2:$B$722,13,Данные!$C$2:$C$722,2,Данные!$A$2:$A$722,"&gt;="&amp;77233350000,Данные!$A$2:$A$722,"&lt;="&amp;77233350599)</f>
        <v>0</v>
      </c>
      <c r="AY22" s="65" t="n">
        <f aca="false">COUNTIFS(Данные!$B$2:$B$722,13,Данные!$C$2:$C$722,2,Данные!$A$2:$A$722,"&gt;="&amp;77233351000,Данные!$A$2:$A$722,"&lt;="&amp;77233351999)</f>
        <v>0</v>
      </c>
      <c r="AZ22" s="66" t="n">
        <f aca="false">COUNTIFS(Данные!$B$2:$B$722,13,Данные!$C$2:$C$722,2,Данные!$A$2:$A$722,"&gt;="&amp;7722440000,Данные!$A$2:$A$722,"&lt;="&amp;7722440999)</f>
        <v>0</v>
      </c>
      <c r="BA22" s="66" t="n">
        <f aca="false">COUNTIFS(Данные!$B$2:$B$722,13,Данные!$C$2:$C$722,2,Данные!$A$2:$A$722,"&gt;="&amp;7722442000,Данные!$A$2:$A$722,"&lt;="&amp;7722445659)</f>
        <v>0</v>
      </c>
      <c r="BB22" s="66" t="n">
        <f aca="false">COUNTIFS(Данные!$B$2:$B$722,13,Данные!$C$2:$C$722,2,Данные!$A$2:$A$722,"&gt;="&amp;7722450000,Данные!$A$2:$A$722,"&lt;="&amp;7722450199)</f>
        <v>0</v>
      </c>
      <c r="BC22" s="66" t="n">
        <f aca="false">COUNTIFS(Данные!$B$2:$B$722,13,Данные!$C$2:$C$722,2,Данные!$A$2:$A$722,"&gt;="&amp;7722451000,Данные!$A$2:$A$722,"&lt;="&amp;7722451374)</f>
        <v>0</v>
      </c>
      <c r="BD22" s="66" t="n">
        <f aca="false">COUNTIFS(Данные!$B$2:$B$722,13,Данные!$C$2:$C$722,2,Данные!$A$2:$A$722,"&gt;="&amp;7722452000,Данные!$A$2:$A$722,"&lt;="&amp;7722452299)</f>
        <v>0</v>
      </c>
      <c r="BE22" s="66" t="n">
        <f aca="false">COUNTIFS(Данные!$B$2:$B$722,13,Данные!$C$2:$C$722,2,Данные!$A$2:$A$722,"&gt;="&amp;7722453000,Данные!$A$2:$A$722,"&lt;="&amp;7722453816)</f>
        <v>0</v>
      </c>
      <c r="BF22" s="66" t="n">
        <f aca="false">COUNTIFS(Данные!$B$2:$B$722,13,Данные!$C$2:$C$722,2,Данные!$A$2:$A$722,"&gt;="&amp;7722454000,Данные!$A$2:$A$722,"&lt;="&amp;7722454099)</f>
        <v>0</v>
      </c>
      <c r="BG22" s="66" t="n">
        <f aca="false">COUNTIFS(Данные!$B$2:$B$722,13,Данные!$C$2:$C$722,2,Данные!$A$2:$A$722,"&gt;="&amp;7722458000,Данные!$A$2:$A$722,"&lt;="&amp;7722458999)</f>
        <v>0</v>
      </c>
      <c r="BH22" s="66" t="n">
        <f aca="false">COUNTIFS(Данные!$B$2:$B$722,13,Данные!$C$2:$C$722,2,Данные!$A$2:$A$722,"&gt;="&amp;7722630000,Данные!$A$2:$A$722,"&lt;="&amp;7722638549)</f>
        <v>0</v>
      </c>
      <c r="BI22" s="66" t="n">
        <f aca="false">COUNTIFS(Данные!$B$2:$B$722,13,Данные!$C$2:$C$722,2,Данные!$A$2:$A$722,"&gt;="&amp;7722639400,Данные!$A$2:$A$722,"&lt;="&amp;7722639899)</f>
        <v>0</v>
      </c>
      <c r="BJ22" s="66" t="n">
        <f aca="false">COUNTIFS(Данные!$B$2:$B$722,13,Данные!$C$2:$C$722,2,Данные!$A$2:$A$722,"&gt;="&amp;7725750000,Данные!$A$2:$A$722,"&lt;="&amp;7725750399)</f>
        <v>0</v>
      </c>
      <c r="BK22" s="66" t="n">
        <f aca="false">COUNTIFS(Данные!$B$2:$B$722,13,Данные!$C$2:$C$722,2,Данные!$A$2:$A$722,"&gt;="&amp;7723620000,Данные!$A$2:$A$722,"&lt;="&amp;7723621299)</f>
        <v>0</v>
      </c>
      <c r="BL22" s="66" t="n">
        <f aca="false">COUNTIFS(Данные!$B$2:$B$722,13,Данные!$C$2:$C$722,2,Данные!$A$2:$A$722,"&gt;="&amp;7723621600,Данные!$A$2:$A$722,"&lt;="&amp;7723623399)</f>
        <v>0</v>
      </c>
      <c r="BM22" s="66" t="n">
        <f aca="false">COUNTIFS(Данные!$B$2:$B$722,13,Данные!$C$2:$C$722,2,Данные!$A$2:$A$722,"&gt;="&amp;7725127000,Данные!$A$2:$A$722,"&lt;="&amp;7725127999)</f>
        <v>0</v>
      </c>
      <c r="BN22" s="66" t="n">
        <f aca="false">COUNTIFS(Данные!$B$2:$B$722,13,Данные!$C$2:$C$722,2,Данные!$A$2:$A$722,"&gt;="&amp;7723772000,Данные!$A$2:$A$722,"&lt;="&amp;7723724999)</f>
        <v>0</v>
      </c>
      <c r="BO22" s="65" t="n">
        <f aca="false">COUNTIFS(Данные!$B$2:$B$722,13,Данные!$C$2:$C$722,2,Данные!$A$2:$A$722,"&gt;="&amp;7723765000,Данные!$A$2:$A$722,"&lt;="&amp;7723765499)</f>
        <v>0</v>
      </c>
      <c r="BP22" s="66" t="n">
        <f aca="false">COUNTIFS(Данные!$B$2:$B$722,13,Данные!$C$2:$C$722,2,Данные!$A$2:$A$722,"&gt;="&amp;7723948000,Данные!$A$2:$A$722,"&lt;="&amp;7723948999)</f>
        <v>0</v>
      </c>
      <c r="BQ22" s="66" t="n">
        <f aca="false">COUNTIFS(Данные!$B$2:$B$722,13,Данные!$C$2:$C$722,2,Данные!$A$2:$A$722,"&gt;="&amp;7723950000,Данные!$A$2:$A$722,"&lt;="&amp;7723951099)</f>
        <v>0</v>
      </c>
      <c r="BR22" s="66" t="n">
        <f aca="false">COUNTIFS(Данные!$B$2:$B$722,13,Данные!$C$2:$C$722,2,Данные!$A$2:$A$722,"&gt;="&amp;7723020000,Данные!$A$2:$A$722,"&lt;="&amp;7723020999)</f>
        <v>0</v>
      </c>
      <c r="BS22" s="66" t="n">
        <f aca="false">COUNTIFS(Данные!$B$2:$B$722,13,Данные!$C$2:$C$722,2,Данные!$A$2:$A$722,"&gt;="&amp;7723029000,Данные!$A$2:$A$722,"&lt;="&amp;7723029999)</f>
        <v>0</v>
      </c>
      <c r="BT22" s="66" t="n">
        <f aca="false">COUNTIFS(Данные!$B$2:$B$722,13,Данные!$C$2:$C$722,2,Данные!$A$2:$A$722,"&gt;="&amp;7723055000,Данные!$A$2:$A$722,"&lt;="&amp;7723056549)</f>
        <v>0</v>
      </c>
      <c r="BU22" s="65" t="n">
        <f aca="false">COUNTIFS(Данные!$B$2:$B$722,13,Данные!$C$2:$C$722,2,Данные!$A$2:$A$722,"&gt;="&amp;7725250000,Данные!$A$2:$A$722,"&lt;="&amp;7725250499)</f>
        <v>0</v>
      </c>
      <c r="BV22" s="66" t="n">
        <f aca="false">COUNTIFS(Данные!$B$2:$B$722,13,Данные!$C$2:$C$722,2,Данные!$A$2:$A$722,"&gt;="&amp;7183841400,Данные!$A$2:$A$722,"&lt;="&amp;7183841499)</f>
        <v>0</v>
      </c>
      <c r="BW22" s="49" t="n">
        <v>300</v>
      </c>
      <c r="BX22" s="67" t="n">
        <f aca="false">F22-BW22</f>
        <v>-300</v>
      </c>
    </row>
    <row r="23" s="15" customFormat="true" ht="12" hidden="false" customHeight="true" outlineLevel="0" collapsed="false">
      <c r="A23" s="38" t="n">
        <v>14</v>
      </c>
      <c r="B23" s="39" t="s">
        <v>67</v>
      </c>
      <c r="C23" s="41" t="n">
        <v>0</v>
      </c>
      <c r="D23" s="41" t="n">
        <v>140</v>
      </c>
      <c r="E23" s="42" t="n">
        <f aca="false">SUM(F23:F25)</f>
        <v>0</v>
      </c>
      <c r="F23" s="62" t="n">
        <f aca="false">COUNTIFS(Данные!$B$2:$B$722,14,Данные!$C$2:$C$722,0)</f>
        <v>0</v>
      </c>
      <c r="G23" s="62" t="n">
        <f aca="false">COUNTIFS(Данные!$B$2:$B$722,14,Данные!$C$2:$C$722,0,Данные!$A$2:$A$722,"&gt;="&amp;77232210840,Данные!$A$2:$A$722,"&lt;="&amp;77232216999)</f>
        <v>0</v>
      </c>
      <c r="H23" s="62" t="n">
        <f aca="false">COUNTIFS(Данные!$B$2:$B$722,14,Данные!$C$2:$C$722,0,Данные!$A$2:$A$722,"&gt;="&amp;77232510512,Данные!$A$2:$A$722,"&lt;="&amp;77232519487)</f>
        <v>0</v>
      </c>
      <c r="I23" s="62" t="n">
        <f aca="false">COUNTIFS(Данные!$B$2:$B$722,14,Данные!$C$2:$C$722,0,Данные!$A$2:$A$722,"&gt;="&amp;77232524160,Данные!$A$2:$A$722,"&lt;="&amp;77232529999)</f>
        <v>0</v>
      </c>
      <c r="J23" s="62" t="n">
        <f aca="false">COUNTIFS(Данные!$B$2:$B$722,14,Данные!$C$2:$C$722,0,Данные!$A$2:$A$722,"&gt;="&amp;77232544000,Данные!$A$2:$A$722,"&lt;="&amp;77232544999)</f>
        <v>0</v>
      </c>
      <c r="K23" s="62" t="n">
        <f aca="false">COUNTIFS(Данные!$B$2:$B$722,14,Данные!$C$2:$C$722,0,Данные!$A$2:$A$722,"&gt;="&amp;77232295504,Данные!$A$2:$A$722,"&lt;="&amp;77232296999)</f>
        <v>0</v>
      </c>
      <c r="L23" s="62" t="n">
        <f aca="false">COUNTIFS(Данные!$B$2:$B$722,14,Данные!$C$2:$C$722,0,Данные!$A$2:$A$722,"&gt;="&amp;77232785000,Данные!$A$2:$A$722,"&lt;="&amp;77232789999)</f>
        <v>0</v>
      </c>
      <c r="M23" s="62" t="n">
        <f aca="false">COUNTIFS(Данные!$B$2:$B$722,14,Данные!$C$2:$C$722,0,Данные!$A$2:$A$722,"&gt;="&amp;77233150000,Данные!$A$2:$A$722,"&lt;="&amp;77233155999)</f>
        <v>0</v>
      </c>
      <c r="N23" s="62" t="n">
        <f aca="false">COUNTIFS(Данные!$B$2:$B$722,14,Данные!$C$2:$C$722,0,Данные!$A$2:$A$722,"&gt;="&amp;77233235000,Данные!$A$2:$A$722,"&lt;="&amp;77233235999)</f>
        <v>0</v>
      </c>
      <c r="O23" s="62" t="n">
        <f aca="false">COUNTIFS(Данные!$B$2:$B$722,14,Данные!$C$2:$C$722,0,Данные!$A$2:$A$722,"&gt;="&amp;77233239000,Данные!$A$2:$A$722,"&lt;="&amp;77233239999)</f>
        <v>0</v>
      </c>
      <c r="P23" s="62" t="n">
        <f aca="false">COUNTIFS(Данные!$B$2:$B$722,14,Данные!$C$2:$C$722,0,Данные!$A$2:$A$722,"&gt;="&amp;77233272000,Данные!$A$2:$A$722,"&lt;="&amp;77233272999)</f>
        <v>0</v>
      </c>
      <c r="Q23" s="62" t="n">
        <f aca="false">COUNTIFS(Данные!$B$2:$B$722,14,Данные!$C$2:$C$722,0,Данные!$A$2:$A$722,"&gt;="&amp;77233291100,Данные!$A$2:$A$722,"&lt;="&amp;77233292999)</f>
        <v>0</v>
      </c>
      <c r="R23" s="62" t="n">
        <f aca="false">COUNTIFS(Данные!$B$2:$B$722,14,Данные!$C$2:$C$722,0,Данные!$A$2:$A$722,"&gt;="&amp;77233297000,Данные!$A$2:$A$722,"&lt;="&amp;77233298399)</f>
        <v>0</v>
      </c>
      <c r="S23" s="62" t="n">
        <f aca="false">COUNTIFS(Данные!$B$2:$B$722,14,Данные!$C$2:$C$722,0,Данные!$A$2:$A$722,"&gt;="&amp;77235124000,Данные!$A$2:$A$722,"&lt;="&amp;77235128499)</f>
        <v>0</v>
      </c>
      <c r="T23" s="62" t="n">
        <f aca="false">COUNTIFS(Данные!$B$2:$B$722,14,Данные!$C$2:$C$722,0,Данные!$A$2:$A$722,"&gt;="&amp;77235320000,Данные!$A$2:$A$722,"&lt;="&amp;77235320999)</f>
        <v>0</v>
      </c>
      <c r="U23" s="62" t="n">
        <f aca="false">COUNTIFS(Данные!$B$2:$B$722,14,Данные!$C$2:$C$722,0,Данные!$A$2:$A$722,"&gt;="&amp;77233620000,Данные!$A$2:$A$722,"&lt;="&amp;77233623339)</f>
        <v>0</v>
      </c>
      <c r="V23" s="62" t="n">
        <f aca="false">COUNTIFS(Данные!$B$2:$B$722,14,Данные!$C$2:$C$722,0,Данные!$A$2:$A$722,"&gt;="&amp;77233630000,Данные!$A$2:$A$722,"&lt;="&amp;77233630999)</f>
        <v>0</v>
      </c>
      <c r="W23" s="62" t="n">
        <f aca="false">COUNTIFS(Данные!$B$2:$B$722,14,Данные!$C$2:$C$722,0,Данные!$A$2:$A$722,"&gt;="&amp;77233637000,Данные!$A$2:$A$722,"&lt;="&amp;77233637599)</f>
        <v>0</v>
      </c>
      <c r="X23" s="62" t="n">
        <f aca="false">COUNTIFS(Данные!$B$2:$B$722,14,Данные!$C$2:$C$722,0,Данные!$A$2:$A$722,"&gt;="&amp;77233550000,Данные!$A$2:$A$722,"&lt;="&amp;77233550999)</f>
        <v>0</v>
      </c>
      <c r="Y23" s="62" t="n">
        <f aca="false">COUNTIFS(Данные!$B$2:$B$722,14,Данные!$C$2:$C$722,0,Данные!$A$2:$A$722,"&gt;="&amp;77233554000,Данные!$A$2:$A$722,"&lt;="&amp;77233554999)</f>
        <v>0</v>
      </c>
      <c r="Z23" s="62" t="n">
        <f aca="false">COUNTIFS(Данные!$B$2:$B$722,14,Данные!$C$2:$C$722,0,Данные!$A$2:$A$722,"&gt;="&amp;77233555000,Данные!$A$2:$A$722,"&lt;="&amp;77233556999)</f>
        <v>0</v>
      </c>
      <c r="AA23" s="62" t="n">
        <f aca="false">COUNTIFS(Данные!$B$2:$B$722,14,Данные!$C$2:$C$722,0,Данные!$A$2:$A$722,"&gt;="&amp;77233726000,Данные!$A$2:$A$722,"&lt;="&amp;77233726999)</f>
        <v>0</v>
      </c>
      <c r="AB23" s="62" t="n">
        <f aca="false">COUNTIFS(Данные!$B$2:$B$722,14,Данные!$C$2:$C$722,0,Данные!$A$2:$A$722,"&gt;="&amp;77233820000,Данные!$A$2:$A$722,"&lt;="&amp;77233820999)</f>
        <v>0</v>
      </c>
      <c r="AC23" s="62" t="n">
        <f aca="false">COUNTIFS(Данные!$B$2:$B$722,14,Данные!$C$2:$C$722,0,Данные!$A$2:$A$722,"&gt;="&amp;77233850000,Данные!$A$2:$A$722,"&lt;="&amp;77233850999)</f>
        <v>0</v>
      </c>
      <c r="AD23" s="62" t="n">
        <f aca="false">COUNTIFS(Данные!$B$2:$B$722,14,Данные!$C$2:$C$722,0,Данные!$A$2:$A$722,"&gt;="&amp;77233420000,Данные!$A$2:$A$722,"&lt;="&amp;77233420999)</f>
        <v>0</v>
      </c>
      <c r="AE23" s="62" t="n">
        <f aca="false">COUNTIFS(Данные!$B$2:$B$722,14,Данные!$C$2:$C$722,0,Данные!$A$2:$A$722,"&gt;="&amp;77234740000,Данные!$A$2:$A$722,"&lt;="&amp;77234742999)</f>
        <v>0</v>
      </c>
      <c r="AF23" s="62" t="n">
        <f aca="false">COUNTIFS(Данные!$B$2:$B$722,14,Данные!$C$2:$C$722,0,Данные!$A$2:$A$722,"&gt;="&amp;77234767000,Данные!$A$2:$A$722,"&lt;="&amp;77234767999)</f>
        <v>0</v>
      </c>
      <c r="AG23" s="62" t="n">
        <f aca="false">COUNTIFS(Данные!$B$2:$B$722,14,Данные!$C$2:$C$722,0,Данные!$A$2:$A$722,"&gt;="&amp;77234120000,Данные!$A$2:$A$722,"&lt;="&amp;77234120999)</f>
        <v>0</v>
      </c>
      <c r="AH23" s="62" t="n">
        <f aca="false">COUNTIFS(Данные!$B$2:$B$722,14,Данные!$C$2:$C$722,0,Данные!$A$2:$A$722,"&gt;="&amp;77234127000,Данные!$A$2:$A$722,"&lt;="&amp;77234127999)</f>
        <v>0</v>
      </c>
      <c r="AI23" s="62" t="n">
        <f aca="false">COUNTIFS(Данные!$B$2:$B$722,14,Данные!$C$2:$C$722,0,Данные!$A$2:$A$722,"&gt;="&amp;77234220000,Данные!$A$2:$A$722,"&lt;="&amp;77234220999)</f>
        <v>0</v>
      </c>
      <c r="AJ23" s="62" t="n">
        <f aca="false">COUNTIFS(Данные!$B$2:$B$722,14,Данные!$C$2:$C$722,0,Данные!$A$2:$A$722,"&gt;="&amp;77234250000,Данные!$A$2:$A$722,"&lt;="&amp;77234250999)</f>
        <v>0</v>
      </c>
      <c r="AK23" s="62" t="n">
        <f aca="false">COUNTIFS(Данные!$B$2:$B$722,14,Данные!$C$2:$C$722,0,Данные!$A$2:$A$722,"&gt;="&amp;77233922950,Данные!$A$2:$A$722,"&lt;="&amp;77233924999)</f>
        <v>0</v>
      </c>
      <c r="AL23" s="62" t="n">
        <f aca="false">COUNTIFS(Данные!$B$2:$B$722,14,Данные!$C$2:$C$722,0,Данные!$A$2:$A$722,"&gt;="&amp;77234320000,Данные!$A$2:$A$722,"&lt;="&amp;77234320999)</f>
        <v>0</v>
      </c>
      <c r="AM23" s="62" t="n">
        <f aca="false">COUNTIFS(Данные!$B$2:$B$722,14,Данные!$C$2:$C$722,0,Данные!$A$2:$A$722,"&gt;="&amp;77234350000,Данные!$A$2:$A$722,"&lt;="&amp;77234350999)</f>
        <v>0</v>
      </c>
      <c r="AN23" s="62" t="n">
        <f aca="false">COUNTIFS(Данные!$B$2:$B$722,14,Данные!$C$2:$C$722,0,Данные!$A$2:$A$722,"&gt;="&amp;77234020000,Данные!$A$2:$A$722,"&lt;="&amp;77234020999)</f>
        <v>0</v>
      </c>
      <c r="AO23" s="62" t="n">
        <f aca="false">COUNTIFS(Данные!$B$2:$B$722,14,Данные!$C$2:$C$722,0,Данные!$A$2:$A$722,"&gt;="&amp;77234029000,Данные!$A$2:$A$722,"&lt;="&amp;77234029999)</f>
        <v>0</v>
      </c>
      <c r="AP23" s="62" t="n">
        <f aca="false">COUNTIFS(Данные!$B$2:$B$722,14,Данные!$C$2:$C$722,0,Данные!$A$2:$A$722,"&gt;="&amp;77234050000,Данные!$A$2:$A$722,"&lt;="&amp;77234050999)</f>
        <v>0</v>
      </c>
      <c r="AQ23" s="62" t="n">
        <f aca="false">COUNTIFS(Данные!$B$2:$B$722,14,Данные!$C$2:$C$722,0,Данные!$A$2:$A$722,"&gt;="&amp;77234427000,Данные!$A$2:$A$722,"&lt;="&amp;77234428999)</f>
        <v>0</v>
      </c>
      <c r="AR23" s="62" t="n">
        <f aca="false">COUNTIFS(Данные!$B$2:$B$722,14,Данные!$C$2:$C$722,0,Данные!$A$2:$A$722,"&gt;="&amp;77234450000,Данные!$A$2:$A$722,"&lt;="&amp;77234450999)</f>
        <v>0</v>
      </c>
      <c r="AS23" s="62" t="n">
        <f aca="false">COUNTIFS(Данные!$B$2:$B$722,14,Данные!$C$2:$C$722,0,Данные!$A$2:$A$722,"&gt;="&amp;77234620000,Данные!$A$2:$A$722,"&lt;="&amp;77234620999)</f>
        <v>0</v>
      </c>
      <c r="AT23" s="62" t="n">
        <f aca="false">COUNTIFS(Данные!$B$2:$B$722,14,Данные!$C$2:$C$722,0,Данные!$A$2:$A$722,"&gt;="&amp;77234650000,Данные!$A$2:$A$722,"&lt;="&amp;77234650999)</f>
        <v>0</v>
      </c>
      <c r="AU23" s="62" t="n">
        <f aca="false">COUNTIFS(Данные!$B$2:$B$722,14,Данные!$C$2:$C$722,0,Данные!$A$2:$A$722,"&gt;="&amp;77234820000,Данные!$A$2:$A$722,"&lt;="&amp;77234820999)</f>
        <v>0</v>
      </c>
      <c r="AV23" s="62" t="n">
        <f aca="false">COUNTIFS(Данные!$B$2:$B$722,14,Данные!$C$2:$C$722,0,Данные!$A$2:$A$722,"&gt;="&amp;77234850000,Данные!$A$2:$A$722,"&lt;="&amp;77234850999)</f>
        <v>0</v>
      </c>
      <c r="AW23" s="62" t="n">
        <f aca="false">COUNTIFS(Данные!$B$2:$B$722,14,Данные!$C$2:$C$722,0,Данные!$A$2:$A$722,"&gt;="&amp;77233327000,Данные!$A$2:$A$722,"&lt;="&amp;77233327999)</f>
        <v>0</v>
      </c>
      <c r="AX23" s="62" t="n">
        <f aca="false">COUNTIFS(Данные!$B$2:$B$722,14,Данные!$C$2:$C$722,0,Данные!$A$2:$A$722,"&gt;="&amp;77233350000,Данные!$A$2:$A$722,"&lt;="&amp;77233350599)</f>
        <v>0</v>
      </c>
      <c r="AY23" s="62" t="n">
        <f aca="false">COUNTIFS(Данные!$B$2:$B$722,14,Данные!$C$2:$C$722,0,Данные!$A$2:$A$722,"&gt;="&amp;77233351000,Данные!$A$2:$A$722,"&lt;="&amp;77233351999)</f>
        <v>0</v>
      </c>
      <c r="AZ23" s="62" t="n">
        <f aca="false">COUNTIFS(Данные!$B$2:$B$722,14,Данные!$C$2:$C$722,0,Данные!$A$2:$A$722,"&gt;="&amp;7722440000,Данные!$A$2:$A$722,"&lt;="&amp;7722440999)</f>
        <v>0</v>
      </c>
      <c r="BA23" s="63" t="n">
        <f aca="false">COUNTIFS(Данные!$B$2:$B$722,14,Данные!$C$2:$C$722,0,Данные!$A$2:$A$722,"&gt;="&amp;7722442000,Данные!$A$2:$A$722,"&lt;="&amp;7722445659)</f>
        <v>0</v>
      </c>
      <c r="BB23" s="63" t="n">
        <f aca="false">COUNTIFS(Данные!$B$2:$B$722,14,Данные!$C$2:$C$722,0,Данные!$A$2:$A$722,"&gt;="&amp;7722450000,Данные!$A$2:$A$722,"&lt;="&amp;7722450199)</f>
        <v>0</v>
      </c>
      <c r="BC23" s="63" t="n">
        <f aca="false">COUNTIFS(Данные!$B$2:$B$722,14,Данные!$C$2:$C$722,0,Данные!$A$2:$A$722,"&gt;="&amp;7722451000,Данные!$A$2:$A$722,"&lt;="&amp;7722451374)</f>
        <v>0</v>
      </c>
      <c r="BD23" s="63" t="n">
        <f aca="false">COUNTIFS(Данные!$B$2:$B$722,14,Данные!$C$2:$C$722,0,Данные!$A$2:$A$722,"&gt;="&amp;7722452000,Данные!$A$2:$A$722,"&lt;="&amp;7722452299)</f>
        <v>0</v>
      </c>
      <c r="BE23" s="63" t="n">
        <f aca="false">COUNTIFS(Данные!$B$2:$B$722,14,Данные!$C$2:$C$722,0,Данные!$A$2:$A$722,"&gt;="&amp;7722453000,Данные!$A$2:$A$722,"&lt;="&amp;7722453816)</f>
        <v>0</v>
      </c>
      <c r="BF23" s="63" t="n">
        <f aca="false">COUNTIFS(Данные!$B$2:$B$722,14,Данные!$C$2:$C$722,0,Данные!$A$2:$A$722,"&gt;="&amp;7722454000,Данные!$A$2:$A$722,"&lt;="&amp;7722454099)</f>
        <v>0</v>
      </c>
      <c r="BG23" s="63" t="n">
        <f aca="false">COUNTIFS(Данные!$B$2:$B$722,14,Данные!$C$2:$C$722,0,Данные!$A$2:$A$722,"&gt;="&amp;7722458000,Данные!$A$2:$A$722,"&lt;="&amp;7722458999)</f>
        <v>0</v>
      </c>
      <c r="BH23" s="63" t="n">
        <f aca="false">COUNTIFS(Данные!$B$2:$B$722,14,Данные!$C$2:$C$722,0,Данные!$A$2:$A$722,"&gt;="&amp;7722630000,Данные!$A$2:$A$722,"&lt;="&amp;7722638549)</f>
        <v>0</v>
      </c>
      <c r="BI23" s="63" t="n">
        <f aca="false">COUNTIFS(Данные!$B$2:$B$722,14,Данные!$C$2:$C$722,0,Данные!$A$2:$A$722,"&gt;="&amp;7722639400,Данные!$A$2:$A$722,"&lt;="&amp;7722639899)</f>
        <v>0</v>
      </c>
      <c r="BJ23" s="63" t="n">
        <f aca="false">COUNTIFS(Данные!$B$2:$B$722,14,Данные!$C$2:$C$722,0,Данные!$A$2:$A$722,"&gt;="&amp;7725750000,Данные!$A$2:$A$722,"&lt;="&amp;7725750399)</f>
        <v>0</v>
      </c>
      <c r="BK23" s="63" t="n">
        <f aca="false">COUNTIFS(Данные!$B$2:$B$722,14,Данные!$C$2:$C$722,0,Данные!$A$2:$A$722,"&gt;="&amp;7723620000,Данные!$A$2:$A$722,"&lt;="&amp;7723621299)</f>
        <v>0</v>
      </c>
      <c r="BL23" s="63" t="n">
        <f aca="false">COUNTIFS(Данные!$B$2:$B$722,14,Данные!$C$2:$C$722,0,Данные!$A$2:$A$722,"&gt;="&amp;7723621600,Данные!$A$2:$A$722,"&lt;="&amp;7723623399)</f>
        <v>0</v>
      </c>
      <c r="BM23" s="63" t="n">
        <f aca="false">COUNTIFS(Данные!$B$2:$B$722,14,Данные!$C$2:$C$722,0,Данные!$A$2:$A$722,"&gt;="&amp;7725127000,Данные!$A$2:$A$722,"&lt;="&amp;7725127999)</f>
        <v>0</v>
      </c>
      <c r="BN23" s="63" t="n">
        <f aca="false">COUNTIFS(Данные!$B$2:$B$722,14,Данные!$C$2:$C$722,0,Данные!$A$2:$A$722,"&gt;="&amp;7723772000,Данные!$A$2:$A$722,"&lt;="&amp;7723724999)</f>
        <v>0</v>
      </c>
      <c r="BO23" s="62" t="n">
        <f aca="false">COUNTIFS(Данные!$B$2:$B$722,14,Данные!$C$2:$C$722,0,Данные!$A$2:$A$722,"&gt;="&amp;7723765000,Данные!$A$2:$A$722,"&lt;="&amp;7723765499)</f>
        <v>0</v>
      </c>
      <c r="BP23" s="63" t="n">
        <f aca="false">COUNTIFS(Данные!$B$2:$B$722,14,Данные!$C$2:$C$722,0,Данные!$A$2:$A$722,"&gt;="&amp;7723948000,Данные!$A$2:$A$722,"&lt;="&amp;7723948999)</f>
        <v>0</v>
      </c>
      <c r="BQ23" s="63" t="n">
        <f aca="false">COUNTIFS(Данные!$B$2:$B$722,14,Данные!$C$2:$C$722,0,Данные!$A$2:$A$722,"&gt;="&amp;7723950000,Данные!$A$2:$A$722,"&lt;="&amp;7723951099)</f>
        <v>0</v>
      </c>
      <c r="BR23" s="63" t="n">
        <f aca="false">COUNTIFS(Данные!$B$2:$B$722,14,Данные!$C$2:$C$722,0,Данные!$A$2:$A$722,"&gt;="&amp;7723020000,Данные!$A$2:$A$722,"&lt;="&amp;7723020999)</f>
        <v>0</v>
      </c>
      <c r="BS23" s="63" t="n">
        <f aca="false">COUNTIFS(Данные!$B$2:$B$722,14,Данные!$C$2:$C$722,0,Данные!$A$2:$A$722,"&gt;="&amp;7723029000,Данные!$A$2:$A$722,"&lt;="&amp;7723029999)</f>
        <v>0</v>
      </c>
      <c r="BT23" s="63" t="n">
        <f aca="false">COUNTIFS(Данные!$B$2:$B$722,14,Данные!$C$2:$C$722,0,Данные!$A$2:$A$722,"&gt;="&amp;7723055000,Данные!$A$2:$A$722,"&lt;="&amp;7723056549)</f>
        <v>0</v>
      </c>
      <c r="BU23" s="62" t="n">
        <f aca="false">COUNTIFS(Данные!$B$2:$B$722,14,Данные!$C$2:$C$722,0,Данные!$A$2:$A$722,"&gt;="&amp;7725250000,Данные!$A$2:$A$722,"&lt;="&amp;7725250499)</f>
        <v>0</v>
      </c>
      <c r="BV23" s="63" t="n">
        <f aca="false">COUNTIFS(Данные!$B$2:$B$722,14,Данные!$C$2:$C$722,0,Данные!$A$2:$A$722,"&gt;="&amp;7183841400,Данные!$A$2:$A$722,"&lt;="&amp;7183841499)</f>
        <v>0</v>
      </c>
      <c r="BW23" s="40" t="n">
        <v>300</v>
      </c>
      <c r="BX23" s="64" t="n">
        <f aca="false">F23-BW23</f>
        <v>-300</v>
      </c>
    </row>
    <row r="24" s="15" customFormat="true" ht="12" hidden="false" customHeight="true" outlineLevel="0" collapsed="false">
      <c r="A24" s="38"/>
      <c r="B24" s="39"/>
      <c r="C24" s="41" t="n">
        <v>1</v>
      </c>
      <c r="D24" s="41" t="n">
        <v>141</v>
      </c>
      <c r="E24" s="42"/>
      <c r="F24" s="62" t="n">
        <f aca="false">COUNTIFS(Данные!$B$2:$B$722,14,Данные!$C$2:$C$722,1)</f>
        <v>0</v>
      </c>
      <c r="G24" s="62" t="n">
        <f aca="false">COUNTIFS(Данные!$B$2:$B$722,14,Данные!$C$2:$C$722,1,Данные!$A$2:$A$722,"&gt;="&amp;77232210840,Данные!$A$2:$A$722,"&lt;="&amp;77232216999)</f>
        <v>0</v>
      </c>
      <c r="H24" s="62" t="n">
        <f aca="false">COUNTIFS(Данные!$B$2:$B$722,14,Данные!$C$2:$C$722,1,Данные!$A$2:$A$722,"&gt;="&amp;77232510512,Данные!$A$2:$A$722,"&lt;="&amp;77232519487)</f>
        <v>0</v>
      </c>
      <c r="I24" s="62" t="n">
        <f aca="false">COUNTIFS(Данные!$B$2:$B$722,14,Данные!$C$2:$C$722,1,Данные!$A$2:$A$722,"&gt;="&amp;77232524160,Данные!$A$2:$A$722,"&lt;="&amp;77232529999)</f>
        <v>0</v>
      </c>
      <c r="J24" s="62" t="n">
        <f aca="false">COUNTIFS(Данные!$B$2:$B$722,14,Данные!$C$2:$C$722,1,Данные!$A$2:$A$722,"&gt;="&amp;77232544000,Данные!$A$2:$A$722,"&lt;="&amp;77232544999)</f>
        <v>0</v>
      </c>
      <c r="K24" s="62" t="n">
        <f aca="false">COUNTIFS(Данные!$B$2:$B$722,14,Данные!$C$2:$C$722,1,Данные!$A$2:$A$722,"&gt;="&amp;77232295504,Данные!$A$2:$A$722,"&lt;="&amp;77232296999)</f>
        <v>0</v>
      </c>
      <c r="L24" s="62" t="n">
        <f aca="false">COUNTIFS(Данные!$B$2:$B$722,14,Данные!$C$2:$C$722,1,Данные!$A$2:$A$722,"&gt;="&amp;77232785000,Данные!$A$2:$A$722,"&lt;="&amp;77232789999)</f>
        <v>0</v>
      </c>
      <c r="M24" s="62" t="n">
        <f aca="false">COUNTIFS(Данные!$B$2:$B$722,14,Данные!$C$2:$C$722,1,Данные!$A$2:$A$722,"&gt;="&amp;77233150000,Данные!$A$2:$A$722,"&lt;="&amp;77233155999)</f>
        <v>0</v>
      </c>
      <c r="N24" s="62" t="n">
        <f aca="false">COUNTIFS(Данные!$B$2:$B$722,14,Данные!$C$2:$C$722,1,Данные!$A$2:$A$722,"&gt;="&amp;77233235000,Данные!$A$2:$A$722,"&lt;="&amp;77233235999)</f>
        <v>0</v>
      </c>
      <c r="O24" s="62" t="n">
        <f aca="false">COUNTIFS(Данные!$B$2:$B$722,14,Данные!$C$2:$C$722,1,Данные!$A$2:$A$722,"&gt;="&amp;77233239000,Данные!$A$2:$A$722,"&lt;="&amp;77233239999)</f>
        <v>0</v>
      </c>
      <c r="P24" s="62" t="n">
        <f aca="false">COUNTIFS(Данные!$B$2:$B$722,14,Данные!$C$2:$C$722,1,Данные!$A$2:$A$722,"&gt;="&amp;77233272000,Данные!$A$2:$A$722,"&lt;="&amp;77233272999)</f>
        <v>0</v>
      </c>
      <c r="Q24" s="62" t="n">
        <f aca="false">COUNTIFS(Данные!$B$2:$B$722,14,Данные!$C$2:$C$722,1,Данные!$A$2:$A$722,"&gt;="&amp;77233291100,Данные!$A$2:$A$722,"&lt;="&amp;77233292999)</f>
        <v>0</v>
      </c>
      <c r="R24" s="62" t="n">
        <f aca="false">COUNTIFS(Данные!$B$2:$B$722,14,Данные!$C$2:$C$722,1,Данные!$A$2:$A$722,"&gt;="&amp;77233297000,Данные!$A$2:$A$722,"&lt;="&amp;77233298399)</f>
        <v>0</v>
      </c>
      <c r="S24" s="62" t="n">
        <f aca="false">COUNTIFS(Данные!$B$2:$B$722,14,Данные!$C$2:$C$722,1,Данные!$A$2:$A$722,"&gt;="&amp;77235124000,Данные!$A$2:$A$722,"&lt;="&amp;77235128499)</f>
        <v>0</v>
      </c>
      <c r="T24" s="62" t="n">
        <f aca="false">COUNTIFS(Данные!$B$2:$B$722,14,Данные!$C$2:$C$722,1,Данные!$A$2:$A$722,"&gt;="&amp;77235320000,Данные!$A$2:$A$722,"&lt;="&amp;77235320999)</f>
        <v>0</v>
      </c>
      <c r="U24" s="62" t="n">
        <f aca="false">COUNTIFS(Данные!$B$2:$B$722,14,Данные!$C$2:$C$722,1,Данные!$A$2:$A$722,"&gt;="&amp;77233620000,Данные!$A$2:$A$722,"&lt;="&amp;77233623339)</f>
        <v>0</v>
      </c>
      <c r="V24" s="62" t="n">
        <f aca="false">COUNTIFS(Данные!$B$2:$B$722,14,Данные!$C$2:$C$722,1,Данные!$A$2:$A$722,"&gt;="&amp;77233630000,Данные!$A$2:$A$722,"&lt;="&amp;77233630999)</f>
        <v>0</v>
      </c>
      <c r="W24" s="62" t="n">
        <f aca="false">COUNTIFS(Данные!$B$2:$B$722,14,Данные!$C$2:$C$722,1,Данные!$A$2:$A$722,"&gt;="&amp;77233637000,Данные!$A$2:$A$722,"&lt;="&amp;77233637599)</f>
        <v>0</v>
      </c>
      <c r="X24" s="62" t="n">
        <f aca="false">COUNTIFS(Данные!$B$2:$B$722,14,Данные!$C$2:$C$722,1,Данные!$A$2:$A$722,"&gt;="&amp;77233550000,Данные!$A$2:$A$722,"&lt;="&amp;77233550999)</f>
        <v>0</v>
      </c>
      <c r="Y24" s="62" t="n">
        <f aca="false">COUNTIFS(Данные!$B$2:$B$722,14,Данные!$C$2:$C$722,1,Данные!$A$2:$A$722,"&gt;="&amp;77233554000,Данные!$A$2:$A$722,"&lt;="&amp;77233554999)</f>
        <v>0</v>
      </c>
      <c r="Z24" s="62" t="n">
        <f aca="false">COUNTIFS(Данные!$B$2:$B$722,14,Данные!$C$2:$C$722,1,Данные!$A$2:$A$722,"&gt;="&amp;77233555000,Данные!$A$2:$A$722,"&lt;="&amp;77233556999)</f>
        <v>0</v>
      </c>
      <c r="AA24" s="62" t="n">
        <f aca="false">COUNTIFS(Данные!$B$2:$B$722,14,Данные!$C$2:$C$722,1,Данные!$A$2:$A$722,"&gt;="&amp;77233726000,Данные!$A$2:$A$722,"&lt;="&amp;77233726999)</f>
        <v>0</v>
      </c>
      <c r="AB24" s="62" t="n">
        <f aca="false">COUNTIFS(Данные!$B$2:$B$722,14,Данные!$C$2:$C$722,1,Данные!$A$2:$A$722,"&gt;="&amp;77233820000,Данные!$A$2:$A$722,"&lt;="&amp;77233820999)</f>
        <v>0</v>
      </c>
      <c r="AC24" s="62" t="n">
        <f aca="false">COUNTIFS(Данные!$B$2:$B$722,14,Данные!$C$2:$C$722,1,Данные!$A$2:$A$722,"&gt;="&amp;77233850000,Данные!$A$2:$A$722,"&lt;="&amp;77233850999)</f>
        <v>0</v>
      </c>
      <c r="AD24" s="62" t="n">
        <f aca="false">COUNTIFS(Данные!$B$2:$B$722,14,Данные!$C$2:$C$722,1,Данные!$A$2:$A$722,"&gt;="&amp;77233420000,Данные!$A$2:$A$722,"&lt;="&amp;77233420999)</f>
        <v>0</v>
      </c>
      <c r="AE24" s="62" t="n">
        <f aca="false">COUNTIFS(Данные!$B$2:$B$722,14,Данные!$C$2:$C$722,1,Данные!$A$2:$A$722,"&gt;="&amp;77234740000,Данные!$A$2:$A$722,"&lt;="&amp;77234742999)</f>
        <v>0</v>
      </c>
      <c r="AF24" s="62" t="n">
        <f aca="false">COUNTIFS(Данные!$B$2:$B$722,14,Данные!$C$2:$C$722,1,Данные!$A$2:$A$722,"&gt;="&amp;77234767000,Данные!$A$2:$A$722,"&lt;="&amp;77234767999)</f>
        <v>0</v>
      </c>
      <c r="AG24" s="62" t="n">
        <f aca="false">COUNTIFS(Данные!$B$2:$B$722,14,Данные!$C$2:$C$722,1,Данные!$A$2:$A$722,"&gt;="&amp;77234120000,Данные!$A$2:$A$722,"&lt;="&amp;77234120999)</f>
        <v>0</v>
      </c>
      <c r="AH24" s="62" t="n">
        <f aca="false">COUNTIFS(Данные!$B$2:$B$722,14,Данные!$C$2:$C$722,1,Данные!$A$2:$A$722,"&gt;="&amp;77234127000,Данные!$A$2:$A$722,"&lt;="&amp;77234127999)</f>
        <v>0</v>
      </c>
      <c r="AI24" s="62" t="n">
        <f aca="false">COUNTIFS(Данные!$B$2:$B$722,14,Данные!$C$2:$C$722,1,Данные!$A$2:$A$722,"&gt;="&amp;77234220000,Данные!$A$2:$A$722,"&lt;="&amp;77234220999)</f>
        <v>0</v>
      </c>
      <c r="AJ24" s="62" t="n">
        <f aca="false">COUNTIFS(Данные!$B$2:$B$722,14,Данные!$C$2:$C$722,1,Данные!$A$2:$A$722,"&gt;="&amp;77234250000,Данные!$A$2:$A$722,"&lt;="&amp;77234250999)</f>
        <v>0</v>
      </c>
      <c r="AK24" s="62" t="n">
        <f aca="false">COUNTIFS(Данные!$B$2:$B$722,14,Данные!$C$2:$C$722,1,Данные!$A$2:$A$722,"&gt;="&amp;77233922950,Данные!$A$2:$A$722,"&lt;="&amp;77233924999)</f>
        <v>0</v>
      </c>
      <c r="AL24" s="62" t="n">
        <f aca="false">COUNTIFS(Данные!$B$2:$B$722,14,Данные!$C$2:$C$722,1,Данные!$A$2:$A$722,"&gt;="&amp;77234320000,Данные!$A$2:$A$722,"&lt;="&amp;77234320999)</f>
        <v>0</v>
      </c>
      <c r="AM24" s="62" t="n">
        <f aca="false">COUNTIFS(Данные!$B$2:$B$722,14,Данные!$C$2:$C$722,1,Данные!$A$2:$A$722,"&gt;="&amp;77234350000,Данные!$A$2:$A$722,"&lt;="&amp;77234350999)</f>
        <v>0</v>
      </c>
      <c r="AN24" s="62" t="n">
        <f aca="false">COUNTIFS(Данные!$B$2:$B$722,14,Данные!$C$2:$C$722,1,Данные!$A$2:$A$722,"&gt;="&amp;77234020000,Данные!$A$2:$A$722,"&lt;="&amp;77234020999)</f>
        <v>0</v>
      </c>
      <c r="AO24" s="62" t="n">
        <f aca="false">COUNTIFS(Данные!$B$2:$B$722,14,Данные!$C$2:$C$722,1,Данные!$A$2:$A$722,"&gt;="&amp;77234029000,Данные!$A$2:$A$722,"&lt;="&amp;77234029999)</f>
        <v>0</v>
      </c>
      <c r="AP24" s="62" t="n">
        <f aca="false">COUNTIFS(Данные!$B$2:$B$722,14,Данные!$C$2:$C$722,1,Данные!$A$2:$A$722,"&gt;="&amp;77234050000,Данные!$A$2:$A$722,"&lt;="&amp;77234050999)</f>
        <v>0</v>
      </c>
      <c r="AQ24" s="62" t="n">
        <f aca="false">COUNTIFS(Данные!$B$2:$B$722,14,Данные!$C$2:$C$722,1,Данные!$A$2:$A$722,"&gt;="&amp;77234427000,Данные!$A$2:$A$722,"&lt;="&amp;77234428999)</f>
        <v>0</v>
      </c>
      <c r="AR24" s="62" t="n">
        <f aca="false">COUNTIFS(Данные!$B$2:$B$722,14,Данные!$C$2:$C$722,1,Данные!$A$2:$A$722,"&gt;="&amp;77234450000,Данные!$A$2:$A$722,"&lt;="&amp;77234450999)</f>
        <v>0</v>
      </c>
      <c r="AS24" s="62" t="n">
        <f aca="false">COUNTIFS(Данные!$B$2:$B$722,14,Данные!$C$2:$C$722,1,Данные!$A$2:$A$722,"&gt;="&amp;77234620000,Данные!$A$2:$A$722,"&lt;="&amp;77234620999)</f>
        <v>0</v>
      </c>
      <c r="AT24" s="62" t="n">
        <f aca="false">COUNTIFS(Данные!$B$2:$B$722,14,Данные!$C$2:$C$722,1,Данные!$A$2:$A$722,"&gt;="&amp;77234650000,Данные!$A$2:$A$722,"&lt;="&amp;77234650999)</f>
        <v>0</v>
      </c>
      <c r="AU24" s="62" t="n">
        <f aca="false">COUNTIFS(Данные!$B$2:$B$722,14,Данные!$C$2:$C$722,1,Данные!$A$2:$A$722,"&gt;="&amp;77234820000,Данные!$A$2:$A$722,"&lt;="&amp;77234820999)</f>
        <v>0</v>
      </c>
      <c r="AV24" s="62" t="n">
        <f aca="false">COUNTIFS(Данные!$B$2:$B$722,14,Данные!$C$2:$C$722,1,Данные!$A$2:$A$722,"&gt;="&amp;77234850000,Данные!$A$2:$A$722,"&lt;="&amp;77234850999)</f>
        <v>0</v>
      </c>
      <c r="AW24" s="62" t="n">
        <f aca="false">COUNTIFS(Данные!$B$2:$B$722,14,Данные!$C$2:$C$722,1,Данные!$A$2:$A$722,"&gt;="&amp;77233327000,Данные!$A$2:$A$722,"&lt;="&amp;77233327999)</f>
        <v>0</v>
      </c>
      <c r="AX24" s="62" t="n">
        <f aca="false">COUNTIFS(Данные!$B$2:$B$722,14,Данные!$C$2:$C$722,1,Данные!$A$2:$A$722,"&gt;="&amp;77233350000,Данные!$A$2:$A$722,"&lt;="&amp;77233350599)</f>
        <v>0</v>
      </c>
      <c r="AY24" s="62" t="n">
        <f aca="false">COUNTIFS(Данные!$B$2:$B$722,14,Данные!$C$2:$C$722,1,Данные!$A$2:$A$722,"&gt;="&amp;77233351000,Данные!$A$2:$A$722,"&lt;="&amp;77233351999)</f>
        <v>0</v>
      </c>
      <c r="AZ24" s="63" t="n">
        <f aca="false">COUNTIFS(Данные!$B$2:$B$722,14,Данные!$C$2:$C$722,1,Данные!$A$2:$A$722,"&gt;="&amp;7722440000,Данные!$A$2:$A$722,"&lt;="&amp;7722440999)</f>
        <v>0</v>
      </c>
      <c r="BA24" s="63" t="n">
        <f aca="false">COUNTIFS(Данные!$B$2:$B$722,14,Данные!$C$2:$C$722,1,Данные!$A$2:$A$722,"&gt;="&amp;7722442000,Данные!$A$2:$A$722,"&lt;="&amp;7722445659)</f>
        <v>0</v>
      </c>
      <c r="BB24" s="63" t="n">
        <f aca="false">COUNTIFS(Данные!$B$2:$B$722,14,Данные!$C$2:$C$722,1,Данные!$A$2:$A$722,"&gt;="&amp;7722450000,Данные!$A$2:$A$722,"&lt;="&amp;7722450199)</f>
        <v>0</v>
      </c>
      <c r="BC24" s="63" t="n">
        <f aca="false">COUNTIFS(Данные!$B$2:$B$722,14,Данные!$C$2:$C$722,1,Данные!$A$2:$A$722,"&gt;="&amp;7722451000,Данные!$A$2:$A$722,"&lt;="&amp;7722451374)</f>
        <v>0</v>
      </c>
      <c r="BD24" s="63" t="n">
        <f aca="false">COUNTIFS(Данные!$B$2:$B$722,14,Данные!$C$2:$C$722,1,Данные!$A$2:$A$722,"&gt;="&amp;7722452000,Данные!$A$2:$A$722,"&lt;="&amp;7722452299)</f>
        <v>0</v>
      </c>
      <c r="BE24" s="63" t="n">
        <f aca="false">COUNTIFS(Данные!$B$2:$B$722,14,Данные!$C$2:$C$722,1,Данные!$A$2:$A$722,"&gt;="&amp;7722453000,Данные!$A$2:$A$722,"&lt;="&amp;7722453816)</f>
        <v>0</v>
      </c>
      <c r="BF24" s="63" t="n">
        <f aca="false">COUNTIFS(Данные!$B$2:$B$722,14,Данные!$C$2:$C$722,1,Данные!$A$2:$A$722,"&gt;="&amp;7722454000,Данные!$A$2:$A$722,"&lt;="&amp;7722454099)</f>
        <v>0</v>
      </c>
      <c r="BG24" s="63" t="n">
        <f aca="false">COUNTIFS(Данные!$B$2:$B$722,14,Данные!$C$2:$C$722,1,Данные!$A$2:$A$722,"&gt;="&amp;7722458000,Данные!$A$2:$A$722,"&lt;="&amp;7722458999)</f>
        <v>0</v>
      </c>
      <c r="BH24" s="63" t="n">
        <f aca="false">COUNTIFS(Данные!$B$2:$B$722,14,Данные!$C$2:$C$722,1,Данные!$A$2:$A$722,"&gt;="&amp;7722630000,Данные!$A$2:$A$722,"&lt;="&amp;7722638549)</f>
        <v>0</v>
      </c>
      <c r="BI24" s="63" t="n">
        <f aca="false">COUNTIFS(Данные!$B$2:$B$722,14,Данные!$C$2:$C$722,1,Данные!$A$2:$A$722,"&gt;="&amp;7722639400,Данные!$A$2:$A$722,"&lt;="&amp;7722639899)</f>
        <v>0</v>
      </c>
      <c r="BJ24" s="63" t="n">
        <f aca="false">COUNTIFS(Данные!$B$2:$B$722,14,Данные!$C$2:$C$722,1,Данные!$A$2:$A$722,"&gt;="&amp;7725750000,Данные!$A$2:$A$722,"&lt;="&amp;7725750399)</f>
        <v>0</v>
      </c>
      <c r="BK24" s="63" t="n">
        <f aca="false">COUNTIFS(Данные!$B$2:$B$722,14,Данные!$C$2:$C$722,1,Данные!$A$2:$A$722,"&gt;="&amp;7723620000,Данные!$A$2:$A$722,"&lt;="&amp;7723621299)</f>
        <v>0</v>
      </c>
      <c r="BL24" s="63" t="n">
        <f aca="false">COUNTIFS(Данные!$B$2:$B$722,14,Данные!$C$2:$C$722,1,Данные!$A$2:$A$722,"&gt;="&amp;7723621600,Данные!$A$2:$A$722,"&lt;="&amp;7723623399)</f>
        <v>0</v>
      </c>
      <c r="BM24" s="63" t="n">
        <f aca="false">COUNTIFS(Данные!$B$2:$B$722,14,Данные!$C$2:$C$722,1,Данные!$A$2:$A$722,"&gt;="&amp;7725127000,Данные!$A$2:$A$722,"&lt;="&amp;7725127999)</f>
        <v>0</v>
      </c>
      <c r="BN24" s="63" t="n">
        <f aca="false">COUNTIFS(Данные!$B$2:$B$722,14,Данные!$C$2:$C$722,1,Данные!$A$2:$A$722,"&gt;="&amp;7723772000,Данные!$A$2:$A$722,"&lt;="&amp;7723724999)</f>
        <v>0</v>
      </c>
      <c r="BO24" s="62" t="n">
        <f aca="false">COUNTIFS(Данные!$B$2:$B$722,14,Данные!$C$2:$C$722,1,Данные!$A$2:$A$722,"&gt;="&amp;7723765000,Данные!$A$2:$A$722,"&lt;="&amp;7723765499)</f>
        <v>0</v>
      </c>
      <c r="BP24" s="63" t="n">
        <f aca="false">COUNTIFS(Данные!$B$2:$B$722,14,Данные!$C$2:$C$722,1,Данные!$A$2:$A$722,"&gt;="&amp;7723948000,Данные!$A$2:$A$722,"&lt;="&amp;7723948999)</f>
        <v>0</v>
      </c>
      <c r="BQ24" s="63" t="n">
        <f aca="false">COUNTIFS(Данные!$B$2:$B$722,14,Данные!$C$2:$C$722,1,Данные!$A$2:$A$722,"&gt;="&amp;7723950000,Данные!$A$2:$A$722,"&lt;="&amp;7723951099)</f>
        <v>0</v>
      </c>
      <c r="BR24" s="63" t="n">
        <f aca="false">COUNTIFS(Данные!$B$2:$B$722,14,Данные!$C$2:$C$722,1,Данные!$A$2:$A$722,"&gt;="&amp;7723020000,Данные!$A$2:$A$722,"&lt;="&amp;7723020999)</f>
        <v>0</v>
      </c>
      <c r="BS24" s="63" t="n">
        <f aca="false">COUNTIFS(Данные!$B$2:$B$722,14,Данные!$C$2:$C$722,1,Данные!$A$2:$A$722,"&gt;="&amp;7723029000,Данные!$A$2:$A$722,"&lt;="&amp;7723029999)</f>
        <v>0</v>
      </c>
      <c r="BT24" s="63" t="n">
        <f aca="false">COUNTIFS(Данные!$B$2:$B$722,14,Данные!$C$2:$C$722,1,Данные!$A$2:$A$722,"&gt;="&amp;7723055000,Данные!$A$2:$A$722,"&lt;="&amp;7723056549)</f>
        <v>0</v>
      </c>
      <c r="BU24" s="62" t="n">
        <f aca="false">COUNTIFS(Данные!$B$2:$B$722,14,Данные!$C$2:$C$722,1,Данные!$A$2:$A$722,"&gt;="&amp;7725250000,Данные!$A$2:$A$722,"&lt;="&amp;7725250499)</f>
        <v>0</v>
      </c>
      <c r="BV24" s="63" t="n">
        <f aca="false">COUNTIFS(Данные!$B$2:$B$722,14,Данные!$C$2:$C$722,1,Данные!$A$2:$A$722,"&gt;="&amp;7183841400,Данные!$A$2:$A$722,"&lt;="&amp;7183841499)</f>
        <v>0</v>
      </c>
      <c r="BW24" s="40" t="n">
        <v>300</v>
      </c>
      <c r="BX24" s="64" t="n">
        <f aca="false">F24-BW24</f>
        <v>-300</v>
      </c>
    </row>
    <row r="25" s="15" customFormat="true" ht="12" hidden="false" customHeight="true" outlineLevel="0" collapsed="false">
      <c r="A25" s="38"/>
      <c r="B25" s="39"/>
      <c r="C25" s="41" t="n">
        <v>2</v>
      </c>
      <c r="D25" s="41" t="n">
        <v>142</v>
      </c>
      <c r="E25" s="42"/>
      <c r="F25" s="62" t="n">
        <f aca="false">COUNTIFS(Данные!$B$2:$B$722,14,Данные!$C$2:$C$722,2)</f>
        <v>0</v>
      </c>
      <c r="G25" s="62" t="n">
        <f aca="false">COUNTIFS(Данные!$B$2:$B$722,14,Данные!$C$2:$C$722,2,Данные!$A$2:$A$722,"&gt;="&amp;77232210840,Данные!$A$2:$A$722,"&lt;="&amp;77232216999)</f>
        <v>0</v>
      </c>
      <c r="H25" s="62" t="n">
        <f aca="false">COUNTIFS(Данные!$B$2:$B$722,14,Данные!$C$2:$C$722,2,Данные!$A$2:$A$722,"&gt;="&amp;77232510512,Данные!$A$2:$A$722,"&lt;="&amp;77232519487)</f>
        <v>0</v>
      </c>
      <c r="I25" s="62" t="n">
        <f aca="false">COUNTIFS(Данные!$B$2:$B$722,14,Данные!$C$2:$C$722,2,Данные!$A$2:$A$722,"&gt;="&amp;77232524160,Данные!$A$2:$A$722,"&lt;="&amp;77232529999)</f>
        <v>0</v>
      </c>
      <c r="J25" s="62" t="n">
        <f aca="false">COUNTIFS(Данные!$B$2:$B$722,14,Данные!$C$2:$C$722,2,Данные!$A$2:$A$722,"&gt;="&amp;77232544000,Данные!$A$2:$A$722,"&lt;="&amp;77232544999)</f>
        <v>0</v>
      </c>
      <c r="K25" s="62" t="n">
        <f aca="false">COUNTIFS(Данные!$B$2:$B$722,14,Данные!$C$2:$C$722,2,Данные!$A$2:$A$722,"&gt;="&amp;77232295504,Данные!$A$2:$A$722,"&lt;="&amp;77232296999)</f>
        <v>0</v>
      </c>
      <c r="L25" s="62" t="n">
        <f aca="false">COUNTIFS(Данные!$B$2:$B$722,14,Данные!$C$2:$C$722,2,Данные!$A$2:$A$722,"&gt;="&amp;77232785000,Данные!$A$2:$A$722,"&lt;="&amp;77232789999)</f>
        <v>0</v>
      </c>
      <c r="M25" s="62" t="n">
        <f aca="false">COUNTIFS(Данные!$B$2:$B$722,14,Данные!$C$2:$C$722,2,Данные!$A$2:$A$722,"&gt;="&amp;77233150000,Данные!$A$2:$A$722,"&lt;="&amp;77233155999)</f>
        <v>0</v>
      </c>
      <c r="N25" s="62" t="n">
        <f aca="false">COUNTIFS(Данные!$B$2:$B$722,14,Данные!$C$2:$C$722,2,Данные!$A$2:$A$722,"&gt;="&amp;77233235000,Данные!$A$2:$A$722,"&lt;="&amp;77233235999)</f>
        <v>0</v>
      </c>
      <c r="O25" s="62" t="n">
        <f aca="false">COUNTIFS(Данные!$B$2:$B$722,14,Данные!$C$2:$C$722,2,Данные!$A$2:$A$722,"&gt;="&amp;77233239000,Данные!$A$2:$A$722,"&lt;="&amp;77233239999)</f>
        <v>0</v>
      </c>
      <c r="P25" s="62" t="n">
        <f aca="false">COUNTIFS(Данные!$B$2:$B$722,14,Данные!$C$2:$C$722,2,Данные!$A$2:$A$722,"&gt;="&amp;77233272000,Данные!$A$2:$A$722,"&lt;="&amp;77233272999)</f>
        <v>0</v>
      </c>
      <c r="Q25" s="62" t="n">
        <f aca="false">COUNTIFS(Данные!$B$2:$B$722,14,Данные!$C$2:$C$722,2,Данные!$A$2:$A$722,"&gt;="&amp;77233291100,Данные!$A$2:$A$722,"&lt;="&amp;77233292999)</f>
        <v>0</v>
      </c>
      <c r="R25" s="62" t="n">
        <f aca="false">COUNTIFS(Данные!$B$2:$B$722,14,Данные!$C$2:$C$722,2,Данные!$A$2:$A$722,"&gt;="&amp;77233297000,Данные!$A$2:$A$722,"&lt;="&amp;77233298399)</f>
        <v>0</v>
      </c>
      <c r="S25" s="62" t="n">
        <f aca="false">COUNTIFS(Данные!$B$2:$B$722,14,Данные!$C$2:$C$722,2,Данные!$A$2:$A$722,"&gt;="&amp;77235124000,Данные!$A$2:$A$722,"&lt;="&amp;77235128499)</f>
        <v>0</v>
      </c>
      <c r="T25" s="62" t="n">
        <f aca="false">COUNTIFS(Данные!$B$2:$B$722,14,Данные!$C$2:$C$722,2,Данные!$A$2:$A$722,"&gt;="&amp;77235320000,Данные!$A$2:$A$722,"&lt;="&amp;77235320999)</f>
        <v>0</v>
      </c>
      <c r="U25" s="62" t="n">
        <f aca="false">COUNTIFS(Данные!$B$2:$B$722,14,Данные!$C$2:$C$722,2,Данные!$A$2:$A$722,"&gt;="&amp;77233620000,Данные!$A$2:$A$722,"&lt;="&amp;77233623339)</f>
        <v>0</v>
      </c>
      <c r="V25" s="62" t="n">
        <f aca="false">COUNTIFS(Данные!$B$2:$B$722,14,Данные!$C$2:$C$722,2,Данные!$A$2:$A$722,"&gt;="&amp;77233630000,Данные!$A$2:$A$722,"&lt;="&amp;77233630999)</f>
        <v>0</v>
      </c>
      <c r="W25" s="62" t="n">
        <f aca="false">COUNTIFS(Данные!$B$2:$B$722,14,Данные!$C$2:$C$722,2,Данные!$A$2:$A$722,"&gt;="&amp;77233637000,Данные!$A$2:$A$722,"&lt;="&amp;77233637599)</f>
        <v>0</v>
      </c>
      <c r="X25" s="62" t="n">
        <f aca="false">COUNTIFS(Данные!$B$2:$B$722,14,Данные!$C$2:$C$722,2,Данные!$A$2:$A$722,"&gt;="&amp;77233550000,Данные!$A$2:$A$722,"&lt;="&amp;77233550999)</f>
        <v>0</v>
      </c>
      <c r="Y25" s="62" t="n">
        <f aca="false">COUNTIFS(Данные!$B$2:$B$722,14,Данные!$C$2:$C$722,2,Данные!$A$2:$A$722,"&gt;="&amp;77233554000,Данные!$A$2:$A$722,"&lt;="&amp;77233554999)</f>
        <v>0</v>
      </c>
      <c r="Z25" s="62" t="n">
        <f aca="false">COUNTIFS(Данные!$B$2:$B$722,14,Данные!$C$2:$C$722,2,Данные!$A$2:$A$722,"&gt;="&amp;77233555000,Данные!$A$2:$A$722,"&lt;="&amp;77233556999)</f>
        <v>0</v>
      </c>
      <c r="AA25" s="62" t="n">
        <f aca="false">COUNTIFS(Данные!$B$2:$B$722,14,Данные!$C$2:$C$722,2,Данные!$A$2:$A$722,"&gt;="&amp;77233726000,Данные!$A$2:$A$722,"&lt;="&amp;77233726999)</f>
        <v>0</v>
      </c>
      <c r="AB25" s="62" t="n">
        <f aca="false">COUNTIFS(Данные!$B$2:$B$722,14,Данные!$C$2:$C$722,2,Данные!$A$2:$A$722,"&gt;="&amp;77233820000,Данные!$A$2:$A$722,"&lt;="&amp;77233820999)</f>
        <v>0</v>
      </c>
      <c r="AC25" s="62" t="n">
        <f aca="false">COUNTIFS(Данные!$B$2:$B$722,14,Данные!$C$2:$C$722,2,Данные!$A$2:$A$722,"&gt;="&amp;77233850000,Данные!$A$2:$A$722,"&lt;="&amp;77233850999)</f>
        <v>0</v>
      </c>
      <c r="AD25" s="62" t="n">
        <f aca="false">COUNTIFS(Данные!$B$2:$B$722,14,Данные!$C$2:$C$722,2,Данные!$A$2:$A$722,"&gt;="&amp;77233420000,Данные!$A$2:$A$722,"&lt;="&amp;77233420999)</f>
        <v>0</v>
      </c>
      <c r="AE25" s="62" t="n">
        <f aca="false">COUNTIFS(Данные!$B$2:$B$722,14,Данные!$C$2:$C$722,2,Данные!$A$2:$A$722,"&gt;="&amp;77234740000,Данные!$A$2:$A$722,"&lt;="&amp;77234742999)</f>
        <v>0</v>
      </c>
      <c r="AF25" s="62" t="n">
        <f aca="false">COUNTIFS(Данные!$B$2:$B$722,14,Данные!$C$2:$C$722,2,Данные!$A$2:$A$722,"&gt;="&amp;77234767000,Данные!$A$2:$A$722,"&lt;="&amp;77234767999)</f>
        <v>0</v>
      </c>
      <c r="AG25" s="62" t="n">
        <f aca="false">COUNTIFS(Данные!$B$2:$B$722,14,Данные!$C$2:$C$722,2,Данные!$A$2:$A$722,"&gt;="&amp;77234120000,Данные!$A$2:$A$722,"&lt;="&amp;77234120999)</f>
        <v>0</v>
      </c>
      <c r="AH25" s="62" t="n">
        <f aca="false">COUNTIFS(Данные!$B$2:$B$722,14,Данные!$C$2:$C$722,2,Данные!$A$2:$A$722,"&gt;="&amp;77234127000,Данные!$A$2:$A$722,"&lt;="&amp;77234127999)</f>
        <v>0</v>
      </c>
      <c r="AI25" s="62" t="n">
        <f aca="false">COUNTIFS(Данные!$B$2:$B$722,14,Данные!$C$2:$C$722,2,Данные!$A$2:$A$722,"&gt;="&amp;77234220000,Данные!$A$2:$A$722,"&lt;="&amp;77234220999)</f>
        <v>0</v>
      </c>
      <c r="AJ25" s="62" t="n">
        <f aca="false">COUNTIFS(Данные!$B$2:$B$722,14,Данные!$C$2:$C$722,2,Данные!$A$2:$A$722,"&gt;="&amp;77234250000,Данные!$A$2:$A$722,"&lt;="&amp;77234250999)</f>
        <v>0</v>
      </c>
      <c r="AK25" s="62" t="n">
        <f aca="false">COUNTIFS(Данные!$B$2:$B$722,14,Данные!$C$2:$C$722,2,Данные!$A$2:$A$722,"&gt;="&amp;77233922950,Данные!$A$2:$A$722,"&lt;="&amp;77233924999)</f>
        <v>0</v>
      </c>
      <c r="AL25" s="62" t="n">
        <f aca="false">COUNTIFS(Данные!$B$2:$B$722,14,Данные!$C$2:$C$722,2,Данные!$A$2:$A$722,"&gt;="&amp;77234320000,Данные!$A$2:$A$722,"&lt;="&amp;77234320999)</f>
        <v>0</v>
      </c>
      <c r="AM25" s="62" t="n">
        <f aca="false">COUNTIFS(Данные!$B$2:$B$722,14,Данные!$C$2:$C$722,2,Данные!$A$2:$A$722,"&gt;="&amp;77234350000,Данные!$A$2:$A$722,"&lt;="&amp;77234350999)</f>
        <v>0</v>
      </c>
      <c r="AN25" s="62" t="n">
        <f aca="false">COUNTIFS(Данные!$B$2:$B$722,14,Данные!$C$2:$C$722,2,Данные!$A$2:$A$722,"&gt;="&amp;77234020000,Данные!$A$2:$A$722,"&lt;="&amp;77234020999)</f>
        <v>0</v>
      </c>
      <c r="AO25" s="62" t="n">
        <f aca="false">COUNTIFS(Данные!$B$2:$B$722,14,Данные!$C$2:$C$722,2,Данные!$A$2:$A$722,"&gt;="&amp;77234029000,Данные!$A$2:$A$722,"&lt;="&amp;77234029999)</f>
        <v>0</v>
      </c>
      <c r="AP25" s="62" t="n">
        <f aca="false">COUNTIFS(Данные!$B$2:$B$722,14,Данные!$C$2:$C$722,2,Данные!$A$2:$A$722,"&gt;="&amp;77234050000,Данные!$A$2:$A$722,"&lt;="&amp;77234050999)</f>
        <v>0</v>
      </c>
      <c r="AQ25" s="62" t="n">
        <f aca="false">COUNTIFS(Данные!$B$2:$B$722,14,Данные!$C$2:$C$722,2,Данные!$A$2:$A$722,"&gt;="&amp;77234427000,Данные!$A$2:$A$722,"&lt;="&amp;77234428999)</f>
        <v>0</v>
      </c>
      <c r="AR25" s="62" t="n">
        <f aca="false">COUNTIFS(Данные!$B$2:$B$722,14,Данные!$C$2:$C$722,2,Данные!$A$2:$A$722,"&gt;="&amp;77234450000,Данные!$A$2:$A$722,"&lt;="&amp;77234450999)</f>
        <v>0</v>
      </c>
      <c r="AS25" s="62" t="n">
        <f aca="false">COUNTIFS(Данные!$B$2:$B$722,14,Данные!$C$2:$C$722,2,Данные!$A$2:$A$722,"&gt;="&amp;77234620000,Данные!$A$2:$A$722,"&lt;="&amp;77234620999)</f>
        <v>0</v>
      </c>
      <c r="AT25" s="62" t="n">
        <f aca="false">COUNTIFS(Данные!$B$2:$B$722,14,Данные!$C$2:$C$722,2,Данные!$A$2:$A$722,"&gt;="&amp;77234650000,Данные!$A$2:$A$722,"&lt;="&amp;77234650999)</f>
        <v>0</v>
      </c>
      <c r="AU25" s="62" t="n">
        <f aca="false">COUNTIFS(Данные!$B$2:$B$722,14,Данные!$C$2:$C$722,2,Данные!$A$2:$A$722,"&gt;="&amp;77234820000,Данные!$A$2:$A$722,"&lt;="&amp;77234820999)</f>
        <v>0</v>
      </c>
      <c r="AV25" s="62" t="n">
        <f aca="false">COUNTIFS(Данные!$B$2:$B$722,14,Данные!$C$2:$C$722,2,Данные!$A$2:$A$722,"&gt;="&amp;77234850000,Данные!$A$2:$A$722,"&lt;="&amp;77234850999)</f>
        <v>0</v>
      </c>
      <c r="AW25" s="62" t="n">
        <f aca="false">COUNTIFS(Данные!$B$2:$B$722,14,Данные!$C$2:$C$722,2,Данные!$A$2:$A$722,"&gt;="&amp;77233327000,Данные!$A$2:$A$722,"&lt;="&amp;77233327999)</f>
        <v>0</v>
      </c>
      <c r="AX25" s="62" t="n">
        <f aca="false">COUNTIFS(Данные!$B$2:$B$722,14,Данные!$C$2:$C$722,2,Данные!$A$2:$A$722,"&gt;="&amp;77233350000,Данные!$A$2:$A$722,"&lt;="&amp;77233350599)</f>
        <v>0</v>
      </c>
      <c r="AY25" s="62" t="n">
        <f aca="false">COUNTIFS(Данные!$B$2:$B$722,14,Данные!$C$2:$C$722,2,Данные!$A$2:$A$722,"&gt;="&amp;77233351000,Данные!$A$2:$A$722,"&lt;="&amp;77233351999)</f>
        <v>0</v>
      </c>
      <c r="AZ25" s="63" t="n">
        <f aca="false">COUNTIFS(Данные!$B$2:$B$722,14,Данные!$C$2:$C$722,2,Данные!$A$2:$A$722,"&gt;="&amp;7722440000,Данные!$A$2:$A$722,"&lt;="&amp;7722440999)</f>
        <v>0</v>
      </c>
      <c r="BA25" s="63" t="n">
        <f aca="false">COUNTIFS(Данные!$B$2:$B$722,14,Данные!$C$2:$C$722,2,Данные!$A$2:$A$722,"&gt;="&amp;7722442000,Данные!$A$2:$A$722,"&lt;="&amp;7722445659)</f>
        <v>0</v>
      </c>
      <c r="BB25" s="63" t="n">
        <f aca="false">COUNTIFS(Данные!$B$2:$B$722,14,Данные!$C$2:$C$722,2,Данные!$A$2:$A$722,"&gt;="&amp;7722450000,Данные!$A$2:$A$722,"&lt;="&amp;7722450199)</f>
        <v>0</v>
      </c>
      <c r="BC25" s="63" t="n">
        <f aca="false">COUNTIFS(Данные!$B$2:$B$722,14,Данные!$C$2:$C$722,2,Данные!$A$2:$A$722,"&gt;="&amp;7722451000,Данные!$A$2:$A$722,"&lt;="&amp;7722451374)</f>
        <v>0</v>
      </c>
      <c r="BD25" s="63" t="n">
        <f aca="false">COUNTIFS(Данные!$B$2:$B$722,14,Данные!$C$2:$C$722,2,Данные!$A$2:$A$722,"&gt;="&amp;7722452000,Данные!$A$2:$A$722,"&lt;="&amp;7722452299)</f>
        <v>0</v>
      </c>
      <c r="BE25" s="63" t="n">
        <f aca="false">COUNTIFS(Данные!$B$2:$B$722,14,Данные!$C$2:$C$722,2,Данные!$A$2:$A$722,"&gt;="&amp;7722453000,Данные!$A$2:$A$722,"&lt;="&amp;7722453816)</f>
        <v>0</v>
      </c>
      <c r="BF25" s="63" t="n">
        <f aca="false">COUNTIFS(Данные!$B$2:$B$722,14,Данные!$C$2:$C$722,2,Данные!$A$2:$A$722,"&gt;="&amp;7722454000,Данные!$A$2:$A$722,"&lt;="&amp;7722454099)</f>
        <v>0</v>
      </c>
      <c r="BG25" s="63" t="n">
        <f aca="false">COUNTIFS(Данные!$B$2:$B$722,14,Данные!$C$2:$C$722,2,Данные!$A$2:$A$722,"&gt;="&amp;7722458000,Данные!$A$2:$A$722,"&lt;="&amp;7722458999)</f>
        <v>0</v>
      </c>
      <c r="BH25" s="63" t="n">
        <f aca="false">COUNTIFS(Данные!$B$2:$B$722,14,Данные!$C$2:$C$722,2,Данные!$A$2:$A$722,"&gt;="&amp;7722630000,Данные!$A$2:$A$722,"&lt;="&amp;7722638549)</f>
        <v>0</v>
      </c>
      <c r="BI25" s="63" t="n">
        <f aca="false">COUNTIFS(Данные!$B$2:$B$722,14,Данные!$C$2:$C$722,2,Данные!$A$2:$A$722,"&gt;="&amp;7722639400,Данные!$A$2:$A$722,"&lt;="&amp;7722639899)</f>
        <v>0</v>
      </c>
      <c r="BJ25" s="63" t="n">
        <f aca="false">COUNTIFS(Данные!$B$2:$B$722,14,Данные!$C$2:$C$722,2,Данные!$A$2:$A$722,"&gt;="&amp;7725750000,Данные!$A$2:$A$722,"&lt;="&amp;7725750399)</f>
        <v>0</v>
      </c>
      <c r="BK25" s="63" t="n">
        <f aca="false">COUNTIFS(Данные!$B$2:$B$722,14,Данные!$C$2:$C$722,2,Данные!$A$2:$A$722,"&gt;="&amp;7723620000,Данные!$A$2:$A$722,"&lt;="&amp;7723621299)</f>
        <v>0</v>
      </c>
      <c r="BL25" s="63" t="n">
        <f aca="false">COUNTIFS(Данные!$B$2:$B$722,14,Данные!$C$2:$C$722,2,Данные!$A$2:$A$722,"&gt;="&amp;7723621600,Данные!$A$2:$A$722,"&lt;="&amp;7723623399)</f>
        <v>0</v>
      </c>
      <c r="BM25" s="63" t="n">
        <f aca="false">COUNTIFS(Данные!$B$2:$B$722,14,Данные!$C$2:$C$722,2,Данные!$A$2:$A$722,"&gt;="&amp;7725127000,Данные!$A$2:$A$722,"&lt;="&amp;7725127999)</f>
        <v>0</v>
      </c>
      <c r="BN25" s="63" t="n">
        <f aca="false">COUNTIFS(Данные!$B$2:$B$722,14,Данные!$C$2:$C$722,2,Данные!$A$2:$A$722,"&gt;="&amp;7723772000,Данные!$A$2:$A$722,"&lt;="&amp;7723724999)</f>
        <v>0</v>
      </c>
      <c r="BO25" s="62" t="n">
        <f aca="false">COUNTIFS(Данные!$B$2:$B$722,14,Данные!$C$2:$C$722,2,Данные!$A$2:$A$722,"&gt;="&amp;7723765000,Данные!$A$2:$A$722,"&lt;="&amp;7723765499)</f>
        <v>0</v>
      </c>
      <c r="BP25" s="63" t="n">
        <f aca="false">COUNTIFS(Данные!$B$2:$B$722,14,Данные!$C$2:$C$722,2,Данные!$A$2:$A$722,"&gt;="&amp;7723948000,Данные!$A$2:$A$722,"&lt;="&amp;7723948999)</f>
        <v>0</v>
      </c>
      <c r="BQ25" s="63" t="n">
        <f aca="false">COUNTIFS(Данные!$B$2:$B$722,14,Данные!$C$2:$C$722,2,Данные!$A$2:$A$722,"&gt;="&amp;7723950000,Данные!$A$2:$A$722,"&lt;="&amp;7723951099)</f>
        <v>0</v>
      </c>
      <c r="BR25" s="63" t="n">
        <f aca="false">COUNTIFS(Данные!$B$2:$B$722,14,Данные!$C$2:$C$722,2,Данные!$A$2:$A$722,"&gt;="&amp;7723020000,Данные!$A$2:$A$722,"&lt;="&amp;7723020999)</f>
        <v>0</v>
      </c>
      <c r="BS25" s="63" t="n">
        <f aca="false">COUNTIFS(Данные!$B$2:$B$722,14,Данные!$C$2:$C$722,2,Данные!$A$2:$A$722,"&gt;="&amp;7723029000,Данные!$A$2:$A$722,"&lt;="&amp;7723029999)</f>
        <v>0</v>
      </c>
      <c r="BT25" s="63" t="n">
        <f aca="false">COUNTIFS(Данные!$B$2:$B$722,14,Данные!$C$2:$C$722,2,Данные!$A$2:$A$722,"&gt;="&amp;7723055000,Данные!$A$2:$A$722,"&lt;="&amp;7723056549)</f>
        <v>0</v>
      </c>
      <c r="BU25" s="62" t="n">
        <f aca="false">COUNTIFS(Данные!$B$2:$B$722,14,Данные!$C$2:$C$722,2,Данные!$A$2:$A$722,"&gt;="&amp;7725250000,Данные!$A$2:$A$722,"&lt;="&amp;7725250499)</f>
        <v>0</v>
      </c>
      <c r="BV25" s="63" t="n">
        <f aca="false">COUNTIFS(Данные!$B$2:$B$722,14,Данные!$C$2:$C$722,2,Данные!$A$2:$A$722,"&gt;="&amp;7183841400,Данные!$A$2:$A$722,"&lt;="&amp;7183841499)</f>
        <v>0</v>
      </c>
      <c r="BW25" s="40" t="n">
        <v>300</v>
      </c>
      <c r="BX25" s="64" t="n">
        <f aca="false">F25-BW25</f>
        <v>-300</v>
      </c>
    </row>
    <row r="26" s="15" customFormat="true" ht="12" hidden="false" customHeight="true" outlineLevel="0" collapsed="false">
      <c r="A26" s="47" t="n">
        <v>15</v>
      </c>
      <c r="B26" s="48" t="s">
        <v>68</v>
      </c>
      <c r="C26" s="50" t="n">
        <v>0</v>
      </c>
      <c r="D26" s="50" t="n">
        <v>150</v>
      </c>
      <c r="E26" s="51" t="n">
        <f aca="false">SUM(F26:F28)</f>
        <v>0</v>
      </c>
      <c r="F26" s="65" t="n">
        <f aca="false">COUNTIFS(Данные!$B$2:$B$722,15,Данные!$C$2:$C$722,0)</f>
        <v>0</v>
      </c>
      <c r="G26" s="65" t="n">
        <f aca="false">COUNTIFS(Данные!$B$2:$B$722,15,Данные!$C$2:$C$722,0,Данные!$A$2:$A$722,"&gt;="&amp;77232210840,Данные!$A$2:$A$722,"&lt;="&amp;77232216999)</f>
        <v>0</v>
      </c>
      <c r="H26" s="65" t="n">
        <f aca="false">COUNTIFS(Данные!$B$2:$B$722,15,Данные!$C$2:$C$722,0,Данные!$A$2:$A$722,"&gt;="&amp;77232510512,Данные!$A$2:$A$722,"&lt;="&amp;77232519487)</f>
        <v>0</v>
      </c>
      <c r="I26" s="65" t="n">
        <f aca="false">COUNTIFS(Данные!$B$2:$B$722,15,Данные!$C$2:$C$722,0,Данные!$A$2:$A$722,"&gt;="&amp;77232524160,Данные!$A$2:$A$722,"&lt;="&amp;77232529999)</f>
        <v>0</v>
      </c>
      <c r="J26" s="65" t="n">
        <f aca="false">COUNTIFS(Данные!$B$2:$B$722,15,Данные!$C$2:$C$722,0,Данные!$A$2:$A$722,"&gt;="&amp;77232544000,Данные!$A$2:$A$722,"&lt;="&amp;77232544999)</f>
        <v>0</v>
      </c>
      <c r="K26" s="65" t="n">
        <f aca="false">COUNTIFS(Данные!$B$2:$B$722,15,Данные!$C$2:$C$722,0,Данные!$A$2:$A$722,"&gt;="&amp;77232295504,Данные!$A$2:$A$722,"&lt;="&amp;77232296999)</f>
        <v>0</v>
      </c>
      <c r="L26" s="65" t="n">
        <f aca="false">COUNTIFS(Данные!$B$2:$B$722,15,Данные!$C$2:$C$722,0,Данные!$A$2:$A$722,"&gt;="&amp;77232785000,Данные!$A$2:$A$722,"&lt;="&amp;77232789999)</f>
        <v>0</v>
      </c>
      <c r="M26" s="65" t="n">
        <f aca="false">COUNTIFS(Данные!$B$2:$B$722,15,Данные!$C$2:$C$722,0,Данные!$A$2:$A$722,"&gt;="&amp;77233150000,Данные!$A$2:$A$722,"&lt;="&amp;77233155999)</f>
        <v>0</v>
      </c>
      <c r="N26" s="65" t="n">
        <f aca="false">COUNTIFS(Данные!$B$2:$B$722,15,Данные!$C$2:$C$722,0,Данные!$A$2:$A$722,"&gt;="&amp;77233235000,Данные!$A$2:$A$722,"&lt;="&amp;77233235999)</f>
        <v>0</v>
      </c>
      <c r="O26" s="65" t="n">
        <f aca="false">COUNTIFS(Данные!$B$2:$B$722,15,Данные!$C$2:$C$722,0,Данные!$A$2:$A$722,"&gt;="&amp;77233239000,Данные!$A$2:$A$722,"&lt;="&amp;77233239999)</f>
        <v>0</v>
      </c>
      <c r="P26" s="65" t="n">
        <f aca="false">COUNTIFS(Данные!$B$2:$B$722,15,Данные!$C$2:$C$722,0,Данные!$A$2:$A$722,"&gt;="&amp;77233272000,Данные!$A$2:$A$722,"&lt;="&amp;77233272999)</f>
        <v>0</v>
      </c>
      <c r="Q26" s="65" t="n">
        <f aca="false">COUNTIFS(Данные!$B$2:$B$722,15,Данные!$C$2:$C$722,0,Данные!$A$2:$A$722,"&gt;="&amp;77233291100,Данные!$A$2:$A$722,"&lt;="&amp;77233292999)</f>
        <v>0</v>
      </c>
      <c r="R26" s="65" t="n">
        <f aca="false">COUNTIFS(Данные!$B$2:$B$722,15,Данные!$C$2:$C$722,0,Данные!$A$2:$A$722,"&gt;="&amp;77233297000,Данные!$A$2:$A$722,"&lt;="&amp;77233298399)</f>
        <v>0</v>
      </c>
      <c r="S26" s="65" t="n">
        <f aca="false">COUNTIFS(Данные!$B$2:$B$722,15,Данные!$C$2:$C$722,0,Данные!$A$2:$A$722,"&gt;="&amp;77235124000,Данные!$A$2:$A$722,"&lt;="&amp;77235128499)</f>
        <v>0</v>
      </c>
      <c r="T26" s="65" t="n">
        <f aca="false">COUNTIFS(Данные!$B$2:$B$722,15,Данные!$C$2:$C$722,0,Данные!$A$2:$A$722,"&gt;="&amp;77235320000,Данные!$A$2:$A$722,"&lt;="&amp;77235320999)</f>
        <v>0</v>
      </c>
      <c r="U26" s="65" t="n">
        <f aca="false">COUNTIFS(Данные!$B$2:$B$722,15,Данные!$C$2:$C$722,0,Данные!$A$2:$A$722,"&gt;="&amp;77233620000,Данные!$A$2:$A$722,"&lt;="&amp;77233623339)</f>
        <v>0</v>
      </c>
      <c r="V26" s="65" t="n">
        <f aca="false">COUNTIFS(Данные!$B$2:$B$722,15,Данные!$C$2:$C$722,0,Данные!$A$2:$A$722,"&gt;="&amp;77233630000,Данные!$A$2:$A$722,"&lt;="&amp;77233630999)</f>
        <v>0</v>
      </c>
      <c r="W26" s="65" t="n">
        <f aca="false">COUNTIFS(Данные!$B$2:$B$722,15,Данные!$C$2:$C$722,0,Данные!$A$2:$A$722,"&gt;="&amp;77233637000,Данные!$A$2:$A$722,"&lt;="&amp;77233637599)</f>
        <v>0</v>
      </c>
      <c r="X26" s="65" t="n">
        <f aca="false">COUNTIFS(Данные!$B$2:$B$722,15,Данные!$C$2:$C$722,0,Данные!$A$2:$A$722,"&gt;="&amp;77233550000,Данные!$A$2:$A$722,"&lt;="&amp;77233550999)</f>
        <v>0</v>
      </c>
      <c r="Y26" s="65" t="n">
        <f aca="false">COUNTIFS(Данные!$B$2:$B$722,15,Данные!$C$2:$C$722,0,Данные!$A$2:$A$722,"&gt;="&amp;77233554000,Данные!$A$2:$A$722,"&lt;="&amp;77233554999)</f>
        <v>0</v>
      </c>
      <c r="Z26" s="65" t="n">
        <f aca="false">COUNTIFS(Данные!$B$2:$B$722,15,Данные!$C$2:$C$722,0,Данные!$A$2:$A$722,"&gt;="&amp;77233555000,Данные!$A$2:$A$722,"&lt;="&amp;77233556999)</f>
        <v>0</v>
      </c>
      <c r="AA26" s="65" t="n">
        <f aca="false">COUNTIFS(Данные!$B$2:$B$722,15,Данные!$C$2:$C$722,0,Данные!$A$2:$A$722,"&gt;="&amp;77233726000,Данные!$A$2:$A$722,"&lt;="&amp;77233726999)</f>
        <v>0</v>
      </c>
      <c r="AB26" s="65" t="n">
        <f aca="false">COUNTIFS(Данные!$B$2:$B$722,15,Данные!$C$2:$C$722,0,Данные!$A$2:$A$722,"&gt;="&amp;77233820000,Данные!$A$2:$A$722,"&lt;="&amp;77233820999)</f>
        <v>0</v>
      </c>
      <c r="AC26" s="65" t="n">
        <f aca="false">COUNTIFS(Данные!$B$2:$B$722,15,Данные!$C$2:$C$722,0,Данные!$A$2:$A$722,"&gt;="&amp;77233850000,Данные!$A$2:$A$722,"&lt;="&amp;77233850999)</f>
        <v>0</v>
      </c>
      <c r="AD26" s="65" t="n">
        <f aca="false">COUNTIFS(Данные!$B$2:$B$722,15,Данные!$C$2:$C$722,0,Данные!$A$2:$A$722,"&gt;="&amp;77233420000,Данные!$A$2:$A$722,"&lt;="&amp;77233420999)</f>
        <v>0</v>
      </c>
      <c r="AE26" s="65" t="n">
        <f aca="false">COUNTIFS(Данные!$B$2:$B$722,15,Данные!$C$2:$C$722,0,Данные!$A$2:$A$722,"&gt;="&amp;77234740000,Данные!$A$2:$A$722,"&lt;="&amp;77234742999)</f>
        <v>0</v>
      </c>
      <c r="AF26" s="65" t="n">
        <f aca="false">COUNTIFS(Данные!$B$2:$B$722,15,Данные!$C$2:$C$722,0,Данные!$A$2:$A$722,"&gt;="&amp;77234767000,Данные!$A$2:$A$722,"&lt;="&amp;77234767999)</f>
        <v>0</v>
      </c>
      <c r="AG26" s="65" t="n">
        <f aca="false">COUNTIFS(Данные!$B$2:$B$722,15,Данные!$C$2:$C$722,0,Данные!$A$2:$A$722,"&gt;="&amp;77234120000,Данные!$A$2:$A$722,"&lt;="&amp;77234120999)</f>
        <v>0</v>
      </c>
      <c r="AH26" s="65" t="n">
        <f aca="false">COUNTIFS(Данные!$B$2:$B$722,15,Данные!$C$2:$C$722,0,Данные!$A$2:$A$722,"&gt;="&amp;77234127000,Данные!$A$2:$A$722,"&lt;="&amp;77234127999)</f>
        <v>0</v>
      </c>
      <c r="AI26" s="65" t="n">
        <f aca="false">COUNTIFS(Данные!$B$2:$B$722,15,Данные!$C$2:$C$722,0,Данные!$A$2:$A$722,"&gt;="&amp;77234220000,Данные!$A$2:$A$722,"&lt;="&amp;77234220999)</f>
        <v>0</v>
      </c>
      <c r="AJ26" s="65" t="n">
        <f aca="false">COUNTIFS(Данные!$B$2:$B$722,15,Данные!$C$2:$C$722,0,Данные!$A$2:$A$722,"&gt;="&amp;77234250000,Данные!$A$2:$A$722,"&lt;="&amp;77234250999)</f>
        <v>0</v>
      </c>
      <c r="AK26" s="65" t="n">
        <f aca="false">COUNTIFS(Данные!$B$2:$B$722,15,Данные!$C$2:$C$722,0,Данные!$A$2:$A$722,"&gt;="&amp;77233922950,Данные!$A$2:$A$722,"&lt;="&amp;77233924999)</f>
        <v>0</v>
      </c>
      <c r="AL26" s="65" t="n">
        <f aca="false">COUNTIFS(Данные!$B$2:$B$722,15,Данные!$C$2:$C$722,0,Данные!$A$2:$A$722,"&gt;="&amp;77234320000,Данные!$A$2:$A$722,"&lt;="&amp;77234320999)</f>
        <v>0</v>
      </c>
      <c r="AM26" s="65" t="n">
        <f aca="false">COUNTIFS(Данные!$B$2:$B$722,15,Данные!$C$2:$C$722,0,Данные!$A$2:$A$722,"&gt;="&amp;77234350000,Данные!$A$2:$A$722,"&lt;="&amp;77234350999)</f>
        <v>0</v>
      </c>
      <c r="AN26" s="65" t="n">
        <f aca="false">COUNTIFS(Данные!$B$2:$B$722,15,Данные!$C$2:$C$722,0,Данные!$A$2:$A$722,"&gt;="&amp;77234020000,Данные!$A$2:$A$722,"&lt;="&amp;77234020999)</f>
        <v>0</v>
      </c>
      <c r="AO26" s="65" t="n">
        <f aca="false">COUNTIFS(Данные!$B$2:$B$722,15,Данные!$C$2:$C$722,0,Данные!$A$2:$A$722,"&gt;="&amp;77234029000,Данные!$A$2:$A$722,"&lt;="&amp;77234029999)</f>
        <v>0</v>
      </c>
      <c r="AP26" s="65" t="n">
        <f aca="false">COUNTIFS(Данные!$B$2:$B$722,15,Данные!$C$2:$C$722,0,Данные!$A$2:$A$722,"&gt;="&amp;77234050000,Данные!$A$2:$A$722,"&lt;="&amp;77234050999)</f>
        <v>0</v>
      </c>
      <c r="AQ26" s="65" t="n">
        <f aca="false">COUNTIFS(Данные!$B$2:$B$722,15,Данные!$C$2:$C$722,0,Данные!$A$2:$A$722,"&gt;="&amp;77234427000,Данные!$A$2:$A$722,"&lt;="&amp;77234428999)</f>
        <v>0</v>
      </c>
      <c r="AR26" s="65" t="n">
        <f aca="false">COUNTIFS(Данные!$B$2:$B$722,15,Данные!$C$2:$C$722,0,Данные!$A$2:$A$722,"&gt;="&amp;77234450000,Данные!$A$2:$A$722,"&lt;="&amp;77234450999)</f>
        <v>0</v>
      </c>
      <c r="AS26" s="65" t="n">
        <f aca="false">COUNTIFS(Данные!$B$2:$B$722,15,Данные!$C$2:$C$722,0,Данные!$A$2:$A$722,"&gt;="&amp;77234620000,Данные!$A$2:$A$722,"&lt;="&amp;77234620999)</f>
        <v>0</v>
      </c>
      <c r="AT26" s="65" t="n">
        <f aca="false">COUNTIFS(Данные!$B$2:$B$722,15,Данные!$C$2:$C$722,0,Данные!$A$2:$A$722,"&gt;="&amp;77234650000,Данные!$A$2:$A$722,"&lt;="&amp;77234650999)</f>
        <v>0</v>
      </c>
      <c r="AU26" s="65" t="n">
        <f aca="false">COUNTIFS(Данные!$B$2:$B$722,15,Данные!$C$2:$C$722,0,Данные!$A$2:$A$722,"&gt;="&amp;77234820000,Данные!$A$2:$A$722,"&lt;="&amp;77234820999)</f>
        <v>0</v>
      </c>
      <c r="AV26" s="65" t="n">
        <f aca="false">COUNTIFS(Данные!$B$2:$B$722,15,Данные!$C$2:$C$722,0,Данные!$A$2:$A$722,"&gt;="&amp;77234850000,Данные!$A$2:$A$722,"&lt;="&amp;77234850999)</f>
        <v>0</v>
      </c>
      <c r="AW26" s="65" t="n">
        <f aca="false">COUNTIFS(Данные!$B$2:$B$722,15,Данные!$C$2:$C$722,0,Данные!$A$2:$A$722,"&gt;="&amp;77233327000,Данные!$A$2:$A$722,"&lt;="&amp;77233327999)</f>
        <v>0</v>
      </c>
      <c r="AX26" s="65" t="n">
        <f aca="false">COUNTIFS(Данные!$B$2:$B$722,15,Данные!$C$2:$C$722,0,Данные!$A$2:$A$722,"&gt;="&amp;77233350000,Данные!$A$2:$A$722,"&lt;="&amp;77233350599)</f>
        <v>0</v>
      </c>
      <c r="AY26" s="65" t="n">
        <f aca="false">COUNTIFS(Данные!$B$2:$B$722,15,Данные!$C$2:$C$722,0,Данные!$A$2:$A$722,"&gt;="&amp;77233351000,Данные!$A$2:$A$722,"&lt;="&amp;77233351999)</f>
        <v>0</v>
      </c>
      <c r="AZ26" s="66" t="n">
        <f aca="false">COUNTIFS(Данные!$B$2:$B$722,15,Данные!$C$2:$C$722,0,Данные!$A$2:$A$722,"&gt;="&amp;7722440000,Данные!$A$2:$A$722,"&lt;="&amp;7722440999)</f>
        <v>0</v>
      </c>
      <c r="BA26" s="66" t="n">
        <f aca="false">COUNTIFS(Данные!$B$2:$B$722,15,Данные!$C$2:$C$722,0,Данные!$A$2:$A$722,"&gt;="&amp;7722442000,Данные!$A$2:$A$722,"&lt;="&amp;7722445659)</f>
        <v>0</v>
      </c>
      <c r="BB26" s="66" t="n">
        <f aca="false">COUNTIFS(Данные!$B$2:$B$722,15,Данные!$C$2:$C$722,0,Данные!$A$2:$A$722,"&gt;="&amp;7722450000,Данные!$A$2:$A$722,"&lt;="&amp;7722450199)</f>
        <v>0</v>
      </c>
      <c r="BC26" s="66" t="n">
        <f aca="false">COUNTIFS(Данные!$B$2:$B$722,15,Данные!$C$2:$C$722,0,Данные!$A$2:$A$722,"&gt;="&amp;7722451000,Данные!$A$2:$A$722,"&lt;="&amp;7722451374)</f>
        <v>0</v>
      </c>
      <c r="BD26" s="66" t="n">
        <f aca="false">COUNTIFS(Данные!$B$2:$B$722,15,Данные!$C$2:$C$722,0,Данные!$A$2:$A$722,"&gt;="&amp;7722452000,Данные!$A$2:$A$722,"&lt;="&amp;7722452299)</f>
        <v>0</v>
      </c>
      <c r="BE26" s="66" t="n">
        <f aca="false">COUNTIFS(Данные!$B$2:$B$722,15,Данные!$C$2:$C$722,0,Данные!$A$2:$A$722,"&gt;="&amp;7722453000,Данные!$A$2:$A$722,"&lt;="&amp;7722453816)</f>
        <v>0</v>
      </c>
      <c r="BF26" s="66" t="n">
        <f aca="false">COUNTIFS(Данные!$B$2:$B$722,15,Данные!$C$2:$C$722,0,Данные!$A$2:$A$722,"&gt;="&amp;7722454000,Данные!$A$2:$A$722,"&lt;="&amp;7722454099)</f>
        <v>0</v>
      </c>
      <c r="BG26" s="66" t="n">
        <f aca="false">COUNTIFS(Данные!$B$2:$B$722,15,Данные!$C$2:$C$722,0,Данные!$A$2:$A$722,"&gt;="&amp;7722458000,Данные!$A$2:$A$722,"&lt;="&amp;7722458999)</f>
        <v>0</v>
      </c>
      <c r="BH26" s="66" t="n">
        <f aca="false">COUNTIFS(Данные!$B$2:$B$722,15,Данные!$C$2:$C$722,0,Данные!$A$2:$A$722,"&gt;="&amp;7722630000,Данные!$A$2:$A$722,"&lt;="&amp;7722638549)</f>
        <v>0</v>
      </c>
      <c r="BI26" s="66" t="n">
        <f aca="false">COUNTIFS(Данные!$B$2:$B$722,15,Данные!$C$2:$C$722,0,Данные!$A$2:$A$722,"&gt;="&amp;7722639400,Данные!$A$2:$A$722,"&lt;="&amp;7722639899)</f>
        <v>0</v>
      </c>
      <c r="BJ26" s="66" t="n">
        <f aca="false">COUNTIFS(Данные!$B$2:$B$722,15,Данные!$C$2:$C$722,0,Данные!$A$2:$A$722,"&gt;="&amp;7725750000,Данные!$A$2:$A$722,"&lt;="&amp;7725750399)</f>
        <v>0</v>
      </c>
      <c r="BK26" s="66" t="n">
        <f aca="false">COUNTIFS(Данные!$B$2:$B$722,15,Данные!$C$2:$C$722,0,Данные!$A$2:$A$722,"&gt;="&amp;7723620000,Данные!$A$2:$A$722,"&lt;="&amp;7723621299)</f>
        <v>0</v>
      </c>
      <c r="BL26" s="66" t="n">
        <f aca="false">COUNTIFS(Данные!$B$2:$B$722,15,Данные!$C$2:$C$722,0,Данные!$A$2:$A$722,"&gt;="&amp;7723621600,Данные!$A$2:$A$722,"&lt;="&amp;7723623399)</f>
        <v>0</v>
      </c>
      <c r="BM26" s="66" t="n">
        <f aca="false">COUNTIFS(Данные!$B$2:$B$722,15,Данные!$C$2:$C$722,0,Данные!$A$2:$A$722,"&gt;="&amp;7725127000,Данные!$A$2:$A$722,"&lt;="&amp;7725127999)</f>
        <v>0</v>
      </c>
      <c r="BN26" s="66" t="n">
        <f aca="false">COUNTIFS(Данные!$B$2:$B$722,15,Данные!$C$2:$C$722,0,Данные!$A$2:$A$722,"&gt;="&amp;7723772000,Данные!$A$2:$A$722,"&lt;="&amp;7723724999)</f>
        <v>0</v>
      </c>
      <c r="BO26" s="65" t="n">
        <f aca="false">COUNTIFS(Данные!$B$2:$B$722,15,Данные!$C$2:$C$722,0,Данные!$A$2:$A$722,"&gt;="&amp;7723765000,Данные!$A$2:$A$722,"&lt;="&amp;7723765499)</f>
        <v>0</v>
      </c>
      <c r="BP26" s="66" t="n">
        <f aca="false">COUNTIFS(Данные!$B$2:$B$722,15,Данные!$C$2:$C$722,0,Данные!$A$2:$A$722,"&gt;="&amp;7723948000,Данные!$A$2:$A$722,"&lt;="&amp;7723948999)</f>
        <v>0</v>
      </c>
      <c r="BQ26" s="66" t="n">
        <f aca="false">COUNTIFS(Данные!$B$2:$B$722,15,Данные!$C$2:$C$722,0,Данные!$A$2:$A$722,"&gt;="&amp;7723950000,Данные!$A$2:$A$722,"&lt;="&amp;7723951099)</f>
        <v>0</v>
      </c>
      <c r="BR26" s="66" t="n">
        <f aca="false">COUNTIFS(Данные!$B$2:$B$722,15,Данные!$C$2:$C$722,0,Данные!$A$2:$A$722,"&gt;="&amp;7723020000,Данные!$A$2:$A$722,"&lt;="&amp;7723020999)</f>
        <v>0</v>
      </c>
      <c r="BS26" s="66" t="n">
        <f aca="false">COUNTIFS(Данные!$B$2:$B$722,15,Данные!$C$2:$C$722,0,Данные!$A$2:$A$722,"&gt;="&amp;7723029000,Данные!$A$2:$A$722,"&lt;="&amp;7723029999)</f>
        <v>0</v>
      </c>
      <c r="BT26" s="66" t="n">
        <f aca="false">COUNTIFS(Данные!$B$2:$B$722,15,Данные!$C$2:$C$722,0,Данные!$A$2:$A$722,"&gt;="&amp;7723055000,Данные!$A$2:$A$722,"&lt;="&amp;7723056549)</f>
        <v>0</v>
      </c>
      <c r="BU26" s="65" t="n">
        <f aca="false">COUNTIFS(Данные!$B$2:$B$722,15,Данные!$C$2:$C$722,0,Данные!$A$2:$A$722,"&gt;="&amp;7725250000,Данные!$A$2:$A$722,"&lt;="&amp;7725250499)</f>
        <v>0</v>
      </c>
      <c r="BV26" s="66" t="n">
        <f aca="false">COUNTIFS(Данные!$B$2:$B$722,15,Данные!$C$2:$C$722,0,Данные!$A$2:$A$722,"&gt;="&amp;7183841400,Данные!$A$2:$A$722,"&lt;="&amp;7183841499)</f>
        <v>0</v>
      </c>
      <c r="BW26" s="49" t="n">
        <v>300</v>
      </c>
      <c r="BX26" s="67" t="n">
        <f aca="false">F26-BW26</f>
        <v>-300</v>
      </c>
    </row>
    <row r="27" s="15" customFormat="true" ht="12" hidden="false" customHeight="true" outlineLevel="0" collapsed="false">
      <c r="A27" s="47"/>
      <c r="B27" s="48"/>
      <c r="C27" s="50" t="n">
        <v>1</v>
      </c>
      <c r="D27" s="50" t="n">
        <v>151</v>
      </c>
      <c r="E27" s="51"/>
      <c r="F27" s="65" t="n">
        <f aca="false">COUNTIFS(Данные!$B$2:$B$722,15,Данные!$C$2:$C$722,1)</f>
        <v>0</v>
      </c>
      <c r="G27" s="65" t="n">
        <f aca="false">COUNTIFS(Данные!$B$2:$B$722,15,Данные!$C$2:$C$722,1,Данные!$A$2:$A$722,"&gt;="&amp;77232210840,Данные!$A$2:$A$722,"&lt;="&amp;77232216999)</f>
        <v>0</v>
      </c>
      <c r="H27" s="65" t="n">
        <f aca="false">COUNTIFS(Данные!$B$2:$B$722,15,Данные!$C$2:$C$722,1,Данные!$A$2:$A$722,"&gt;="&amp;77232510512,Данные!$A$2:$A$722,"&lt;="&amp;77232519487)</f>
        <v>0</v>
      </c>
      <c r="I27" s="65" t="n">
        <f aca="false">COUNTIFS(Данные!$B$2:$B$722,15,Данные!$C$2:$C$722,1,Данные!$A$2:$A$722,"&gt;="&amp;77232524160,Данные!$A$2:$A$722,"&lt;="&amp;77232529999)</f>
        <v>0</v>
      </c>
      <c r="J27" s="65" t="n">
        <f aca="false">COUNTIFS(Данные!$B$2:$B$722,15,Данные!$C$2:$C$722,1,Данные!$A$2:$A$722,"&gt;="&amp;77232544000,Данные!$A$2:$A$722,"&lt;="&amp;77232544999)</f>
        <v>0</v>
      </c>
      <c r="K27" s="65" t="n">
        <f aca="false">COUNTIFS(Данные!$B$2:$B$722,15,Данные!$C$2:$C$722,1,Данные!$A$2:$A$722,"&gt;="&amp;77232295504,Данные!$A$2:$A$722,"&lt;="&amp;77232296999)</f>
        <v>0</v>
      </c>
      <c r="L27" s="65" t="n">
        <f aca="false">COUNTIFS(Данные!$B$2:$B$722,15,Данные!$C$2:$C$722,1,Данные!$A$2:$A$722,"&gt;="&amp;77232785000,Данные!$A$2:$A$722,"&lt;="&amp;77232789999)</f>
        <v>0</v>
      </c>
      <c r="M27" s="65" t="n">
        <f aca="false">COUNTIFS(Данные!$B$2:$B$722,15,Данные!$C$2:$C$722,1,Данные!$A$2:$A$722,"&gt;="&amp;77233150000,Данные!$A$2:$A$722,"&lt;="&amp;77233155999)</f>
        <v>0</v>
      </c>
      <c r="N27" s="65" t="n">
        <f aca="false">COUNTIFS(Данные!$B$2:$B$722,15,Данные!$C$2:$C$722,1,Данные!$A$2:$A$722,"&gt;="&amp;77233235000,Данные!$A$2:$A$722,"&lt;="&amp;77233235999)</f>
        <v>0</v>
      </c>
      <c r="O27" s="65" t="n">
        <f aca="false">COUNTIFS(Данные!$B$2:$B$722,15,Данные!$C$2:$C$722,1,Данные!$A$2:$A$722,"&gt;="&amp;77233239000,Данные!$A$2:$A$722,"&lt;="&amp;77233239999)</f>
        <v>0</v>
      </c>
      <c r="P27" s="65" t="n">
        <f aca="false">COUNTIFS(Данные!$B$2:$B$722,15,Данные!$C$2:$C$722,1,Данные!$A$2:$A$722,"&gt;="&amp;77233272000,Данные!$A$2:$A$722,"&lt;="&amp;77233272999)</f>
        <v>0</v>
      </c>
      <c r="Q27" s="65" t="n">
        <f aca="false">COUNTIFS(Данные!$B$2:$B$722,15,Данные!$C$2:$C$722,1,Данные!$A$2:$A$722,"&gt;="&amp;77233291100,Данные!$A$2:$A$722,"&lt;="&amp;77233292999)</f>
        <v>0</v>
      </c>
      <c r="R27" s="65" t="n">
        <f aca="false">COUNTIFS(Данные!$B$2:$B$722,15,Данные!$C$2:$C$722,1,Данные!$A$2:$A$722,"&gt;="&amp;77233297000,Данные!$A$2:$A$722,"&lt;="&amp;77233298399)</f>
        <v>0</v>
      </c>
      <c r="S27" s="65" t="n">
        <f aca="false">COUNTIFS(Данные!$B$2:$B$722,15,Данные!$C$2:$C$722,1,Данные!$A$2:$A$722,"&gt;="&amp;77235124000,Данные!$A$2:$A$722,"&lt;="&amp;77235128499)</f>
        <v>0</v>
      </c>
      <c r="T27" s="65" t="n">
        <f aca="false">COUNTIFS(Данные!$B$2:$B$722,15,Данные!$C$2:$C$722,1,Данные!$A$2:$A$722,"&gt;="&amp;77235320000,Данные!$A$2:$A$722,"&lt;="&amp;77235320999)</f>
        <v>0</v>
      </c>
      <c r="U27" s="65" t="n">
        <f aca="false">COUNTIFS(Данные!$B$2:$B$722,15,Данные!$C$2:$C$722,1,Данные!$A$2:$A$722,"&gt;="&amp;77233620000,Данные!$A$2:$A$722,"&lt;="&amp;77233623339)</f>
        <v>0</v>
      </c>
      <c r="V27" s="65" t="n">
        <f aca="false">COUNTIFS(Данные!$B$2:$B$722,15,Данные!$C$2:$C$722,1,Данные!$A$2:$A$722,"&gt;="&amp;77233630000,Данные!$A$2:$A$722,"&lt;="&amp;77233630999)</f>
        <v>0</v>
      </c>
      <c r="W27" s="65" t="n">
        <f aca="false">COUNTIFS(Данные!$B$2:$B$722,15,Данные!$C$2:$C$722,1,Данные!$A$2:$A$722,"&gt;="&amp;77233637000,Данные!$A$2:$A$722,"&lt;="&amp;77233637599)</f>
        <v>0</v>
      </c>
      <c r="X27" s="65" t="n">
        <f aca="false">COUNTIFS(Данные!$B$2:$B$722,15,Данные!$C$2:$C$722,1,Данные!$A$2:$A$722,"&gt;="&amp;77233550000,Данные!$A$2:$A$722,"&lt;="&amp;77233550999)</f>
        <v>0</v>
      </c>
      <c r="Y27" s="65" t="n">
        <f aca="false">COUNTIFS(Данные!$B$2:$B$722,15,Данные!$C$2:$C$722,1,Данные!$A$2:$A$722,"&gt;="&amp;77233554000,Данные!$A$2:$A$722,"&lt;="&amp;77233554999)</f>
        <v>0</v>
      </c>
      <c r="Z27" s="65" t="n">
        <f aca="false">COUNTIFS(Данные!$B$2:$B$722,15,Данные!$C$2:$C$722,1,Данные!$A$2:$A$722,"&gt;="&amp;77233555000,Данные!$A$2:$A$722,"&lt;="&amp;77233556999)</f>
        <v>0</v>
      </c>
      <c r="AA27" s="65" t="n">
        <f aca="false">COUNTIFS(Данные!$B$2:$B$722,15,Данные!$C$2:$C$722,1,Данные!$A$2:$A$722,"&gt;="&amp;77233726000,Данные!$A$2:$A$722,"&lt;="&amp;77233726999)</f>
        <v>0</v>
      </c>
      <c r="AB27" s="65" t="n">
        <f aca="false">COUNTIFS(Данные!$B$2:$B$722,15,Данные!$C$2:$C$722,1,Данные!$A$2:$A$722,"&gt;="&amp;77233820000,Данные!$A$2:$A$722,"&lt;="&amp;77233820999)</f>
        <v>0</v>
      </c>
      <c r="AC27" s="65" t="n">
        <f aca="false">COUNTIFS(Данные!$B$2:$B$722,15,Данные!$C$2:$C$722,1,Данные!$A$2:$A$722,"&gt;="&amp;77233850000,Данные!$A$2:$A$722,"&lt;="&amp;77233850999)</f>
        <v>0</v>
      </c>
      <c r="AD27" s="65" t="n">
        <f aca="false">COUNTIFS(Данные!$B$2:$B$722,15,Данные!$C$2:$C$722,1,Данные!$A$2:$A$722,"&gt;="&amp;77233420000,Данные!$A$2:$A$722,"&lt;="&amp;77233420999)</f>
        <v>0</v>
      </c>
      <c r="AE27" s="65" t="n">
        <f aca="false">COUNTIFS(Данные!$B$2:$B$722,15,Данные!$C$2:$C$722,1,Данные!$A$2:$A$722,"&gt;="&amp;77234740000,Данные!$A$2:$A$722,"&lt;="&amp;77234742999)</f>
        <v>0</v>
      </c>
      <c r="AF27" s="65" t="n">
        <f aca="false">COUNTIFS(Данные!$B$2:$B$722,15,Данные!$C$2:$C$722,1,Данные!$A$2:$A$722,"&gt;="&amp;77234767000,Данные!$A$2:$A$722,"&lt;="&amp;77234767999)</f>
        <v>0</v>
      </c>
      <c r="AG27" s="65" t="n">
        <f aca="false">COUNTIFS(Данные!$B$2:$B$722,15,Данные!$C$2:$C$722,1,Данные!$A$2:$A$722,"&gt;="&amp;77234120000,Данные!$A$2:$A$722,"&lt;="&amp;77234120999)</f>
        <v>0</v>
      </c>
      <c r="AH27" s="65" t="n">
        <f aca="false">COUNTIFS(Данные!$B$2:$B$722,15,Данные!$C$2:$C$722,1,Данные!$A$2:$A$722,"&gt;="&amp;77234127000,Данные!$A$2:$A$722,"&lt;="&amp;77234127999)</f>
        <v>0</v>
      </c>
      <c r="AI27" s="65" t="n">
        <f aca="false">COUNTIFS(Данные!$B$2:$B$722,15,Данные!$C$2:$C$722,1,Данные!$A$2:$A$722,"&gt;="&amp;77234220000,Данные!$A$2:$A$722,"&lt;="&amp;77234220999)</f>
        <v>0</v>
      </c>
      <c r="AJ27" s="65" t="n">
        <f aca="false">COUNTIFS(Данные!$B$2:$B$722,15,Данные!$C$2:$C$722,1,Данные!$A$2:$A$722,"&gt;="&amp;77234250000,Данные!$A$2:$A$722,"&lt;="&amp;77234250999)</f>
        <v>0</v>
      </c>
      <c r="AK27" s="65" t="n">
        <f aca="false">COUNTIFS(Данные!$B$2:$B$722,15,Данные!$C$2:$C$722,1,Данные!$A$2:$A$722,"&gt;="&amp;77233922950,Данные!$A$2:$A$722,"&lt;="&amp;77233924999)</f>
        <v>0</v>
      </c>
      <c r="AL27" s="65" t="n">
        <f aca="false">COUNTIFS(Данные!$B$2:$B$722,15,Данные!$C$2:$C$722,1,Данные!$A$2:$A$722,"&gt;="&amp;77234320000,Данные!$A$2:$A$722,"&lt;="&amp;77234320999)</f>
        <v>0</v>
      </c>
      <c r="AM27" s="65" t="n">
        <f aca="false">COUNTIFS(Данные!$B$2:$B$722,15,Данные!$C$2:$C$722,1,Данные!$A$2:$A$722,"&gt;="&amp;77234350000,Данные!$A$2:$A$722,"&lt;="&amp;77234350999)</f>
        <v>0</v>
      </c>
      <c r="AN27" s="65" t="n">
        <f aca="false">COUNTIFS(Данные!$B$2:$B$722,15,Данные!$C$2:$C$722,1,Данные!$A$2:$A$722,"&gt;="&amp;77234020000,Данные!$A$2:$A$722,"&lt;="&amp;77234020999)</f>
        <v>0</v>
      </c>
      <c r="AO27" s="65" t="n">
        <f aca="false">COUNTIFS(Данные!$B$2:$B$722,15,Данные!$C$2:$C$722,1,Данные!$A$2:$A$722,"&gt;="&amp;77234029000,Данные!$A$2:$A$722,"&lt;="&amp;77234029999)</f>
        <v>0</v>
      </c>
      <c r="AP27" s="65" t="n">
        <f aca="false">COUNTIFS(Данные!$B$2:$B$722,15,Данные!$C$2:$C$722,1,Данные!$A$2:$A$722,"&gt;="&amp;77234050000,Данные!$A$2:$A$722,"&lt;="&amp;77234050999)</f>
        <v>0</v>
      </c>
      <c r="AQ27" s="65" t="n">
        <f aca="false">COUNTIFS(Данные!$B$2:$B$722,15,Данные!$C$2:$C$722,1,Данные!$A$2:$A$722,"&gt;="&amp;77234427000,Данные!$A$2:$A$722,"&lt;="&amp;77234428999)</f>
        <v>0</v>
      </c>
      <c r="AR27" s="65" t="n">
        <f aca="false">COUNTIFS(Данные!$B$2:$B$722,15,Данные!$C$2:$C$722,1,Данные!$A$2:$A$722,"&gt;="&amp;77234450000,Данные!$A$2:$A$722,"&lt;="&amp;77234450999)</f>
        <v>0</v>
      </c>
      <c r="AS27" s="65" t="n">
        <f aca="false">COUNTIFS(Данные!$B$2:$B$722,15,Данные!$C$2:$C$722,1,Данные!$A$2:$A$722,"&gt;="&amp;77234620000,Данные!$A$2:$A$722,"&lt;="&amp;77234620999)</f>
        <v>0</v>
      </c>
      <c r="AT27" s="65" t="n">
        <f aca="false">COUNTIFS(Данные!$B$2:$B$722,15,Данные!$C$2:$C$722,1,Данные!$A$2:$A$722,"&gt;="&amp;77234650000,Данные!$A$2:$A$722,"&lt;="&amp;77234650999)</f>
        <v>0</v>
      </c>
      <c r="AU27" s="65" t="n">
        <f aca="false">COUNTIFS(Данные!$B$2:$B$722,15,Данные!$C$2:$C$722,1,Данные!$A$2:$A$722,"&gt;="&amp;77234820000,Данные!$A$2:$A$722,"&lt;="&amp;77234820999)</f>
        <v>0</v>
      </c>
      <c r="AV27" s="65" t="n">
        <f aca="false">COUNTIFS(Данные!$B$2:$B$722,15,Данные!$C$2:$C$722,1,Данные!$A$2:$A$722,"&gt;="&amp;77234850000,Данные!$A$2:$A$722,"&lt;="&amp;77234850999)</f>
        <v>0</v>
      </c>
      <c r="AW27" s="65" t="n">
        <f aca="false">COUNTIFS(Данные!$B$2:$B$722,15,Данные!$C$2:$C$722,1,Данные!$A$2:$A$722,"&gt;="&amp;77233327000,Данные!$A$2:$A$722,"&lt;="&amp;77233327999)</f>
        <v>0</v>
      </c>
      <c r="AX27" s="65" t="n">
        <f aca="false">COUNTIFS(Данные!$B$2:$B$722,15,Данные!$C$2:$C$722,1,Данные!$A$2:$A$722,"&gt;="&amp;77233350000,Данные!$A$2:$A$722,"&lt;="&amp;77233350599)</f>
        <v>0</v>
      </c>
      <c r="AY27" s="65" t="n">
        <f aca="false">COUNTIFS(Данные!$B$2:$B$722,15,Данные!$C$2:$C$722,1,Данные!$A$2:$A$722,"&gt;="&amp;77233351000,Данные!$A$2:$A$722,"&lt;="&amp;77233351999)</f>
        <v>0</v>
      </c>
      <c r="AZ27" s="66" t="n">
        <f aca="false">COUNTIFS(Данные!$B$2:$B$722,15,Данные!$C$2:$C$722,1,Данные!$A$2:$A$722,"&gt;="&amp;7722440000,Данные!$A$2:$A$722,"&lt;="&amp;7722440999)</f>
        <v>0</v>
      </c>
      <c r="BA27" s="66" t="n">
        <f aca="false">COUNTIFS(Данные!$B$2:$B$722,15,Данные!$C$2:$C$722,1,Данные!$A$2:$A$722,"&gt;="&amp;7722442000,Данные!$A$2:$A$722,"&lt;="&amp;7722445659)</f>
        <v>0</v>
      </c>
      <c r="BB27" s="66" t="n">
        <f aca="false">COUNTIFS(Данные!$B$2:$B$722,15,Данные!$C$2:$C$722,1,Данные!$A$2:$A$722,"&gt;="&amp;7722450000,Данные!$A$2:$A$722,"&lt;="&amp;7722450199)</f>
        <v>0</v>
      </c>
      <c r="BC27" s="66" t="n">
        <f aca="false">COUNTIFS(Данные!$B$2:$B$722,15,Данные!$C$2:$C$722,1,Данные!$A$2:$A$722,"&gt;="&amp;7722451000,Данные!$A$2:$A$722,"&lt;="&amp;7722451374)</f>
        <v>0</v>
      </c>
      <c r="BD27" s="66" t="n">
        <f aca="false">COUNTIFS(Данные!$B$2:$B$722,15,Данные!$C$2:$C$722,1,Данные!$A$2:$A$722,"&gt;="&amp;7722452000,Данные!$A$2:$A$722,"&lt;="&amp;7722452299)</f>
        <v>0</v>
      </c>
      <c r="BE27" s="66" t="n">
        <f aca="false">COUNTIFS(Данные!$B$2:$B$722,15,Данные!$C$2:$C$722,1,Данные!$A$2:$A$722,"&gt;="&amp;7722453000,Данные!$A$2:$A$722,"&lt;="&amp;7722453816)</f>
        <v>0</v>
      </c>
      <c r="BF27" s="66" t="n">
        <f aca="false">COUNTIFS(Данные!$B$2:$B$722,15,Данные!$C$2:$C$722,1,Данные!$A$2:$A$722,"&gt;="&amp;7722454000,Данные!$A$2:$A$722,"&lt;="&amp;7722454099)</f>
        <v>0</v>
      </c>
      <c r="BG27" s="66" t="n">
        <f aca="false">COUNTIFS(Данные!$B$2:$B$722,15,Данные!$C$2:$C$722,1,Данные!$A$2:$A$722,"&gt;="&amp;7722458000,Данные!$A$2:$A$722,"&lt;="&amp;7722458999)</f>
        <v>0</v>
      </c>
      <c r="BH27" s="66" t="n">
        <f aca="false">COUNTIFS(Данные!$B$2:$B$722,15,Данные!$C$2:$C$722,1,Данные!$A$2:$A$722,"&gt;="&amp;7722630000,Данные!$A$2:$A$722,"&lt;="&amp;7722638549)</f>
        <v>0</v>
      </c>
      <c r="BI27" s="66" t="n">
        <f aca="false">COUNTIFS(Данные!$B$2:$B$722,15,Данные!$C$2:$C$722,1,Данные!$A$2:$A$722,"&gt;="&amp;7722639400,Данные!$A$2:$A$722,"&lt;="&amp;7722639899)</f>
        <v>0</v>
      </c>
      <c r="BJ27" s="66" t="n">
        <f aca="false">COUNTIFS(Данные!$B$2:$B$722,15,Данные!$C$2:$C$722,1,Данные!$A$2:$A$722,"&gt;="&amp;7725750000,Данные!$A$2:$A$722,"&lt;="&amp;7725750399)</f>
        <v>0</v>
      </c>
      <c r="BK27" s="66" t="n">
        <f aca="false">COUNTIFS(Данные!$B$2:$B$722,15,Данные!$C$2:$C$722,1,Данные!$A$2:$A$722,"&gt;="&amp;7723620000,Данные!$A$2:$A$722,"&lt;="&amp;7723621299)</f>
        <v>0</v>
      </c>
      <c r="BL27" s="66" t="n">
        <f aca="false">COUNTIFS(Данные!$B$2:$B$722,15,Данные!$C$2:$C$722,1,Данные!$A$2:$A$722,"&gt;="&amp;7723621600,Данные!$A$2:$A$722,"&lt;="&amp;7723623399)</f>
        <v>0</v>
      </c>
      <c r="BM27" s="66" t="n">
        <f aca="false">COUNTIFS(Данные!$B$2:$B$722,15,Данные!$C$2:$C$722,1,Данные!$A$2:$A$722,"&gt;="&amp;7725127000,Данные!$A$2:$A$722,"&lt;="&amp;7725127999)</f>
        <v>0</v>
      </c>
      <c r="BN27" s="66" t="n">
        <f aca="false">COUNTIFS(Данные!$B$2:$B$722,15,Данные!$C$2:$C$722,1,Данные!$A$2:$A$722,"&gt;="&amp;7723772000,Данные!$A$2:$A$722,"&lt;="&amp;7723724999)</f>
        <v>0</v>
      </c>
      <c r="BO27" s="65" t="n">
        <f aca="false">COUNTIFS(Данные!$B$2:$B$722,15,Данные!$C$2:$C$722,1,Данные!$A$2:$A$722,"&gt;="&amp;7723765000,Данные!$A$2:$A$722,"&lt;="&amp;7723765499)</f>
        <v>0</v>
      </c>
      <c r="BP27" s="66" t="n">
        <f aca="false">COUNTIFS(Данные!$B$2:$B$722,15,Данные!$C$2:$C$722,1,Данные!$A$2:$A$722,"&gt;="&amp;7723948000,Данные!$A$2:$A$722,"&lt;="&amp;7723948999)</f>
        <v>0</v>
      </c>
      <c r="BQ27" s="66" t="n">
        <f aca="false">COUNTIFS(Данные!$B$2:$B$722,15,Данные!$C$2:$C$722,1,Данные!$A$2:$A$722,"&gt;="&amp;7723950000,Данные!$A$2:$A$722,"&lt;="&amp;7723951099)</f>
        <v>0</v>
      </c>
      <c r="BR27" s="66" t="n">
        <f aca="false">COUNTIFS(Данные!$B$2:$B$722,15,Данные!$C$2:$C$722,1,Данные!$A$2:$A$722,"&gt;="&amp;7723020000,Данные!$A$2:$A$722,"&lt;="&amp;7723020999)</f>
        <v>0</v>
      </c>
      <c r="BS27" s="66" t="n">
        <f aca="false">COUNTIFS(Данные!$B$2:$B$722,15,Данные!$C$2:$C$722,1,Данные!$A$2:$A$722,"&gt;="&amp;7723029000,Данные!$A$2:$A$722,"&lt;="&amp;7723029999)</f>
        <v>0</v>
      </c>
      <c r="BT27" s="66" t="n">
        <f aca="false">COUNTIFS(Данные!$B$2:$B$722,15,Данные!$C$2:$C$722,1,Данные!$A$2:$A$722,"&gt;="&amp;7723055000,Данные!$A$2:$A$722,"&lt;="&amp;7723056549)</f>
        <v>0</v>
      </c>
      <c r="BU27" s="65" t="n">
        <f aca="false">COUNTIFS(Данные!$B$2:$B$722,15,Данные!$C$2:$C$722,1,Данные!$A$2:$A$722,"&gt;="&amp;7725250000,Данные!$A$2:$A$722,"&lt;="&amp;7725250499)</f>
        <v>0</v>
      </c>
      <c r="BV27" s="66" t="n">
        <f aca="false">COUNTIFS(Данные!$B$2:$B$722,15,Данные!$C$2:$C$722,1,Данные!$A$2:$A$722,"&gt;="&amp;7183841400,Данные!$A$2:$A$722,"&lt;="&amp;7183841499)</f>
        <v>0</v>
      </c>
      <c r="BW27" s="49" t="n">
        <v>300</v>
      </c>
      <c r="BX27" s="67" t="n">
        <f aca="false">F27-BW27</f>
        <v>-300</v>
      </c>
    </row>
    <row r="28" s="15" customFormat="true" ht="12" hidden="false" customHeight="true" outlineLevel="0" collapsed="false">
      <c r="A28" s="47"/>
      <c r="B28" s="48"/>
      <c r="C28" s="50" t="n">
        <v>2</v>
      </c>
      <c r="D28" s="50" t="n">
        <v>152</v>
      </c>
      <c r="E28" s="51"/>
      <c r="F28" s="65" t="n">
        <f aca="false">COUNTIFS(Данные!$B$2:$B$722,15,Данные!$C$2:$C$722,2)</f>
        <v>0</v>
      </c>
      <c r="G28" s="65" t="n">
        <f aca="false">COUNTIFS(Данные!$B$2:$B$722,15,Данные!$C$2:$C$722,2,Данные!$A$2:$A$722,"&gt;="&amp;77232210840,Данные!$A$2:$A$722,"&lt;="&amp;77232216999)</f>
        <v>0</v>
      </c>
      <c r="H28" s="65" t="n">
        <f aca="false">COUNTIFS(Данные!$B$2:$B$722,15,Данные!$C$2:$C$722,2,Данные!$A$2:$A$722,"&gt;="&amp;77232510512,Данные!$A$2:$A$722,"&lt;="&amp;77232519487)</f>
        <v>0</v>
      </c>
      <c r="I28" s="65" t="n">
        <f aca="false">COUNTIFS(Данные!$B$2:$B$722,15,Данные!$C$2:$C$722,2,Данные!$A$2:$A$722,"&gt;="&amp;77232524160,Данные!$A$2:$A$722,"&lt;="&amp;77232529999)</f>
        <v>0</v>
      </c>
      <c r="J28" s="65" t="n">
        <f aca="false">COUNTIFS(Данные!$B$2:$B$722,15,Данные!$C$2:$C$722,2,Данные!$A$2:$A$722,"&gt;="&amp;77232544000,Данные!$A$2:$A$722,"&lt;="&amp;77232544999)</f>
        <v>0</v>
      </c>
      <c r="K28" s="65" t="n">
        <f aca="false">COUNTIFS(Данные!$B$2:$B$722,15,Данные!$C$2:$C$722,2,Данные!$A$2:$A$722,"&gt;="&amp;77232295504,Данные!$A$2:$A$722,"&lt;="&amp;77232296999)</f>
        <v>0</v>
      </c>
      <c r="L28" s="65" t="n">
        <f aca="false">COUNTIFS(Данные!$B$2:$B$722,15,Данные!$C$2:$C$722,2,Данные!$A$2:$A$722,"&gt;="&amp;77232785000,Данные!$A$2:$A$722,"&lt;="&amp;77232789999)</f>
        <v>0</v>
      </c>
      <c r="M28" s="65" t="n">
        <f aca="false">COUNTIFS(Данные!$B$2:$B$722,15,Данные!$C$2:$C$722,2,Данные!$A$2:$A$722,"&gt;="&amp;77233150000,Данные!$A$2:$A$722,"&lt;="&amp;77233155999)</f>
        <v>0</v>
      </c>
      <c r="N28" s="65" t="n">
        <f aca="false">COUNTIFS(Данные!$B$2:$B$722,15,Данные!$C$2:$C$722,2,Данные!$A$2:$A$722,"&gt;="&amp;77233235000,Данные!$A$2:$A$722,"&lt;="&amp;77233235999)</f>
        <v>0</v>
      </c>
      <c r="O28" s="65" t="n">
        <f aca="false">COUNTIFS(Данные!$B$2:$B$722,15,Данные!$C$2:$C$722,2,Данные!$A$2:$A$722,"&gt;="&amp;77233239000,Данные!$A$2:$A$722,"&lt;="&amp;77233239999)</f>
        <v>0</v>
      </c>
      <c r="P28" s="65" t="n">
        <f aca="false">COUNTIFS(Данные!$B$2:$B$722,15,Данные!$C$2:$C$722,2,Данные!$A$2:$A$722,"&gt;="&amp;77233272000,Данные!$A$2:$A$722,"&lt;="&amp;77233272999)</f>
        <v>0</v>
      </c>
      <c r="Q28" s="65" t="n">
        <f aca="false">COUNTIFS(Данные!$B$2:$B$722,15,Данные!$C$2:$C$722,2,Данные!$A$2:$A$722,"&gt;="&amp;77233291100,Данные!$A$2:$A$722,"&lt;="&amp;77233292999)</f>
        <v>0</v>
      </c>
      <c r="R28" s="65" t="n">
        <f aca="false">COUNTIFS(Данные!$B$2:$B$722,15,Данные!$C$2:$C$722,2,Данные!$A$2:$A$722,"&gt;="&amp;77233297000,Данные!$A$2:$A$722,"&lt;="&amp;77233298399)</f>
        <v>0</v>
      </c>
      <c r="S28" s="65" t="n">
        <f aca="false">COUNTIFS(Данные!$B$2:$B$722,15,Данные!$C$2:$C$722,2,Данные!$A$2:$A$722,"&gt;="&amp;77235124000,Данные!$A$2:$A$722,"&lt;="&amp;77235128499)</f>
        <v>0</v>
      </c>
      <c r="T28" s="65" t="n">
        <f aca="false">COUNTIFS(Данные!$B$2:$B$722,15,Данные!$C$2:$C$722,2,Данные!$A$2:$A$722,"&gt;="&amp;77235320000,Данные!$A$2:$A$722,"&lt;="&amp;77235320999)</f>
        <v>0</v>
      </c>
      <c r="U28" s="65" t="n">
        <f aca="false">COUNTIFS(Данные!$B$2:$B$722,15,Данные!$C$2:$C$722,2,Данные!$A$2:$A$722,"&gt;="&amp;77233620000,Данные!$A$2:$A$722,"&lt;="&amp;77233623339)</f>
        <v>0</v>
      </c>
      <c r="V28" s="65" t="n">
        <f aca="false">COUNTIFS(Данные!$B$2:$B$722,15,Данные!$C$2:$C$722,2,Данные!$A$2:$A$722,"&gt;="&amp;77233630000,Данные!$A$2:$A$722,"&lt;="&amp;77233630999)</f>
        <v>0</v>
      </c>
      <c r="W28" s="65" t="n">
        <f aca="false">COUNTIFS(Данные!$B$2:$B$722,15,Данные!$C$2:$C$722,2,Данные!$A$2:$A$722,"&gt;="&amp;77233637000,Данные!$A$2:$A$722,"&lt;="&amp;77233637599)</f>
        <v>0</v>
      </c>
      <c r="X28" s="65" t="n">
        <f aca="false">COUNTIFS(Данные!$B$2:$B$722,15,Данные!$C$2:$C$722,2,Данные!$A$2:$A$722,"&gt;="&amp;77233550000,Данные!$A$2:$A$722,"&lt;="&amp;77233550999)</f>
        <v>0</v>
      </c>
      <c r="Y28" s="65" t="n">
        <f aca="false">COUNTIFS(Данные!$B$2:$B$722,15,Данные!$C$2:$C$722,2,Данные!$A$2:$A$722,"&gt;="&amp;77233554000,Данные!$A$2:$A$722,"&lt;="&amp;77233554999)</f>
        <v>0</v>
      </c>
      <c r="Z28" s="65" t="n">
        <f aca="false">COUNTIFS(Данные!$B$2:$B$722,15,Данные!$C$2:$C$722,2,Данные!$A$2:$A$722,"&gt;="&amp;77233555000,Данные!$A$2:$A$722,"&lt;="&amp;77233556999)</f>
        <v>0</v>
      </c>
      <c r="AA28" s="65" t="n">
        <f aca="false">COUNTIFS(Данные!$B$2:$B$722,15,Данные!$C$2:$C$722,2,Данные!$A$2:$A$722,"&gt;="&amp;77233726000,Данные!$A$2:$A$722,"&lt;="&amp;77233726999)</f>
        <v>0</v>
      </c>
      <c r="AB28" s="65" t="n">
        <f aca="false">COUNTIFS(Данные!$B$2:$B$722,15,Данные!$C$2:$C$722,2,Данные!$A$2:$A$722,"&gt;="&amp;77233820000,Данные!$A$2:$A$722,"&lt;="&amp;77233820999)</f>
        <v>0</v>
      </c>
      <c r="AC28" s="65" t="n">
        <f aca="false">COUNTIFS(Данные!$B$2:$B$722,15,Данные!$C$2:$C$722,2,Данные!$A$2:$A$722,"&gt;="&amp;77233850000,Данные!$A$2:$A$722,"&lt;="&amp;77233850999)</f>
        <v>0</v>
      </c>
      <c r="AD28" s="65" t="n">
        <f aca="false">COUNTIFS(Данные!$B$2:$B$722,15,Данные!$C$2:$C$722,2,Данные!$A$2:$A$722,"&gt;="&amp;77233420000,Данные!$A$2:$A$722,"&lt;="&amp;77233420999)</f>
        <v>0</v>
      </c>
      <c r="AE28" s="65" t="n">
        <f aca="false">COUNTIFS(Данные!$B$2:$B$722,15,Данные!$C$2:$C$722,2,Данные!$A$2:$A$722,"&gt;="&amp;77234740000,Данные!$A$2:$A$722,"&lt;="&amp;77234742999)</f>
        <v>0</v>
      </c>
      <c r="AF28" s="65" t="n">
        <f aca="false">COUNTIFS(Данные!$B$2:$B$722,15,Данные!$C$2:$C$722,2,Данные!$A$2:$A$722,"&gt;="&amp;77234767000,Данные!$A$2:$A$722,"&lt;="&amp;77234767999)</f>
        <v>0</v>
      </c>
      <c r="AG28" s="65" t="n">
        <f aca="false">COUNTIFS(Данные!$B$2:$B$722,15,Данные!$C$2:$C$722,2,Данные!$A$2:$A$722,"&gt;="&amp;77234120000,Данные!$A$2:$A$722,"&lt;="&amp;77234120999)</f>
        <v>0</v>
      </c>
      <c r="AH28" s="65" t="n">
        <f aca="false">COUNTIFS(Данные!$B$2:$B$722,15,Данные!$C$2:$C$722,2,Данные!$A$2:$A$722,"&gt;="&amp;77234127000,Данные!$A$2:$A$722,"&lt;="&amp;77234127999)</f>
        <v>0</v>
      </c>
      <c r="AI28" s="65" t="n">
        <f aca="false">COUNTIFS(Данные!$B$2:$B$722,15,Данные!$C$2:$C$722,2,Данные!$A$2:$A$722,"&gt;="&amp;77234220000,Данные!$A$2:$A$722,"&lt;="&amp;77234220999)</f>
        <v>0</v>
      </c>
      <c r="AJ28" s="65" t="n">
        <f aca="false">COUNTIFS(Данные!$B$2:$B$722,15,Данные!$C$2:$C$722,2,Данные!$A$2:$A$722,"&gt;="&amp;77234250000,Данные!$A$2:$A$722,"&lt;="&amp;77234250999)</f>
        <v>0</v>
      </c>
      <c r="AK28" s="65" t="n">
        <f aca="false">COUNTIFS(Данные!$B$2:$B$722,15,Данные!$C$2:$C$722,2,Данные!$A$2:$A$722,"&gt;="&amp;77233922950,Данные!$A$2:$A$722,"&lt;="&amp;77233924999)</f>
        <v>0</v>
      </c>
      <c r="AL28" s="65" t="n">
        <f aca="false">COUNTIFS(Данные!$B$2:$B$722,15,Данные!$C$2:$C$722,2,Данные!$A$2:$A$722,"&gt;="&amp;77234320000,Данные!$A$2:$A$722,"&lt;="&amp;77234320999)</f>
        <v>0</v>
      </c>
      <c r="AM28" s="65" t="n">
        <f aca="false">COUNTIFS(Данные!$B$2:$B$722,15,Данные!$C$2:$C$722,2,Данные!$A$2:$A$722,"&gt;="&amp;77234350000,Данные!$A$2:$A$722,"&lt;="&amp;77234350999)</f>
        <v>0</v>
      </c>
      <c r="AN28" s="65" t="n">
        <f aca="false">COUNTIFS(Данные!$B$2:$B$722,15,Данные!$C$2:$C$722,2,Данные!$A$2:$A$722,"&gt;="&amp;77234020000,Данные!$A$2:$A$722,"&lt;="&amp;77234020999)</f>
        <v>0</v>
      </c>
      <c r="AO28" s="65" t="n">
        <f aca="false">COUNTIFS(Данные!$B$2:$B$722,15,Данные!$C$2:$C$722,2,Данные!$A$2:$A$722,"&gt;="&amp;77234029000,Данные!$A$2:$A$722,"&lt;="&amp;77234029999)</f>
        <v>0</v>
      </c>
      <c r="AP28" s="65" t="n">
        <f aca="false">COUNTIFS(Данные!$B$2:$B$722,15,Данные!$C$2:$C$722,2,Данные!$A$2:$A$722,"&gt;="&amp;77234050000,Данные!$A$2:$A$722,"&lt;="&amp;77234050999)</f>
        <v>0</v>
      </c>
      <c r="AQ28" s="65" t="n">
        <f aca="false">COUNTIFS(Данные!$B$2:$B$722,15,Данные!$C$2:$C$722,2,Данные!$A$2:$A$722,"&gt;="&amp;77234427000,Данные!$A$2:$A$722,"&lt;="&amp;77234428999)</f>
        <v>0</v>
      </c>
      <c r="AR28" s="65" t="n">
        <f aca="false">COUNTIFS(Данные!$B$2:$B$722,15,Данные!$C$2:$C$722,2,Данные!$A$2:$A$722,"&gt;="&amp;77234450000,Данные!$A$2:$A$722,"&lt;="&amp;77234450999)</f>
        <v>0</v>
      </c>
      <c r="AS28" s="65" t="n">
        <f aca="false">COUNTIFS(Данные!$B$2:$B$722,15,Данные!$C$2:$C$722,2,Данные!$A$2:$A$722,"&gt;="&amp;77234620000,Данные!$A$2:$A$722,"&lt;="&amp;77234620999)</f>
        <v>0</v>
      </c>
      <c r="AT28" s="65" t="n">
        <f aca="false">COUNTIFS(Данные!$B$2:$B$722,15,Данные!$C$2:$C$722,2,Данные!$A$2:$A$722,"&gt;="&amp;77234650000,Данные!$A$2:$A$722,"&lt;="&amp;77234650999)</f>
        <v>0</v>
      </c>
      <c r="AU28" s="65" t="n">
        <f aca="false">COUNTIFS(Данные!$B$2:$B$722,15,Данные!$C$2:$C$722,2,Данные!$A$2:$A$722,"&gt;="&amp;77234820000,Данные!$A$2:$A$722,"&lt;="&amp;77234820999)</f>
        <v>0</v>
      </c>
      <c r="AV28" s="65" t="n">
        <f aca="false">COUNTIFS(Данные!$B$2:$B$722,15,Данные!$C$2:$C$722,2,Данные!$A$2:$A$722,"&gt;="&amp;77234850000,Данные!$A$2:$A$722,"&lt;="&amp;77234850999)</f>
        <v>0</v>
      </c>
      <c r="AW28" s="65" t="n">
        <f aca="false">COUNTIFS(Данные!$B$2:$B$722,15,Данные!$C$2:$C$722,2,Данные!$A$2:$A$722,"&gt;="&amp;77233327000,Данные!$A$2:$A$722,"&lt;="&amp;77233327999)</f>
        <v>0</v>
      </c>
      <c r="AX28" s="65" t="n">
        <f aca="false">COUNTIFS(Данные!$B$2:$B$722,15,Данные!$C$2:$C$722,2,Данные!$A$2:$A$722,"&gt;="&amp;77233350000,Данные!$A$2:$A$722,"&lt;="&amp;77233350599)</f>
        <v>0</v>
      </c>
      <c r="AY28" s="65" t="n">
        <f aca="false">COUNTIFS(Данные!$B$2:$B$722,15,Данные!$C$2:$C$722,2,Данные!$A$2:$A$722,"&gt;="&amp;77233351000,Данные!$A$2:$A$722,"&lt;="&amp;77233351999)</f>
        <v>0</v>
      </c>
      <c r="AZ28" s="66" t="n">
        <f aca="false">COUNTIFS(Данные!$B$2:$B$722,15,Данные!$C$2:$C$722,2,Данные!$A$2:$A$722,"&gt;="&amp;7722440000,Данные!$A$2:$A$722,"&lt;="&amp;7722440999)</f>
        <v>0</v>
      </c>
      <c r="BA28" s="66" t="n">
        <f aca="false">COUNTIFS(Данные!$B$2:$B$722,15,Данные!$C$2:$C$722,2,Данные!$A$2:$A$722,"&gt;="&amp;7722442000,Данные!$A$2:$A$722,"&lt;="&amp;7722445659)</f>
        <v>0</v>
      </c>
      <c r="BB28" s="66" t="n">
        <f aca="false">COUNTIFS(Данные!$B$2:$B$722,15,Данные!$C$2:$C$722,2,Данные!$A$2:$A$722,"&gt;="&amp;7722450000,Данные!$A$2:$A$722,"&lt;="&amp;7722450199)</f>
        <v>0</v>
      </c>
      <c r="BC28" s="66" t="n">
        <f aca="false">COUNTIFS(Данные!$B$2:$B$722,15,Данные!$C$2:$C$722,2,Данные!$A$2:$A$722,"&gt;="&amp;7722451000,Данные!$A$2:$A$722,"&lt;="&amp;7722451374)</f>
        <v>0</v>
      </c>
      <c r="BD28" s="66" t="n">
        <f aca="false">COUNTIFS(Данные!$B$2:$B$722,15,Данные!$C$2:$C$722,2,Данные!$A$2:$A$722,"&gt;="&amp;7722452000,Данные!$A$2:$A$722,"&lt;="&amp;7722452299)</f>
        <v>0</v>
      </c>
      <c r="BE28" s="66" t="n">
        <f aca="false">COUNTIFS(Данные!$B$2:$B$722,15,Данные!$C$2:$C$722,2,Данные!$A$2:$A$722,"&gt;="&amp;7722453000,Данные!$A$2:$A$722,"&lt;="&amp;7722453816)</f>
        <v>0</v>
      </c>
      <c r="BF28" s="66" t="n">
        <f aca="false">COUNTIFS(Данные!$B$2:$B$722,15,Данные!$C$2:$C$722,2,Данные!$A$2:$A$722,"&gt;="&amp;7722454000,Данные!$A$2:$A$722,"&lt;="&amp;7722454099)</f>
        <v>0</v>
      </c>
      <c r="BG28" s="66" t="n">
        <f aca="false">COUNTIFS(Данные!$B$2:$B$722,15,Данные!$C$2:$C$722,2,Данные!$A$2:$A$722,"&gt;="&amp;7722458000,Данные!$A$2:$A$722,"&lt;="&amp;7722458999)</f>
        <v>0</v>
      </c>
      <c r="BH28" s="66" t="n">
        <f aca="false">COUNTIFS(Данные!$B$2:$B$722,15,Данные!$C$2:$C$722,2,Данные!$A$2:$A$722,"&gt;="&amp;7722630000,Данные!$A$2:$A$722,"&lt;="&amp;7722638549)</f>
        <v>0</v>
      </c>
      <c r="BI28" s="66" t="n">
        <f aca="false">COUNTIFS(Данные!$B$2:$B$722,15,Данные!$C$2:$C$722,2,Данные!$A$2:$A$722,"&gt;="&amp;7722639400,Данные!$A$2:$A$722,"&lt;="&amp;7722639899)</f>
        <v>0</v>
      </c>
      <c r="BJ28" s="66" t="n">
        <f aca="false">COUNTIFS(Данные!$B$2:$B$722,15,Данные!$C$2:$C$722,2,Данные!$A$2:$A$722,"&gt;="&amp;7725750000,Данные!$A$2:$A$722,"&lt;="&amp;7725750399)</f>
        <v>0</v>
      </c>
      <c r="BK28" s="66" t="n">
        <f aca="false">COUNTIFS(Данные!$B$2:$B$722,15,Данные!$C$2:$C$722,2,Данные!$A$2:$A$722,"&gt;="&amp;7723620000,Данные!$A$2:$A$722,"&lt;="&amp;7723621299)</f>
        <v>0</v>
      </c>
      <c r="BL28" s="66" t="n">
        <f aca="false">COUNTIFS(Данные!$B$2:$B$722,15,Данные!$C$2:$C$722,2,Данные!$A$2:$A$722,"&gt;="&amp;7723621600,Данные!$A$2:$A$722,"&lt;="&amp;7723623399)</f>
        <v>0</v>
      </c>
      <c r="BM28" s="66" t="n">
        <f aca="false">COUNTIFS(Данные!$B$2:$B$722,15,Данные!$C$2:$C$722,2,Данные!$A$2:$A$722,"&gt;="&amp;7725127000,Данные!$A$2:$A$722,"&lt;="&amp;7725127999)</f>
        <v>0</v>
      </c>
      <c r="BN28" s="66" t="n">
        <f aca="false">COUNTIFS(Данные!$B$2:$B$722,15,Данные!$C$2:$C$722,2,Данные!$A$2:$A$722,"&gt;="&amp;7723772000,Данные!$A$2:$A$722,"&lt;="&amp;7723724999)</f>
        <v>0</v>
      </c>
      <c r="BO28" s="65" t="n">
        <f aca="false">COUNTIFS(Данные!$B$2:$B$722,15,Данные!$C$2:$C$722,2,Данные!$A$2:$A$722,"&gt;="&amp;7723765000,Данные!$A$2:$A$722,"&lt;="&amp;7723765499)</f>
        <v>0</v>
      </c>
      <c r="BP28" s="66" t="n">
        <f aca="false">COUNTIFS(Данные!$B$2:$B$722,15,Данные!$C$2:$C$722,2,Данные!$A$2:$A$722,"&gt;="&amp;7723948000,Данные!$A$2:$A$722,"&lt;="&amp;7723948999)</f>
        <v>0</v>
      </c>
      <c r="BQ28" s="66" t="n">
        <f aca="false">COUNTIFS(Данные!$B$2:$B$722,15,Данные!$C$2:$C$722,2,Данные!$A$2:$A$722,"&gt;="&amp;7723950000,Данные!$A$2:$A$722,"&lt;="&amp;7723951099)</f>
        <v>0</v>
      </c>
      <c r="BR28" s="66" t="n">
        <f aca="false">COUNTIFS(Данные!$B$2:$B$722,15,Данные!$C$2:$C$722,2,Данные!$A$2:$A$722,"&gt;="&amp;7723020000,Данные!$A$2:$A$722,"&lt;="&amp;7723020999)</f>
        <v>0</v>
      </c>
      <c r="BS28" s="66" t="n">
        <f aca="false">COUNTIFS(Данные!$B$2:$B$722,15,Данные!$C$2:$C$722,2,Данные!$A$2:$A$722,"&gt;="&amp;7723029000,Данные!$A$2:$A$722,"&lt;="&amp;7723029999)</f>
        <v>0</v>
      </c>
      <c r="BT28" s="66" t="n">
        <f aca="false">COUNTIFS(Данные!$B$2:$B$722,15,Данные!$C$2:$C$722,2,Данные!$A$2:$A$722,"&gt;="&amp;7723055000,Данные!$A$2:$A$722,"&lt;="&amp;7723056549)</f>
        <v>0</v>
      </c>
      <c r="BU28" s="65" t="n">
        <f aca="false">COUNTIFS(Данные!$B$2:$B$722,15,Данные!$C$2:$C$722,2,Данные!$A$2:$A$722,"&gt;="&amp;7725250000,Данные!$A$2:$A$722,"&lt;="&amp;7725250499)</f>
        <v>0</v>
      </c>
      <c r="BV28" s="66" t="n">
        <f aca="false">COUNTIFS(Данные!$B$2:$B$722,15,Данные!$C$2:$C$722,2,Данные!$A$2:$A$722,"&gt;="&amp;7183841400,Данные!$A$2:$A$722,"&lt;="&amp;7183841499)</f>
        <v>0</v>
      </c>
      <c r="BW28" s="49" t="n">
        <v>300</v>
      </c>
      <c r="BX28" s="67" t="n">
        <f aca="false">F28-BW28</f>
        <v>-300</v>
      </c>
    </row>
    <row r="29" s="15" customFormat="true" ht="12" hidden="false" customHeight="true" outlineLevel="0" collapsed="false">
      <c r="A29" s="38" t="n">
        <v>16</v>
      </c>
      <c r="B29" s="39" t="s">
        <v>69</v>
      </c>
      <c r="C29" s="41" t="n">
        <v>0</v>
      </c>
      <c r="D29" s="41" t="n">
        <v>160</v>
      </c>
      <c r="E29" s="42" t="n">
        <f aca="false">SUM(F29:F31)</f>
        <v>0</v>
      </c>
      <c r="F29" s="62" t="n">
        <f aca="false">COUNTIFS(Данные!$B$2:$B$722,16,Данные!$C$2:$C$722,0)</f>
        <v>0</v>
      </c>
      <c r="G29" s="62" t="n">
        <f aca="false">COUNTIFS(Данные!$B$2:$B$722,16,Данные!$C$2:$C$722,0,Данные!$A$2:$A$722,"&gt;="&amp;77232210840,Данные!$A$2:$A$722,"&lt;="&amp;77232216999)</f>
        <v>0</v>
      </c>
      <c r="H29" s="62" t="n">
        <f aca="false">COUNTIFS(Данные!$B$2:$B$722,16,Данные!$C$2:$C$722,0,Данные!$A$2:$A$722,"&gt;="&amp;77232510512,Данные!$A$2:$A$722,"&lt;="&amp;77232519487)</f>
        <v>0</v>
      </c>
      <c r="I29" s="62" t="n">
        <f aca="false">COUNTIFS(Данные!$B$2:$B$722,16,Данные!$C$2:$C$722,0,Данные!$A$2:$A$722,"&gt;="&amp;77232524160,Данные!$A$2:$A$722,"&lt;="&amp;77232529999)</f>
        <v>0</v>
      </c>
      <c r="J29" s="62" t="n">
        <f aca="false">COUNTIFS(Данные!$B$2:$B$722,16,Данные!$C$2:$C$722,0,Данные!$A$2:$A$722,"&gt;="&amp;77232544000,Данные!$A$2:$A$722,"&lt;="&amp;77232544999)</f>
        <v>0</v>
      </c>
      <c r="K29" s="62" t="n">
        <f aca="false">COUNTIFS(Данные!$B$2:$B$722,16,Данные!$C$2:$C$722,0,Данные!$A$2:$A$722,"&gt;="&amp;77232295504,Данные!$A$2:$A$722,"&lt;="&amp;77232296999)</f>
        <v>0</v>
      </c>
      <c r="L29" s="62" t="n">
        <f aca="false">COUNTIFS(Данные!$B$2:$B$722,16,Данные!$C$2:$C$722,0,Данные!$A$2:$A$722,"&gt;="&amp;77232785000,Данные!$A$2:$A$722,"&lt;="&amp;77232789999)</f>
        <v>0</v>
      </c>
      <c r="M29" s="62" t="n">
        <f aca="false">COUNTIFS(Данные!$B$2:$B$722,16,Данные!$C$2:$C$722,0,Данные!$A$2:$A$722,"&gt;="&amp;77233150000,Данные!$A$2:$A$722,"&lt;="&amp;77233155999)</f>
        <v>0</v>
      </c>
      <c r="N29" s="62" t="n">
        <f aca="false">COUNTIFS(Данные!$B$2:$B$722,16,Данные!$C$2:$C$722,0,Данные!$A$2:$A$722,"&gt;="&amp;77233235000,Данные!$A$2:$A$722,"&lt;="&amp;77233235999)</f>
        <v>0</v>
      </c>
      <c r="O29" s="62" t="n">
        <f aca="false">COUNTIFS(Данные!$B$2:$B$722,16,Данные!$C$2:$C$722,0,Данные!$A$2:$A$722,"&gt;="&amp;77233239000,Данные!$A$2:$A$722,"&lt;="&amp;77233239999)</f>
        <v>0</v>
      </c>
      <c r="P29" s="62" t="n">
        <f aca="false">COUNTIFS(Данные!$B$2:$B$722,16,Данные!$C$2:$C$722,0,Данные!$A$2:$A$722,"&gt;="&amp;77233272000,Данные!$A$2:$A$722,"&lt;="&amp;77233272999)</f>
        <v>0</v>
      </c>
      <c r="Q29" s="62" t="n">
        <f aca="false">COUNTIFS(Данные!$B$2:$B$722,16,Данные!$C$2:$C$722,0,Данные!$A$2:$A$722,"&gt;="&amp;77233291100,Данные!$A$2:$A$722,"&lt;="&amp;77233292999)</f>
        <v>0</v>
      </c>
      <c r="R29" s="62" t="n">
        <f aca="false">COUNTIFS(Данные!$B$2:$B$722,16,Данные!$C$2:$C$722,0,Данные!$A$2:$A$722,"&gt;="&amp;77233297000,Данные!$A$2:$A$722,"&lt;="&amp;77233298399)</f>
        <v>0</v>
      </c>
      <c r="S29" s="62" t="n">
        <f aca="false">COUNTIFS(Данные!$B$2:$B$722,16,Данные!$C$2:$C$722,0,Данные!$A$2:$A$722,"&gt;="&amp;77235124000,Данные!$A$2:$A$722,"&lt;="&amp;77235128499)</f>
        <v>0</v>
      </c>
      <c r="T29" s="62" t="n">
        <f aca="false">COUNTIFS(Данные!$B$2:$B$722,16,Данные!$C$2:$C$722,0,Данные!$A$2:$A$722,"&gt;="&amp;77235320000,Данные!$A$2:$A$722,"&lt;="&amp;77235320999)</f>
        <v>0</v>
      </c>
      <c r="U29" s="62" t="n">
        <f aca="false">COUNTIFS(Данные!$B$2:$B$722,16,Данные!$C$2:$C$722,0,Данные!$A$2:$A$722,"&gt;="&amp;77233620000,Данные!$A$2:$A$722,"&lt;="&amp;77233623339)</f>
        <v>0</v>
      </c>
      <c r="V29" s="62" t="n">
        <f aca="false">COUNTIFS(Данные!$B$2:$B$722,16,Данные!$C$2:$C$722,0,Данные!$A$2:$A$722,"&gt;="&amp;77233630000,Данные!$A$2:$A$722,"&lt;="&amp;77233630999)</f>
        <v>0</v>
      </c>
      <c r="W29" s="62" t="n">
        <f aca="false">COUNTIFS(Данные!$B$2:$B$722,16,Данные!$C$2:$C$722,0,Данные!$A$2:$A$722,"&gt;="&amp;77233637000,Данные!$A$2:$A$722,"&lt;="&amp;77233637599)</f>
        <v>0</v>
      </c>
      <c r="X29" s="62" t="n">
        <f aca="false">COUNTIFS(Данные!$B$2:$B$722,16,Данные!$C$2:$C$722,0,Данные!$A$2:$A$722,"&gt;="&amp;77233550000,Данные!$A$2:$A$722,"&lt;="&amp;77233550999)</f>
        <v>0</v>
      </c>
      <c r="Y29" s="62" t="n">
        <f aca="false">COUNTIFS(Данные!$B$2:$B$722,16,Данные!$C$2:$C$722,0,Данные!$A$2:$A$722,"&gt;="&amp;77233554000,Данные!$A$2:$A$722,"&lt;="&amp;77233554999)</f>
        <v>0</v>
      </c>
      <c r="Z29" s="62" t="n">
        <f aca="false">COUNTIFS(Данные!$B$2:$B$722,16,Данные!$C$2:$C$722,0,Данные!$A$2:$A$722,"&gt;="&amp;77233555000,Данные!$A$2:$A$722,"&lt;="&amp;77233556999)</f>
        <v>0</v>
      </c>
      <c r="AA29" s="62" t="n">
        <f aca="false">COUNTIFS(Данные!$B$2:$B$722,16,Данные!$C$2:$C$722,0,Данные!$A$2:$A$722,"&gt;="&amp;77233726000,Данные!$A$2:$A$722,"&lt;="&amp;77233726999)</f>
        <v>0</v>
      </c>
      <c r="AB29" s="62" t="n">
        <f aca="false">COUNTIFS(Данные!$B$2:$B$722,16,Данные!$C$2:$C$722,0,Данные!$A$2:$A$722,"&gt;="&amp;77233820000,Данные!$A$2:$A$722,"&lt;="&amp;77233820999)</f>
        <v>0</v>
      </c>
      <c r="AC29" s="62" t="n">
        <f aca="false">COUNTIFS(Данные!$B$2:$B$722,16,Данные!$C$2:$C$722,0,Данные!$A$2:$A$722,"&gt;="&amp;77233850000,Данные!$A$2:$A$722,"&lt;="&amp;77233850999)</f>
        <v>0</v>
      </c>
      <c r="AD29" s="62" t="n">
        <f aca="false">COUNTIFS(Данные!$B$2:$B$722,16,Данные!$C$2:$C$722,0,Данные!$A$2:$A$722,"&gt;="&amp;77233420000,Данные!$A$2:$A$722,"&lt;="&amp;77233420999)</f>
        <v>0</v>
      </c>
      <c r="AE29" s="62" t="n">
        <f aca="false">COUNTIFS(Данные!$B$2:$B$722,16,Данные!$C$2:$C$722,0,Данные!$A$2:$A$722,"&gt;="&amp;77234740000,Данные!$A$2:$A$722,"&lt;="&amp;77234742999)</f>
        <v>0</v>
      </c>
      <c r="AF29" s="62" t="n">
        <f aca="false">COUNTIFS(Данные!$B$2:$B$722,16,Данные!$C$2:$C$722,0,Данные!$A$2:$A$722,"&gt;="&amp;77234767000,Данные!$A$2:$A$722,"&lt;="&amp;77234767999)</f>
        <v>0</v>
      </c>
      <c r="AG29" s="62" t="n">
        <f aca="false">COUNTIFS(Данные!$B$2:$B$722,16,Данные!$C$2:$C$722,0,Данные!$A$2:$A$722,"&gt;="&amp;77234120000,Данные!$A$2:$A$722,"&lt;="&amp;77234120999)</f>
        <v>0</v>
      </c>
      <c r="AH29" s="62" t="n">
        <f aca="false">COUNTIFS(Данные!$B$2:$B$722,16,Данные!$C$2:$C$722,0,Данные!$A$2:$A$722,"&gt;="&amp;77234127000,Данные!$A$2:$A$722,"&lt;="&amp;77234127999)</f>
        <v>0</v>
      </c>
      <c r="AI29" s="62" t="n">
        <f aca="false">COUNTIFS(Данные!$B$2:$B$722,16,Данные!$C$2:$C$722,0,Данные!$A$2:$A$722,"&gt;="&amp;77234220000,Данные!$A$2:$A$722,"&lt;="&amp;77234220999)</f>
        <v>0</v>
      </c>
      <c r="AJ29" s="62" t="n">
        <f aca="false">COUNTIFS(Данные!$B$2:$B$722,16,Данные!$C$2:$C$722,0,Данные!$A$2:$A$722,"&gt;="&amp;77234250000,Данные!$A$2:$A$722,"&lt;="&amp;77234250999)</f>
        <v>0</v>
      </c>
      <c r="AK29" s="62" t="n">
        <f aca="false">COUNTIFS(Данные!$B$2:$B$722,16,Данные!$C$2:$C$722,0,Данные!$A$2:$A$722,"&gt;="&amp;77233922950,Данные!$A$2:$A$722,"&lt;="&amp;77233924999)</f>
        <v>0</v>
      </c>
      <c r="AL29" s="62" t="n">
        <f aca="false">COUNTIFS(Данные!$B$2:$B$722,16,Данные!$C$2:$C$722,0,Данные!$A$2:$A$722,"&gt;="&amp;77234320000,Данные!$A$2:$A$722,"&lt;="&amp;77234320999)</f>
        <v>0</v>
      </c>
      <c r="AM29" s="62" t="n">
        <f aca="false">COUNTIFS(Данные!$B$2:$B$722,16,Данные!$C$2:$C$722,0,Данные!$A$2:$A$722,"&gt;="&amp;77234350000,Данные!$A$2:$A$722,"&lt;="&amp;77234350999)</f>
        <v>0</v>
      </c>
      <c r="AN29" s="62" t="n">
        <f aca="false">COUNTIFS(Данные!$B$2:$B$722,16,Данные!$C$2:$C$722,0,Данные!$A$2:$A$722,"&gt;="&amp;77234020000,Данные!$A$2:$A$722,"&lt;="&amp;77234020999)</f>
        <v>0</v>
      </c>
      <c r="AO29" s="62" t="n">
        <f aca="false">COUNTIFS(Данные!$B$2:$B$722,16,Данные!$C$2:$C$722,0,Данные!$A$2:$A$722,"&gt;="&amp;77234029000,Данные!$A$2:$A$722,"&lt;="&amp;77234029999)</f>
        <v>0</v>
      </c>
      <c r="AP29" s="62" t="n">
        <f aca="false">COUNTIFS(Данные!$B$2:$B$722,16,Данные!$C$2:$C$722,0,Данные!$A$2:$A$722,"&gt;="&amp;77234050000,Данные!$A$2:$A$722,"&lt;="&amp;77234050999)</f>
        <v>0</v>
      </c>
      <c r="AQ29" s="62" t="n">
        <f aca="false">COUNTIFS(Данные!$B$2:$B$722,16,Данные!$C$2:$C$722,0,Данные!$A$2:$A$722,"&gt;="&amp;77234427000,Данные!$A$2:$A$722,"&lt;="&amp;77234428999)</f>
        <v>0</v>
      </c>
      <c r="AR29" s="62" t="n">
        <f aca="false">COUNTIFS(Данные!$B$2:$B$722,16,Данные!$C$2:$C$722,0,Данные!$A$2:$A$722,"&gt;="&amp;77234450000,Данные!$A$2:$A$722,"&lt;="&amp;77234450999)</f>
        <v>0</v>
      </c>
      <c r="AS29" s="62" t="n">
        <f aca="false">COUNTIFS(Данные!$B$2:$B$722,16,Данные!$C$2:$C$722,0,Данные!$A$2:$A$722,"&gt;="&amp;77234620000,Данные!$A$2:$A$722,"&lt;="&amp;77234620999)</f>
        <v>0</v>
      </c>
      <c r="AT29" s="62" t="n">
        <f aca="false">COUNTIFS(Данные!$B$2:$B$722,16,Данные!$C$2:$C$722,0,Данные!$A$2:$A$722,"&gt;="&amp;77234650000,Данные!$A$2:$A$722,"&lt;="&amp;77234650999)</f>
        <v>0</v>
      </c>
      <c r="AU29" s="62" t="n">
        <f aca="false">COUNTIFS(Данные!$B$2:$B$722,16,Данные!$C$2:$C$722,0,Данные!$A$2:$A$722,"&gt;="&amp;77234820000,Данные!$A$2:$A$722,"&lt;="&amp;77234820999)</f>
        <v>0</v>
      </c>
      <c r="AV29" s="62" t="n">
        <f aca="false">COUNTIFS(Данные!$B$2:$B$722,16,Данные!$C$2:$C$722,0,Данные!$A$2:$A$722,"&gt;="&amp;77234850000,Данные!$A$2:$A$722,"&lt;="&amp;77234850999)</f>
        <v>0</v>
      </c>
      <c r="AW29" s="62" t="n">
        <f aca="false">COUNTIFS(Данные!$B$2:$B$722,16,Данные!$C$2:$C$722,0,Данные!$A$2:$A$722,"&gt;="&amp;77233327000,Данные!$A$2:$A$722,"&lt;="&amp;77233327999)</f>
        <v>0</v>
      </c>
      <c r="AX29" s="62" t="n">
        <f aca="false">COUNTIFS(Данные!$B$2:$B$722,16,Данные!$C$2:$C$722,0,Данные!$A$2:$A$722,"&gt;="&amp;77233350000,Данные!$A$2:$A$722,"&lt;="&amp;77233350599)</f>
        <v>0</v>
      </c>
      <c r="AY29" s="62" t="n">
        <f aca="false">COUNTIFS(Данные!$B$2:$B$722,16,Данные!$C$2:$C$722,0,Данные!$A$2:$A$722,"&gt;="&amp;77233351000,Данные!$A$2:$A$722,"&lt;="&amp;77233351999)</f>
        <v>0</v>
      </c>
      <c r="AZ29" s="62" t="n">
        <f aca="false">COUNTIFS(Данные!$B$2:$B$722,16,Данные!$C$2:$C$722,0,Данные!$A$2:$A$722,"&gt;="&amp;7722440000,Данные!$A$2:$A$722,"&lt;="&amp;7722440999)</f>
        <v>0</v>
      </c>
      <c r="BA29" s="63" t="n">
        <f aca="false">COUNTIFS(Данные!$B$2:$B$722,16,Данные!$C$2:$C$722,0,Данные!$A$2:$A$722,"&gt;="&amp;7722442000,Данные!$A$2:$A$722,"&lt;="&amp;7722445659)</f>
        <v>0</v>
      </c>
      <c r="BB29" s="63" t="n">
        <f aca="false">COUNTIFS(Данные!$B$2:$B$722,16,Данные!$C$2:$C$722,0,Данные!$A$2:$A$722,"&gt;="&amp;7722450000,Данные!$A$2:$A$722,"&lt;="&amp;7722450199)</f>
        <v>0</v>
      </c>
      <c r="BC29" s="63" t="n">
        <f aca="false">COUNTIFS(Данные!$B$2:$B$722,16,Данные!$C$2:$C$722,0,Данные!$A$2:$A$722,"&gt;="&amp;7722451000,Данные!$A$2:$A$722,"&lt;="&amp;7722451374)</f>
        <v>0</v>
      </c>
      <c r="BD29" s="63" t="n">
        <f aca="false">COUNTIFS(Данные!$B$2:$B$722,16,Данные!$C$2:$C$722,0,Данные!$A$2:$A$722,"&gt;="&amp;7722452000,Данные!$A$2:$A$722,"&lt;="&amp;7722452299)</f>
        <v>0</v>
      </c>
      <c r="BE29" s="63" t="n">
        <f aca="false">COUNTIFS(Данные!$B$2:$B$722,16,Данные!$C$2:$C$722,0,Данные!$A$2:$A$722,"&gt;="&amp;7722453000,Данные!$A$2:$A$722,"&lt;="&amp;7722453816)</f>
        <v>0</v>
      </c>
      <c r="BF29" s="63" t="n">
        <f aca="false">COUNTIFS(Данные!$B$2:$B$722,16,Данные!$C$2:$C$722,0,Данные!$A$2:$A$722,"&gt;="&amp;7722454000,Данные!$A$2:$A$722,"&lt;="&amp;7722454099)</f>
        <v>0</v>
      </c>
      <c r="BG29" s="63" t="n">
        <f aca="false">COUNTIFS(Данные!$B$2:$B$722,16,Данные!$C$2:$C$722,0,Данные!$A$2:$A$722,"&gt;="&amp;7722458000,Данные!$A$2:$A$722,"&lt;="&amp;7722458999)</f>
        <v>0</v>
      </c>
      <c r="BH29" s="63" t="n">
        <f aca="false">COUNTIFS(Данные!$B$2:$B$722,16,Данные!$C$2:$C$722,0,Данные!$A$2:$A$722,"&gt;="&amp;7722630000,Данные!$A$2:$A$722,"&lt;="&amp;7722638549)</f>
        <v>0</v>
      </c>
      <c r="BI29" s="63" t="n">
        <f aca="false">COUNTIFS(Данные!$B$2:$B$722,16,Данные!$C$2:$C$722,0,Данные!$A$2:$A$722,"&gt;="&amp;7722639400,Данные!$A$2:$A$722,"&lt;="&amp;7722639899)</f>
        <v>0</v>
      </c>
      <c r="BJ29" s="63" t="n">
        <f aca="false">COUNTIFS(Данные!$B$2:$B$722,16,Данные!$C$2:$C$722,0,Данные!$A$2:$A$722,"&gt;="&amp;7725750000,Данные!$A$2:$A$722,"&lt;="&amp;7725750399)</f>
        <v>0</v>
      </c>
      <c r="BK29" s="63" t="n">
        <f aca="false">COUNTIFS(Данные!$B$2:$B$722,16,Данные!$C$2:$C$722,0,Данные!$A$2:$A$722,"&gt;="&amp;7723620000,Данные!$A$2:$A$722,"&lt;="&amp;7723621299)</f>
        <v>0</v>
      </c>
      <c r="BL29" s="63" t="n">
        <f aca="false">COUNTIFS(Данные!$B$2:$B$722,16,Данные!$C$2:$C$722,0,Данные!$A$2:$A$722,"&gt;="&amp;7723621600,Данные!$A$2:$A$722,"&lt;="&amp;7723623399)</f>
        <v>0</v>
      </c>
      <c r="BM29" s="63" t="n">
        <f aca="false">COUNTIFS(Данные!$B$2:$B$722,16,Данные!$C$2:$C$722,0,Данные!$A$2:$A$722,"&gt;="&amp;7725127000,Данные!$A$2:$A$722,"&lt;="&amp;7725127999)</f>
        <v>0</v>
      </c>
      <c r="BN29" s="63" t="n">
        <f aca="false">COUNTIFS(Данные!$B$2:$B$722,16,Данные!$C$2:$C$722,0,Данные!$A$2:$A$722,"&gt;="&amp;7723772000,Данные!$A$2:$A$722,"&lt;="&amp;7723724999)</f>
        <v>0</v>
      </c>
      <c r="BO29" s="62" t="n">
        <f aca="false">COUNTIFS(Данные!$B$2:$B$722,16,Данные!$C$2:$C$722,0,Данные!$A$2:$A$722,"&gt;="&amp;7723765000,Данные!$A$2:$A$722,"&lt;="&amp;7723765499)</f>
        <v>0</v>
      </c>
      <c r="BP29" s="63" t="n">
        <f aca="false">COUNTIFS(Данные!$B$2:$B$722,16,Данные!$C$2:$C$722,0,Данные!$A$2:$A$722,"&gt;="&amp;7723948000,Данные!$A$2:$A$722,"&lt;="&amp;7723948999)</f>
        <v>0</v>
      </c>
      <c r="BQ29" s="63" t="n">
        <f aca="false">COUNTIFS(Данные!$B$2:$B$722,16,Данные!$C$2:$C$722,0,Данные!$A$2:$A$722,"&gt;="&amp;7723950000,Данные!$A$2:$A$722,"&lt;="&amp;7723951099)</f>
        <v>0</v>
      </c>
      <c r="BR29" s="63" t="n">
        <f aca="false">COUNTIFS(Данные!$B$2:$B$722,16,Данные!$C$2:$C$722,0,Данные!$A$2:$A$722,"&gt;="&amp;7723020000,Данные!$A$2:$A$722,"&lt;="&amp;7723020999)</f>
        <v>0</v>
      </c>
      <c r="BS29" s="63" t="n">
        <f aca="false">COUNTIFS(Данные!$B$2:$B$722,16,Данные!$C$2:$C$722,0,Данные!$A$2:$A$722,"&gt;="&amp;7723029000,Данные!$A$2:$A$722,"&lt;="&amp;7723029999)</f>
        <v>0</v>
      </c>
      <c r="BT29" s="63" t="n">
        <f aca="false">COUNTIFS(Данные!$B$2:$B$722,16,Данные!$C$2:$C$722,0,Данные!$A$2:$A$722,"&gt;="&amp;7723055000,Данные!$A$2:$A$722,"&lt;="&amp;7723056549)</f>
        <v>0</v>
      </c>
      <c r="BU29" s="62" t="n">
        <f aca="false">COUNTIFS(Данные!$B$2:$B$722,16,Данные!$C$2:$C$722,0,Данные!$A$2:$A$722,"&gt;="&amp;7725250000,Данные!$A$2:$A$722,"&lt;="&amp;7725250499)</f>
        <v>0</v>
      </c>
      <c r="BV29" s="63" t="n">
        <f aca="false">COUNTIFS(Данные!$B$2:$B$722,16,Данные!$C$2:$C$722,0,Данные!$A$2:$A$722,"&gt;="&amp;7183841400,Данные!$A$2:$A$722,"&lt;="&amp;7183841499)</f>
        <v>0</v>
      </c>
      <c r="BW29" s="40" t="n">
        <v>300</v>
      </c>
      <c r="BX29" s="64" t="n">
        <f aca="false">F29-BW29</f>
        <v>-300</v>
      </c>
    </row>
    <row r="30" s="15" customFormat="true" ht="12" hidden="false" customHeight="true" outlineLevel="0" collapsed="false">
      <c r="A30" s="38"/>
      <c r="B30" s="39"/>
      <c r="C30" s="41" t="n">
        <v>1</v>
      </c>
      <c r="D30" s="41" t="n">
        <v>161</v>
      </c>
      <c r="E30" s="42"/>
      <c r="F30" s="62" t="n">
        <f aca="false">COUNTIFS(Данные!$B$2:$B$722,16,Данные!$C$2:$C$722,1)</f>
        <v>0</v>
      </c>
      <c r="G30" s="62" t="n">
        <f aca="false">COUNTIFS(Данные!$B$2:$B$722,16,Данные!$C$2:$C$722,1,Данные!$A$2:$A$722,"&gt;="&amp;77232210840,Данные!$A$2:$A$722,"&lt;="&amp;77232216999)</f>
        <v>0</v>
      </c>
      <c r="H30" s="62" t="n">
        <f aca="false">COUNTIFS(Данные!$B$2:$B$722,16,Данные!$C$2:$C$722,1,Данные!$A$2:$A$722,"&gt;="&amp;77232510512,Данные!$A$2:$A$722,"&lt;="&amp;77232519487)</f>
        <v>0</v>
      </c>
      <c r="I30" s="62" t="n">
        <f aca="false">COUNTIFS(Данные!$B$2:$B$722,16,Данные!$C$2:$C$722,1,Данные!$A$2:$A$722,"&gt;="&amp;77232524160,Данные!$A$2:$A$722,"&lt;="&amp;77232529999)</f>
        <v>0</v>
      </c>
      <c r="J30" s="62" t="n">
        <f aca="false">COUNTIFS(Данные!$B$2:$B$722,16,Данные!$C$2:$C$722,1,Данные!$A$2:$A$722,"&gt;="&amp;77232544000,Данные!$A$2:$A$722,"&lt;="&amp;77232544999)</f>
        <v>0</v>
      </c>
      <c r="K30" s="62" t="n">
        <f aca="false">COUNTIFS(Данные!$B$2:$B$722,16,Данные!$C$2:$C$722,1,Данные!$A$2:$A$722,"&gt;="&amp;77232295504,Данные!$A$2:$A$722,"&lt;="&amp;77232296999)</f>
        <v>0</v>
      </c>
      <c r="L30" s="62" t="n">
        <f aca="false">COUNTIFS(Данные!$B$2:$B$722,16,Данные!$C$2:$C$722,1,Данные!$A$2:$A$722,"&gt;="&amp;77232785000,Данные!$A$2:$A$722,"&lt;="&amp;77232789999)</f>
        <v>0</v>
      </c>
      <c r="M30" s="62" t="n">
        <f aca="false">COUNTIFS(Данные!$B$2:$B$722,16,Данные!$C$2:$C$722,1,Данные!$A$2:$A$722,"&gt;="&amp;77233150000,Данные!$A$2:$A$722,"&lt;="&amp;77233155999)</f>
        <v>0</v>
      </c>
      <c r="N30" s="62" t="n">
        <f aca="false">COUNTIFS(Данные!$B$2:$B$722,16,Данные!$C$2:$C$722,1,Данные!$A$2:$A$722,"&gt;="&amp;77233235000,Данные!$A$2:$A$722,"&lt;="&amp;77233235999)</f>
        <v>0</v>
      </c>
      <c r="O30" s="62" t="n">
        <f aca="false">COUNTIFS(Данные!$B$2:$B$722,16,Данные!$C$2:$C$722,1,Данные!$A$2:$A$722,"&gt;="&amp;77233239000,Данные!$A$2:$A$722,"&lt;="&amp;77233239999)</f>
        <v>0</v>
      </c>
      <c r="P30" s="62" t="n">
        <f aca="false">COUNTIFS(Данные!$B$2:$B$722,16,Данные!$C$2:$C$722,1,Данные!$A$2:$A$722,"&gt;="&amp;77233272000,Данные!$A$2:$A$722,"&lt;="&amp;77233272999)</f>
        <v>0</v>
      </c>
      <c r="Q30" s="62" t="n">
        <f aca="false">COUNTIFS(Данные!$B$2:$B$722,16,Данные!$C$2:$C$722,1,Данные!$A$2:$A$722,"&gt;="&amp;77233291100,Данные!$A$2:$A$722,"&lt;="&amp;77233292999)</f>
        <v>0</v>
      </c>
      <c r="R30" s="62" t="n">
        <f aca="false">COUNTIFS(Данные!$B$2:$B$722,16,Данные!$C$2:$C$722,1,Данные!$A$2:$A$722,"&gt;="&amp;77233297000,Данные!$A$2:$A$722,"&lt;="&amp;77233298399)</f>
        <v>0</v>
      </c>
      <c r="S30" s="62" t="n">
        <f aca="false">COUNTIFS(Данные!$B$2:$B$722,16,Данные!$C$2:$C$722,1,Данные!$A$2:$A$722,"&gt;="&amp;77235124000,Данные!$A$2:$A$722,"&lt;="&amp;77235128499)</f>
        <v>0</v>
      </c>
      <c r="T30" s="62" t="n">
        <f aca="false">COUNTIFS(Данные!$B$2:$B$722,16,Данные!$C$2:$C$722,1,Данные!$A$2:$A$722,"&gt;="&amp;77235320000,Данные!$A$2:$A$722,"&lt;="&amp;77235320999)</f>
        <v>0</v>
      </c>
      <c r="U30" s="62" t="n">
        <f aca="false">COUNTIFS(Данные!$B$2:$B$722,16,Данные!$C$2:$C$722,1,Данные!$A$2:$A$722,"&gt;="&amp;77233620000,Данные!$A$2:$A$722,"&lt;="&amp;77233623339)</f>
        <v>0</v>
      </c>
      <c r="V30" s="62" t="n">
        <f aca="false">COUNTIFS(Данные!$B$2:$B$722,16,Данные!$C$2:$C$722,1,Данные!$A$2:$A$722,"&gt;="&amp;77233630000,Данные!$A$2:$A$722,"&lt;="&amp;77233630999)</f>
        <v>0</v>
      </c>
      <c r="W30" s="62" t="n">
        <f aca="false">COUNTIFS(Данные!$B$2:$B$722,16,Данные!$C$2:$C$722,1,Данные!$A$2:$A$722,"&gt;="&amp;77233637000,Данные!$A$2:$A$722,"&lt;="&amp;77233637599)</f>
        <v>0</v>
      </c>
      <c r="X30" s="62" t="n">
        <f aca="false">COUNTIFS(Данные!$B$2:$B$722,16,Данные!$C$2:$C$722,1,Данные!$A$2:$A$722,"&gt;="&amp;77233550000,Данные!$A$2:$A$722,"&lt;="&amp;77233550999)</f>
        <v>0</v>
      </c>
      <c r="Y30" s="62" t="n">
        <f aca="false">COUNTIFS(Данные!$B$2:$B$722,16,Данные!$C$2:$C$722,1,Данные!$A$2:$A$722,"&gt;="&amp;77233554000,Данные!$A$2:$A$722,"&lt;="&amp;77233554999)</f>
        <v>0</v>
      </c>
      <c r="Z30" s="62" t="n">
        <f aca="false">COUNTIFS(Данные!$B$2:$B$722,16,Данные!$C$2:$C$722,1,Данные!$A$2:$A$722,"&gt;="&amp;77233555000,Данные!$A$2:$A$722,"&lt;="&amp;77233556999)</f>
        <v>0</v>
      </c>
      <c r="AA30" s="62" t="n">
        <f aca="false">COUNTIFS(Данные!$B$2:$B$722,16,Данные!$C$2:$C$722,1,Данные!$A$2:$A$722,"&gt;="&amp;77233726000,Данные!$A$2:$A$722,"&lt;="&amp;77233726999)</f>
        <v>0</v>
      </c>
      <c r="AB30" s="62" t="n">
        <f aca="false">COUNTIFS(Данные!$B$2:$B$722,16,Данные!$C$2:$C$722,1,Данные!$A$2:$A$722,"&gt;="&amp;77233820000,Данные!$A$2:$A$722,"&lt;="&amp;77233820999)</f>
        <v>0</v>
      </c>
      <c r="AC30" s="62" t="n">
        <f aca="false">COUNTIFS(Данные!$B$2:$B$722,16,Данные!$C$2:$C$722,1,Данные!$A$2:$A$722,"&gt;="&amp;77233850000,Данные!$A$2:$A$722,"&lt;="&amp;77233850999)</f>
        <v>0</v>
      </c>
      <c r="AD30" s="62" t="n">
        <f aca="false">COUNTIFS(Данные!$B$2:$B$722,16,Данные!$C$2:$C$722,1,Данные!$A$2:$A$722,"&gt;="&amp;77233420000,Данные!$A$2:$A$722,"&lt;="&amp;77233420999)</f>
        <v>0</v>
      </c>
      <c r="AE30" s="62" t="n">
        <f aca="false">COUNTIFS(Данные!$B$2:$B$722,16,Данные!$C$2:$C$722,1,Данные!$A$2:$A$722,"&gt;="&amp;77234740000,Данные!$A$2:$A$722,"&lt;="&amp;77234742999)</f>
        <v>0</v>
      </c>
      <c r="AF30" s="62" t="n">
        <f aca="false">COUNTIFS(Данные!$B$2:$B$722,16,Данные!$C$2:$C$722,1,Данные!$A$2:$A$722,"&gt;="&amp;77234767000,Данные!$A$2:$A$722,"&lt;="&amp;77234767999)</f>
        <v>0</v>
      </c>
      <c r="AG30" s="62" t="n">
        <f aca="false">COUNTIFS(Данные!$B$2:$B$722,16,Данные!$C$2:$C$722,1,Данные!$A$2:$A$722,"&gt;="&amp;77234120000,Данные!$A$2:$A$722,"&lt;="&amp;77234120999)</f>
        <v>0</v>
      </c>
      <c r="AH30" s="62" t="n">
        <f aca="false">COUNTIFS(Данные!$B$2:$B$722,16,Данные!$C$2:$C$722,1,Данные!$A$2:$A$722,"&gt;="&amp;77234127000,Данные!$A$2:$A$722,"&lt;="&amp;77234127999)</f>
        <v>0</v>
      </c>
      <c r="AI30" s="62" t="n">
        <f aca="false">COUNTIFS(Данные!$B$2:$B$722,16,Данные!$C$2:$C$722,1,Данные!$A$2:$A$722,"&gt;="&amp;77234220000,Данные!$A$2:$A$722,"&lt;="&amp;77234220999)</f>
        <v>0</v>
      </c>
      <c r="AJ30" s="62" t="n">
        <f aca="false">COUNTIFS(Данные!$B$2:$B$722,16,Данные!$C$2:$C$722,1,Данные!$A$2:$A$722,"&gt;="&amp;77234250000,Данные!$A$2:$A$722,"&lt;="&amp;77234250999)</f>
        <v>0</v>
      </c>
      <c r="AK30" s="62" t="n">
        <f aca="false">COUNTIFS(Данные!$B$2:$B$722,16,Данные!$C$2:$C$722,1,Данные!$A$2:$A$722,"&gt;="&amp;77233922950,Данные!$A$2:$A$722,"&lt;="&amp;77233924999)</f>
        <v>0</v>
      </c>
      <c r="AL30" s="62" t="n">
        <f aca="false">COUNTIFS(Данные!$B$2:$B$722,16,Данные!$C$2:$C$722,1,Данные!$A$2:$A$722,"&gt;="&amp;77234320000,Данные!$A$2:$A$722,"&lt;="&amp;77234320999)</f>
        <v>0</v>
      </c>
      <c r="AM30" s="62" t="n">
        <f aca="false">COUNTIFS(Данные!$B$2:$B$722,16,Данные!$C$2:$C$722,1,Данные!$A$2:$A$722,"&gt;="&amp;77234350000,Данные!$A$2:$A$722,"&lt;="&amp;77234350999)</f>
        <v>0</v>
      </c>
      <c r="AN30" s="62" t="n">
        <f aca="false">COUNTIFS(Данные!$B$2:$B$722,16,Данные!$C$2:$C$722,1,Данные!$A$2:$A$722,"&gt;="&amp;77234020000,Данные!$A$2:$A$722,"&lt;="&amp;77234020999)</f>
        <v>0</v>
      </c>
      <c r="AO30" s="62" t="n">
        <f aca="false">COUNTIFS(Данные!$B$2:$B$722,16,Данные!$C$2:$C$722,1,Данные!$A$2:$A$722,"&gt;="&amp;77234029000,Данные!$A$2:$A$722,"&lt;="&amp;77234029999)</f>
        <v>0</v>
      </c>
      <c r="AP30" s="62" t="n">
        <f aca="false">COUNTIFS(Данные!$B$2:$B$722,16,Данные!$C$2:$C$722,1,Данные!$A$2:$A$722,"&gt;="&amp;77234050000,Данные!$A$2:$A$722,"&lt;="&amp;77234050999)</f>
        <v>0</v>
      </c>
      <c r="AQ30" s="62" t="n">
        <f aca="false">COUNTIFS(Данные!$B$2:$B$722,16,Данные!$C$2:$C$722,1,Данные!$A$2:$A$722,"&gt;="&amp;77234427000,Данные!$A$2:$A$722,"&lt;="&amp;77234428999)</f>
        <v>0</v>
      </c>
      <c r="AR30" s="62" t="n">
        <f aca="false">COUNTIFS(Данные!$B$2:$B$722,16,Данные!$C$2:$C$722,1,Данные!$A$2:$A$722,"&gt;="&amp;77234450000,Данные!$A$2:$A$722,"&lt;="&amp;77234450999)</f>
        <v>0</v>
      </c>
      <c r="AS30" s="62" t="n">
        <f aca="false">COUNTIFS(Данные!$B$2:$B$722,16,Данные!$C$2:$C$722,1,Данные!$A$2:$A$722,"&gt;="&amp;77234620000,Данные!$A$2:$A$722,"&lt;="&amp;77234620999)</f>
        <v>0</v>
      </c>
      <c r="AT30" s="62" t="n">
        <f aca="false">COUNTIFS(Данные!$B$2:$B$722,16,Данные!$C$2:$C$722,1,Данные!$A$2:$A$722,"&gt;="&amp;77234650000,Данные!$A$2:$A$722,"&lt;="&amp;77234650999)</f>
        <v>0</v>
      </c>
      <c r="AU30" s="62" t="n">
        <f aca="false">COUNTIFS(Данные!$B$2:$B$722,16,Данные!$C$2:$C$722,1,Данные!$A$2:$A$722,"&gt;="&amp;77234820000,Данные!$A$2:$A$722,"&lt;="&amp;77234820999)</f>
        <v>0</v>
      </c>
      <c r="AV30" s="62" t="n">
        <f aca="false">COUNTIFS(Данные!$B$2:$B$722,16,Данные!$C$2:$C$722,1,Данные!$A$2:$A$722,"&gt;="&amp;77234850000,Данные!$A$2:$A$722,"&lt;="&amp;77234850999)</f>
        <v>0</v>
      </c>
      <c r="AW30" s="62" t="n">
        <f aca="false">COUNTIFS(Данные!$B$2:$B$722,16,Данные!$C$2:$C$722,1,Данные!$A$2:$A$722,"&gt;="&amp;77233327000,Данные!$A$2:$A$722,"&lt;="&amp;77233327999)</f>
        <v>0</v>
      </c>
      <c r="AX30" s="62" t="n">
        <f aca="false">COUNTIFS(Данные!$B$2:$B$722,16,Данные!$C$2:$C$722,1,Данные!$A$2:$A$722,"&gt;="&amp;77233350000,Данные!$A$2:$A$722,"&lt;="&amp;77233350599)</f>
        <v>0</v>
      </c>
      <c r="AY30" s="62" t="n">
        <f aca="false">COUNTIFS(Данные!$B$2:$B$722,16,Данные!$C$2:$C$722,1,Данные!$A$2:$A$722,"&gt;="&amp;77233351000,Данные!$A$2:$A$722,"&lt;="&amp;77233351999)</f>
        <v>0</v>
      </c>
      <c r="AZ30" s="63" t="n">
        <f aca="false">COUNTIFS(Данные!$B$2:$B$722,16,Данные!$C$2:$C$722,1,Данные!$A$2:$A$722,"&gt;="&amp;7722440000,Данные!$A$2:$A$722,"&lt;="&amp;7722440999)</f>
        <v>0</v>
      </c>
      <c r="BA30" s="63" t="n">
        <f aca="false">COUNTIFS(Данные!$B$2:$B$722,16,Данные!$C$2:$C$722,1,Данные!$A$2:$A$722,"&gt;="&amp;7722442000,Данные!$A$2:$A$722,"&lt;="&amp;7722445659)</f>
        <v>0</v>
      </c>
      <c r="BB30" s="63" t="n">
        <f aca="false">COUNTIFS(Данные!$B$2:$B$722,16,Данные!$C$2:$C$722,1,Данные!$A$2:$A$722,"&gt;="&amp;7722450000,Данные!$A$2:$A$722,"&lt;="&amp;7722450199)</f>
        <v>0</v>
      </c>
      <c r="BC30" s="63" t="n">
        <f aca="false">COUNTIFS(Данные!$B$2:$B$722,16,Данные!$C$2:$C$722,1,Данные!$A$2:$A$722,"&gt;="&amp;7722451000,Данные!$A$2:$A$722,"&lt;="&amp;7722451374)</f>
        <v>0</v>
      </c>
      <c r="BD30" s="63" t="n">
        <f aca="false">COUNTIFS(Данные!$B$2:$B$722,16,Данные!$C$2:$C$722,1,Данные!$A$2:$A$722,"&gt;="&amp;7722452000,Данные!$A$2:$A$722,"&lt;="&amp;7722452299)</f>
        <v>0</v>
      </c>
      <c r="BE30" s="63" t="n">
        <f aca="false">COUNTIFS(Данные!$B$2:$B$722,16,Данные!$C$2:$C$722,1,Данные!$A$2:$A$722,"&gt;="&amp;7722453000,Данные!$A$2:$A$722,"&lt;="&amp;7722453816)</f>
        <v>0</v>
      </c>
      <c r="BF30" s="63" t="n">
        <f aca="false">COUNTIFS(Данные!$B$2:$B$722,16,Данные!$C$2:$C$722,1,Данные!$A$2:$A$722,"&gt;="&amp;7722454000,Данные!$A$2:$A$722,"&lt;="&amp;7722454099)</f>
        <v>0</v>
      </c>
      <c r="BG30" s="63" t="n">
        <f aca="false">COUNTIFS(Данные!$B$2:$B$722,16,Данные!$C$2:$C$722,1,Данные!$A$2:$A$722,"&gt;="&amp;7722458000,Данные!$A$2:$A$722,"&lt;="&amp;7722458999)</f>
        <v>0</v>
      </c>
      <c r="BH30" s="63" t="n">
        <f aca="false">COUNTIFS(Данные!$B$2:$B$722,16,Данные!$C$2:$C$722,1,Данные!$A$2:$A$722,"&gt;="&amp;7722630000,Данные!$A$2:$A$722,"&lt;="&amp;7722638549)</f>
        <v>0</v>
      </c>
      <c r="BI30" s="63" t="n">
        <f aca="false">COUNTIFS(Данные!$B$2:$B$722,16,Данные!$C$2:$C$722,1,Данные!$A$2:$A$722,"&gt;="&amp;7722639400,Данные!$A$2:$A$722,"&lt;="&amp;7722639899)</f>
        <v>0</v>
      </c>
      <c r="BJ30" s="63" t="n">
        <f aca="false">COUNTIFS(Данные!$B$2:$B$722,16,Данные!$C$2:$C$722,1,Данные!$A$2:$A$722,"&gt;="&amp;7725750000,Данные!$A$2:$A$722,"&lt;="&amp;7725750399)</f>
        <v>0</v>
      </c>
      <c r="BK30" s="63" t="n">
        <f aca="false">COUNTIFS(Данные!$B$2:$B$722,16,Данные!$C$2:$C$722,1,Данные!$A$2:$A$722,"&gt;="&amp;7723620000,Данные!$A$2:$A$722,"&lt;="&amp;7723621299)</f>
        <v>0</v>
      </c>
      <c r="BL30" s="63" t="n">
        <f aca="false">COUNTIFS(Данные!$B$2:$B$722,16,Данные!$C$2:$C$722,1,Данные!$A$2:$A$722,"&gt;="&amp;7723621600,Данные!$A$2:$A$722,"&lt;="&amp;7723623399)</f>
        <v>0</v>
      </c>
      <c r="BM30" s="63" t="n">
        <f aca="false">COUNTIFS(Данные!$B$2:$B$722,16,Данные!$C$2:$C$722,1,Данные!$A$2:$A$722,"&gt;="&amp;7725127000,Данные!$A$2:$A$722,"&lt;="&amp;7725127999)</f>
        <v>0</v>
      </c>
      <c r="BN30" s="63" t="n">
        <f aca="false">COUNTIFS(Данные!$B$2:$B$722,16,Данные!$C$2:$C$722,1,Данные!$A$2:$A$722,"&gt;="&amp;7723772000,Данные!$A$2:$A$722,"&lt;="&amp;7723724999)</f>
        <v>0</v>
      </c>
      <c r="BO30" s="62" t="n">
        <f aca="false">COUNTIFS(Данные!$B$2:$B$722,16,Данные!$C$2:$C$722,1,Данные!$A$2:$A$722,"&gt;="&amp;7723765000,Данные!$A$2:$A$722,"&lt;="&amp;7723765499)</f>
        <v>0</v>
      </c>
      <c r="BP30" s="63" t="n">
        <f aca="false">COUNTIFS(Данные!$B$2:$B$722,16,Данные!$C$2:$C$722,1,Данные!$A$2:$A$722,"&gt;="&amp;7723948000,Данные!$A$2:$A$722,"&lt;="&amp;7723948999)</f>
        <v>0</v>
      </c>
      <c r="BQ30" s="63" t="n">
        <f aca="false">COUNTIFS(Данные!$B$2:$B$722,16,Данные!$C$2:$C$722,1,Данные!$A$2:$A$722,"&gt;="&amp;7723950000,Данные!$A$2:$A$722,"&lt;="&amp;7723951099)</f>
        <v>0</v>
      </c>
      <c r="BR30" s="63" t="n">
        <f aca="false">COUNTIFS(Данные!$B$2:$B$722,16,Данные!$C$2:$C$722,1,Данные!$A$2:$A$722,"&gt;="&amp;7723020000,Данные!$A$2:$A$722,"&lt;="&amp;7723020999)</f>
        <v>0</v>
      </c>
      <c r="BS30" s="63" t="n">
        <f aca="false">COUNTIFS(Данные!$B$2:$B$722,16,Данные!$C$2:$C$722,1,Данные!$A$2:$A$722,"&gt;="&amp;7723029000,Данные!$A$2:$A$722,"&lt;="&amp;7723029999)</f>
        <v>0</v>
      </c>
      <c r="BT30" s="63" t="n">
        <f aca="false">COUNTIFS(Данные!$B$2:$B$722,16,Данные!$C$2:$C$722,1,Данные!$A$2:$A$722,"&gt;="&amp;7723055000,Данные!$A$2:$A$722,"&lt;="&amp;7723056549)</f>
        <v>0</v>
      </c>
      <c r="BU30" s="62" t="n">
        <f aca="false">COUNTIFS(Данные!$B$2:$B$722,16,Данные!$C$2:$C$722,1,Данные!$A$2:$A$722,"&gt;="&amp;7725250000,Данные!$A$2:$A$722,"&lt;="&amp;7725250499)</f>
        <v>0</v>
      </c>
      <c r="BV30" s="63" t="n">
        <f aca="false">COUNTIFS(Данные!$B$2:$B$722,16,Данные!$C$2:$C$722,1,Данные!$A$2:$A$722,"&gt;="&amp;7183841400,Данные!$A$2:$A$722,"&lt;="&amp;7183841499)</f>
        <v>0</v>
      </c>
      <c r="BW30" s="40" t="n">
        <v>300</v>
      </c>
      <c r="BX30" s="64" t="n">
        <f aca="false">F30-BW30</f>
        <v>-300</v>
      </c>
    </row>
    <row r="31" s="15" customFormat="true" ht="12" hidden="false" customHeight="true" outlineLevel="0" collapsed="false">
      <c r="A31" s="38"/>
      <c r="B31" s="39"/>
      <c r="C31" s="41" t="n">
        <v>2</v>
      </c>
      <c r="D31" s="41" t="n">
        <v>162</v>
      </c>
      <c r="E31" s="42"/>
      <c r="F31" s="62" t="n">
        <f aca="false">COUNTIFS(Данные!$B$2:$B$722,16,Данные!$C$2:$C$722,2)</f>
        <v>0</v>
      </c>
      <c r="G31" s="62" t="n">
        <f aca="false">COUNTIFS(Данные!$B$2:$B$722,16,Данные!$C$2:$C$722,2,Данные!$A$2:$A$722,"&gt;="&amp;77232210840,Данные!$A$2:$A$722,"&lt;="&amp;77232216999)</f>
        <v>0</v>
      </c>
      <c r="H31" s="62" t="n">
        <f aca="false">COUNTIFS(Данные!$B$2:$B$722,16,Данные!$C$2:$C$722,2,Данные!$A$2:$A$722,"&gt;="&amp;77232510512,Данные!$A$2:$A$722,"&lt;="&amp;77232519487)</f>
        <v>0</v>
      </c>
      <c r="I31" s="62" t="n">
        <f aca="false">COUNTIFS(Данные!$B$2:$B$722,16,Данные!$C$2:$C$722,2,Данные!$A$2:$A$722,"&gt;="&amp;77232524160,Данные!$A$2:$A$722,"&lt;="&amp;77232529999)</f>
        <v>0</v>
      </c>
      <c r="J31" s="62" t="n">
        <f aca="false">COUNTIFS(Данные!$B$2:$B$722,16,Данные!$C$2:$C$722,2,Данные!$A$2:$A$722,"&gt;="&amp;77232544000,Данные!$A$2:$A$722,"&lt;="&amp;77232544999)</f>
        <v>0</v>
      </c>
      <c r="K31" s="62" t="n">
        <f aca="false">COUNTIFS(Данные!$B$2:$B$722,16,Данные!$C$2:$C$722,2,Данные!$A$2:$A$722,"&gt;="&amp;77232295504,Данные!$A$2:$A$722,"&lt;="&amp;77232296999)</f>
        <v>0</v>
      </c>
      <c r="L31" s="62" t="n">
        <f aca="false">COUNTIFS(Данные!$B$2:$B$722,16,Данные!$C$2:$C$722,2,Данные!$A$2:$A$722,"&gt;="&amp;77232785000,Данные!$A$2:$A$722,"&lt;="&amp;77232789999)</f>
        <v>0</v>
      </c>
      <c r="M31" s="62" t="n">
        <f aca="false">COUNTIFS(Данные!$B$2:$B$722,16,Данные!$C$2:$C$722,2,Данные!$A$2:$A$722,"&gt;="&amp;77233150000,Данные!$A$2:$A$722,"&lt;="&amp;77233155999)</f>
        <v>0</v>
      </c>
      <c r="N31" s="62" t="n">
        <f aca="false">COUNTIFS(Данные!$B$2:$B$722,16,Данные!$C$2:$C$722,2,Данные!$A$2:$A$722,"&gt;="&amp;77233235000,Данные!$A$2:$A$722,"&lt;="&amp;77233235999)</f>
        <v>0</v>
      </c>
      <c r="O31" s="62" t="n">
        <f aca="false">COUNTIFS(Данные!$B$2:$B$722,16,Данные!$C$2:$C$722,2,Данные!$A$2:$A$722,"&gt;="&amp;77233239000,Данные!$A$2:$A$722,"&lt;="&amp;77233239999)</f>
        <v>0</v>
      </c>
      <c r="P31" s="62" t="n">
        <f aca="false">COUNTIFS(Данные!$B$2:$B$722,16,Данные!$C$2:$C$722,2,Данные!$A$2:$A$722,"&gt;="&amp;77233272000,Данные!$A$2:$A$722,"&lt;="&amp;77233272999)</f>
        <v>0</v>
      </c>
      <c r="Q31" s="62" t="n">
        <f aca="false">COUNTIFS(Данные!$B$2:$B$722,16,Данные!$C$2:$C$722,2,Данные!$A$2:$A$722,"&gt;="&amp;77233291100,Данные!$A$2:$A$722,"&lt;="&amp;77233292999)</f>
        <v>0</v>
      </c>
      <c r="R31" s="62" t="n">
        <f aca="false">COUNTIFS(Данные!$B$2:$B$722,16,Данные!$C$2:$C$722,2,Данные!$A$2:$A$722,"&gt;="&amp;77233297000,Данные!$A$2:$A$722,"&lt;="&amp;77233298399)</f>
        <v>0</v>
      </c>
      <c r="S31" s="62" t="n">
        <f aca="false">COUNTIFS(Данные!$B$2:$B$722,16,Данные!$C$2:$C$722,2,Данные!$A$2:$A$722,"&gt;="&amp;77235124000,Данные!$A$2:$A$722,"&lt;="&amp;77235128499)</f>
        <v>0</v>
      </c>
      <c r="T31" s="62" t="n">
        <f aca="false">COUNTIFS(Данные!$B$2:$B$722,16,Данные!$C$2:$C$722,2,Данные!$A$2:$A$722,"&gt;="&amp;77235320000,Данные!$A$2:$A$722,"&lt;="&amp;77235320999)</f>
        <v>0</v>
      </c>
      <c r="U31" s="62" t="n">
        <f aca="false">COUNTIFS(Данные!$B$2:$B$722,16,Данные!$C$2:$C$722,2,Данные!$A$2:$A$722,"&gt;="&amp;77233620000,Данные!$A$2:$A$722,"&lt;="&amp;77233623339)</f>
        <v>0</v>
      </c>
      <c r="V31" s="62" t="n">
        <f aca="false">COUNTIFS(Данные!$B$2:$B$722,16,Данные!$C$2:$C$722,2,Данные!$A$2:$A$722,"&gt;="&amp;77233630000,Данные!$A$2:$A$722,"&lt;="&amp;77233630999)</f>
        <v>0</v>
      </c>
      <c r="W31" s="62" t="n">
        <f aca="false">COUNTIFS(Данные!$B$2:$B$722,16,Данные!$C$2:$C$722,2,Данные!$A$2:$A$722,"&gt;="&amp;77233637000,Данные!$A$2:$A$722,"&lt;="&amp;77233637599)</f>
        <v>0</v>
      </c>
      <c r="X31" s="62" t="n">
        <f aca="false">COUNTIFS(Данные!$B$2:$B$722,16,Данные!$C$2:$C$722,2,Данные!$A$2:$A$722,"&gt;="&amp;77233550000,Данные!$A$2:$A$722,"&lt;="&amp;77233550999)</f>
        <v>0</v>
      </c>
      <c r="Y31" s="62" t="n">
        <f aca="false">COUNTIFS(Данные!$B$2:$B$722,16,Данные!$C$2:$C$722,2,Данные!$A$2:$A$722,"&gt;="&amp;77233554000,Данные!$A$2:$A$722,"&lt;="&amp;77233554999)</f>
        <v>0</v>
      </c>
      <c r="Z31" s="62" t="n">
        <f aca="false">COUNTIFS(Данные!$B$2:$B$722,16,Данные!$C$2:$C$722,2,Данные!$A$2:$A$722,"&gt;="&amp;77233555000,Данные!$A$2:$A$722,"&lt;="&amp;77233556999)</f>
        <v>0</v>
      </c>
      <c r="AA31" s="62" t="n">
        <f aca="false">COUNTIFS(Данные!$B$2:$B$722,16,Данные!$C$2:$C$722,2,Данные!$A$2:$A$722,"&gt;="&amp;77233726000,Данные!$A$2:$A$722,"&lt;="&amp;77233726999)</f>
        <v>0</v>
      </c>
      <c r="AB31" s="62" t="n">
        <f aca="false">COUNTIFS(Данные!$B$2:$B$722,16,Данные!$C$2:$C$722,2,Данные!$A$2:$A$722,"&gt;="&amp;77233820000,Данные!$A$2:$A$722,"&lt;="&amp;77233820999)</f>
        <v>0</v>
      </c>
      <c r="AC31" s="62" t="n">
        <f aca="false">COUNTIFS(Данные!$B$2:$B$722,16,Данные!$C$2:$C$722,2,Данные!$A$2:$A$722,"&gt;="&amp;77233850000,Данные!$A$2:$A$722,"&lt;="&amp;77233850999)</f>
        <v>0</v>
      </c>
      <c r="AD31" s="62" t="n">
        <f aca="false">COUNTIFS(Данные!$B$2:$B$722,16,Данные!$C$2:$C$722,2,Данные!$A$2:$A$722,"&gt;="&amp;77233420000,Данные!$A$2:$A$722,"&lt;="&amp;77233420999)</f>
        <v>0</v>
      </c>
      <c r="AE31" s="62" t="n">
        <f aca="false">COUNTIFS(Данные!$B$2:$B$722,16,Данные!$C$2:$C$722,2,Данные!$A$2:$A$722,"&gt;="&amp;77234740000,Данные!$A$2:$A$722,"&lt;="&amp;77234742999)</f>
        <v>0</v>
      </c>
      <c r="AF31" s="62" t="n">
        <f aca="false">COUNTIFS(Данные!$B$2:$B$722,16,Данные!$C$2:$C$722,2,Данные!$A$2:$A$722,"&gt;="&amp;77234767000,Данные!$A$2:$A$722,"&lt;="&amp;77234767999)</f>
        <v>0</v>
      </c>
      <c r="AG31" s="62" t="n">
        <f aca="false">COUNTIFS(Данные!$B$2:$B$722,16,Данные!$C$2:$C$722,2,Данные!$A$2:$A$722,"&gt;="&amp;77234120000,Данные!$A$2:$A$722,"&lt;="&amp;77234120999)</f>
        <v>0</v>
      </c>
      <c r="AH31" s="62" t="n">
        <f aca="false">COUNTIFS(Данные!$B$2:$B$722,16,Данные!$C$2:$C$722,2,Данные!$A$2:$A$722,"&gt;="&amp;77234127000,Данные!$A$2:$A$722,"&lt;="&amp;77234127999)</f>
        <v>0</v>
      </c>
      <c r="AI31" s="62" t="n">
        <f aca="false">COUNTIFS(Данные!$B$2:$B$722,16,Данные!$C$2:$C$722,2,Данные!$A$2:$A$722,"&gt;="&amp;77234220000,Данные!$A$2:$A$722,"&lt;="&amp;77234220999)</f>
        <v>0</v>
      </c>
      <c r="AJ31" s="62" t="n">
        <f aca="false">COUNTIFS(Данные!$B$2:$B$722,16,Данные!$C$2:$C$722,2,Данные!$A$2:$A$722,"&gt;="&amp;77234250000,Данные!$A$2:$A$722,"&lt;="&amp;77234250999)</f>
        <v>0</v>
      </c>
      <c r="AK31" s="62" t="n">
        <f aca="false">COUNTIFS(Данные!$B$2:$B$722,16,Данные!$C$2:$C$722,2,Данные!$A$2:$A$722,"&gt;="&amp;77233922950,Данные!$A$2:$A$722,"&lt;="&amp;77233924999)</f>
        <v>0</v>
      </c>
      <c r="AL31" s="62" t="n">
        <f aca="false">COUNTIFS(Данные!$B$2:$B$722,16,Данные!$C$2:$C$722,2,Данные!$A$2:$A$722,"&gt;="&amp;77234320000,Данные!$A$2:$A$722,"&lt;="&amp;77234320999)</f>
        <v>0</v>
      </c>
      <c r="AM31" s="62" t="n">
        <f aca="false">COUNTIFS(Данные!$B$2:$B$722,16,Данные!$C$2:$C$722,2,Данные!$A$2:$A$722,"&gt;="&amp;77234350000,Данные!$A$2:$A$722,"&lt;="&amp;77234350999)</f>
        <v>0</v>
      </c>
      <c r="AN31" s="62" t="n">
        <f aca="false">COUNTIFS(Данные!$B$2:$B$722,16,Данные!$C$2:$C$722,2,Данные!$A$2:$A$722,"&gt;="&amp;77234020000,Данные!$A$2:$A$722,"&lt;="&amp;77234020999)</f>
        <v>0</v>
      </c>
      <c r="AO31" s="62" t="n">
        <f aca="false">COUNTIFS(Данные!$B$2:$B$722,16,Данные!$C$2:$C$722,2,Данные!$A$2:$A$722,"&gt;="&amp;77234029000,Данные!$A$2:$A$722,"&lt;="&amp;77234029999)</f>
        <v>0</v>
      </c>
      <c r="AP31" s="62" t="n">
        <f aca="false">COUNTIFS(Данные!$B$2:$B$722,16,Данные!$C$2:$C$722,2,Данные!$A$2:$A$722,"&gt;="&amp;77234050000,Данные!$A$2:$A$722,"&lt;="&amp;77234050999)</f>
        <v>0</v>
      </c>
      <c r="AQ31" s="62" t="n">
        <f aca="false">COUNTIFS(Данные!$B$2:$B$722,16,Данные!$C$2:$C$722,2,Данные!$A$2:$A$722,"&gt;="&amp;77234427000,Данные!$A$2:$A$722,"&lt;="&amp;77234428999)</f>
        <v>0</v>
      </c>
      <c r="AR31" s="62" t="n">
        <f aca="false">COUNTIFS(Данные!$B$2:$B$722,16,Данные!$C$2:$C$722,2,Данные!$A$2:$A$722,"&gt;="&amp;77234450000,Данные!$A$2:$A$722,"&lt;="&amp;77234450999)</f>
        <v>0</v>
      </c>
      <c r="AS31" s="62" t="n">
        <f aca="false">COUNTIFS(Данные!$B$2:$B$722,16,Данные!$C$2:$C$722,2,Данные!$A$2:$A$722,"&gt;="&amp;77234620000,Данные!$A$2:$A$722,"&lt;="&amp;77234620999)</f>
        <v>0</v>
      </c>
      <c r="AT31" s="62" t="n">
        <f aca="false">COUNTIFS(Данные!$B$2:$B$722,16,Данные!$C$2:$C$722,2,Данные!$A$2:$A$722,"&gt;="&amp;77234650000,Данные!$A$2:$A$722,"&lt;="&amp;77234650999)</f>
        <v>0</v>
      </c>
      <c r="AU31" s="62" t="n">
        <f aca="false">COUNTIFS(Данные!$B$2:$B$722,16,Данные!$C$2:$C$722,2,Данные!$A$2:$A$722,"&gt;="&amp;77234820000,Данные!$A$2:$A$722,"&lt;="&amp;77234820999)</f>
        <v>0</v>
      </c>
      <c r="AV31" s="62" t="n">
        <f aca="false">COUNTIFS(Данные!$B$2:$B$722,16,Данные!$C$2:$C$722,2,Данные!$A$2:$A$722,"&gt;="&amp;77234850000,Данные!$A$2:$A$722,"&lt;="&amp;77234850999)</f>
        <v>0</v>
      </c>
      <c r="AW31" s="62" t="n">
        <f aca="false">COUNTIFS(Данные!$B$2:$B$722,16,Данные!$C$2:$C$722,2,Данные!$A$2:$A$722,"&gt;="&amp;77233327000,Данные!$A$2:$A$722,"&lt;="&amp;77233327999)</f>
        <v>0</v>
      </c>
      <c r="AX31" s="62" t="n">
        <f aca="false">COUNTIFS(Данные!$B$2:$B$722,16,Данные!$C$2:$C$722,2,Данные!$A$2:$A$722,"&gt;="&amp;77233350000,Данные!$A$2:$A$722,"&lt;="&amp;77233350599)</f>
        <v>0</v>
      </c>
      <c r="AY31" s="62" t="n">
        <f aca="false">COUNTIFS(Данные!$B$2:$B$722,16,Данные!$C$2:$C$722,2,Данные!$A$2:$A$722,"&gt;="&amp;77233351000,Данные!$A$2:$A$722,"&lt;="&amp;77233351999)</f>
        <v>0</v>
      </c>
      <c r="AZ31" s="63" t="n">
        <f aca="false">COUNTIFS(Данные!$B$2:$B$722,16,Данные!$C$2:$C$722,2,Данные!$A$2:$A$722,"&gt;="&amp;7722440000,Данные!$A$2:$A$722,"&lt;="&amp;7722440999)</f>
        <v>0</v>
      </c>
      <c r="BA31" s="63" t="n">
        <f aca="false">COUNTIFS(Данные!$B$2:$B$722,16,Данные!$C$2:$C$722,2,Данные!$A$2:$A$722,"&gt;="&amp;7722442000,Данные!$A$2:$A$722,"&lt;="&amp;7722445659)</f>
        <v>0</v>
      </c>
      <c r="BB31" s="63" t="n">
        <f aca="false">COUNTIFS(Данные!$B$2:$B$722,16,Данные!$C$2:$C$722,2,Данные!$A$2:$A$722,"&gt;="&amp;7722450000,Данные!$A$2:$A$722,"&lt;="&amp;7722450199)</f>
        <v>0</v>
      </c>
      <c r="BC31" s="63" t="n">
        <f aca="false">COUNTIFS(Данные!$B$2:$B$722,16,Данные!$C$2:$C$722,2,Данные!$A$2:$A$722,"&gt;="&amp;7722451000,Данные!$A$2:$A$722,"&lt;="&amp;7722451374)</f>
        <v>0</v>
      </c>
      <c r="BD31" s="63" t="n">
        <f aca="false">COUNTIFS(Данные!$B$2:$B$722,16,Данные!$C$2:$C$722,2,Данные!$A$2:$A$722,"&gt;="&amp;7722452000,Данные!$A$2:$A$722,"&lt;="&amp;7722452299)</f>
        <v>0</v>
      </c>
      <c r="BE31" s="63" t="n">
        <f aca="false">COUNTIFS(Данные!$B$2:$B$722,16,Данные!$C$2:$C$722,2,Данные!$A$2:$A$722,"&gt;="&amp;7722453000,Данные!$A$2:$A$722,"&lt;="&amp;7722453816)</f>
        <v>0</v>
      </c>
      <c r="BF31" s="63" t="n">
        <f aca="false">COUNTIFS(Данные!$B$2:$B$722,16,Данные!$C$2:$C$722,2,Данные!$A$2:$A$722,"&gt;="&amp;7722454000,Данные!$A$2:$A$722,"&lt;="&amp;7722454099)</f>
        <v>0</v>
      </c>
      <c r="BG31" s="63" t="n">
        <f aca="false">COUNTIFS(Данные!$B$2:$B$722,16,Данные!$C$2:$C$722,2,Данные!$A$2:$A$722,"&gt;="&amp;7722458000,Данные!$A$2:$A$722,"&lt;="&amp;7722458999)</f>
        <v>0</v>
      </c>
      <c r="BH31" s="63" t="n">
        <f aca="false">COUNTIFS(Данные!$B$2:$B$722,16,Данные!$C$2:$C$722,2,Данные!$A$2:$A$722,"&gt;="&amp;7722630000,Данные!$A$2:$A$722,"&lt;="&amp;7722638549)</f>
        <v>0</v>
      </c>
      <c r="BI31" s="63" t="n">
        <f aca="false">COUNTIFS(Данные!$B$2:$B$722,16,Данные!$C$2:$C$722,2,Данные!$A$2:$A$722,"&gt;="&amp;7722639400,Данные!$A$2:$A$722,"&lt;="&amp;7722639899)</f>
        <v>0</v>
      </c>
      <c r="BJ31" s="63" t="n">
        <f aca="false">COUNTIFS(Данные!$B$2:$B$722,16,Данные!$C$2:$C$722,2,Данные!$A$2:$A$722,"&gt;="&amp;7725750000,Данные!$A$2:$A$722,"&lt;="&amp;7725750399)</f>
        <v>0</v>
      </c>
      <c r="BK31" s="63" t="n">
        <f aca="false">COUNTIFS(Данные!$B$2:$B$722,16,Данные!$C$2:$C$722,2,Данные!$A$2:$A$722,"&gt;="&amp;7723620000,Данные!$A$2:$A$722,"&lt;="&amp;7723621299)</f>
        <v>0</v>
      </c>
      <c r="BL31" s="63" t="n">
        <f aca="false">COUNTIFS(Данные!$B$2:$B$722,16,Данные!$C$2:$C$722,2,Данные!$A$2:$A$722,"&gt;="&amp;7723621600,Данные!$A$2:$A$722,"&lt;="&amp;7723623399)</f>
        <v>0</v>
      </c>
      <c r="BM31" s="63" t="n">
        <f aca="false">COUNTIFS(Данные!$B$2:$B$722,16,Данные!$C$2:$C$722,2,Данные!$A$2:$A$722,"&gt;="&amp;7725127000,Данные!$A$2:$A$722,"&lt;="&amp;7725127999)</f>
        <v>0</v>
      </c>
      <c r="BN31" s="63" t="n">
        <f aca="false">COUNTIFS(Данные!$B$2:$B$722,16,Данные!$C$2:$C$722,2,Данные!$A$2:$A$722,"&gt;="&amp;7723772000,Данные!$A$2:$A$722,"&lt;="&amp;7723724999)</f>
        <v>0</v>
      </c>
      <c r="BO31" s="62" t="n">
        <f aca="false">COUNTIFS(Данные!$B$2:$B$722,16,Данные!$C$2:$C$722,2,Данные!$A$2:$A$722,"&gt;="&amp;7723765000,Данные!$A$2:$A$722,"&lt;="&amp;7723765499)</f>
        <v>0</v>
      </c>
      <c r="BP31" s="63" t="n">
        <f aca="false">COUNTIFS(Данные!$B$2:$B$722,16,Данные!$C$2:$C$722,2,Данные!$A$2:$A$722,"&gt;="&amp;7723948000,Данные!$A$2:$A$722,"&lt;="&amp;7723948999)</f>
        <v>0</v>
      </c>
      <c r="BQ31" s="63" t="n">
        <f aca="false">COUNTIFS(Данные!$B$2:$B$722,16,Данные!$C$2:$C$722,2,Данные!$A$2:$A$722,"&gt;="&amp;7723950000,Данные!$A$2:$A$722,"&lt;="&amp;7723951099)</f>
        <v>0</v>
      </c>
      <c r="BR31" s="63" t="n">
        <f aca="false">COUNTIFS(Данные!$B$2:$B$722,16,Данные!$C$2:$C$722,2,Данные!$A$2:$A$722,"&gt;="&amp;7723020000,Данные!$A$2:$A$722,"&lt;="&amp;7723020999)</f>
        <v>0</v>
      </c>
      <c r="BS31" s="63" t="n">
        <f aca="false">COUNTIFS(Данные!$B$2:$B$722,16,Данные!$C$2:$C$722,2,Данные!$A$2:$A$722,"&gt;="&amp;7723029000,Данные!$A$2:$A$722,"&lt;="&amp;7723029999)</f>
        <v>0</v>
      </c>
      <c r="BT31" s="63" t="n">
        <f aca="false">COUNTIFS(Данные!$B$2:$B$722,16,Данные!$C$2:$C$722,2,Данные!$A$2:$A$722,"&gt;="&amp;7723055000,Данные!$A$2:$A$722,"&lt;="&amp;7723056549)</f>
        <v>0</v>
      </c>
      <c r="BU31" s="62" t="n">
        <f aca="false">COUNTIFS(Данные!$B$2:$B$722,16,Данные!$C$2:$C$722,2,Данные!$A$2:$A$722,"&gt;="&amp;7725250000,Данные!$A$2:$A$722,"&lt;="&amp;7725250499)</f>
        <v>0</v>
      </c>
      <c r="BV31" s="63" t="n">
        <f aca="false">COUNTIFS(Данные!$B$2:$B$722,16,Данные!$C$2:$C$722,2,Данные!$A$2:$A$722,"&gt;="&amp;7183841400,Данные!$A$2:$A$722,"&lt;="&amp;7183841499)</f>
        <v>0</v>
      </c>
      <c r="BW31" s="40" t="n">
        <v>300</v>
      </c>
      <c r="BX31" s="64" t="n">
        <f aca="false">F31-BW31</f>
        <v>-300</v>
      </c>
    </row>
    <row r="32" s="15" customFormat="true" ht="12" hidden="false" customHeight="true" outlineLevel="0" collapsed="false">
      <c r="A32" s="47" t="n">
        <v>17</v>
      </c>
      <c r="B32" s="48" t="s">
        <v>70</v>
      </c>
      <c r="C32" s="50" t="n">
        <v>0</v>
      </c>
      <c r="D32" s="50" t="n">
        <v>170</v>
      </c>
      <c r="E32" s="51" t="n">
        <f aca="false">SUM(F32:F34)</f>
        <v>7</v>
      </c>
      <c r="F32" s="65" t="n">
        <f aca="false">COUNTIFS(Данные!$B$2:$B$722,17,Данные!$C$2:$C$722,0)</f>
        <v>0</v>
      </c>
      <c r="G32" s="65" t="n">
        <f aca="false">COUNTIFS(Данные!$B$2:$B$722,17,Данные!$C$2:$C$722,0,Данные!$A$2:$A$722,"&gt;="&amp;77232210840,Данные!$A$2:$A$722,"&lt;="&amp;77232216999)</f>
        <v>0</v>
      </c>
      <c r="H32" s="65" t="n">
        <f aca="false">COUNTIFS(Данные!$B$2:$B$722,17,Данные!$C$2:$C$722,0,Данные!$A$2:$A$722,"&gt;="&amp;77232510512,Данные!$A$2:$A$722,"&lt;="&amp;77232519487)</f>
        <v>0</v>
      </c>
      <c r="I32" s="65" t="n">
        <f aca="false">COUNTIFS(Данные!$B$2:$B$722,17,Данные!$C$2:$C$722,0,Данные!$A$2:$A$722,"&gt;="&amp;77232524160,Данные!$A$2:$A$722,"&lt;="&amp;77232529999)</f>
        <v>0</v>
      </c>
      <c r="J32" s="65" t="n">
        <f aca="false">COUNTIFS(Данные!$B$2:$B$722,17,Данные!$C$2:$C$722,0,Данные!$A$2:$A$722,"&gt;="&amp;77232544000,Данные!$A$2:$A$722,"&lt;="&amp;77232544999)</f>
        <v>0</v>
      </c>
      <c r="K32" s="65" t="n">
        <f aca="false">COUNTIFS(Данные!$B$2:$B$722,17,Данные!$C$2:$C$722,0,Данные!$A$2:$A$722,"&gt;="&amp;77232295504,Данные!$A$2:$A$722,"&lt;="&amp;77232296999)</f>
        <v>0</v>
      </c>
      <c r="L32" s="65" t="n">
        <f aca="false">COUNTIFS(Данные!$B$2:$B$722,17,Данные!$C$2:$C$722,0,Данные!$A$2:$A$722,"&gt;="&amp;77232785000,Данные!$A$2:$A$722,"&lt;="&amp;77232789999)</f>
        <v>0</v>
      </c>
      <c r="M32" s="65" t="n">
        <f aca="false">COUNTIFS(Данные!$B$2:$B$722,17,Данные!$C$2:$C$722,0,Данные!$A$2:$A$722,"&gt;="&amp;77233150000,Данные!$A$2:$A$722,"&lt;="&amp;77233155999)</f>
        <v>0</v>
      </c>
      <c r="N32" s="65" t="n">
        <f aca="false">COUNTIFS(Данные!$B$2:$B$722,17,Данные!$C$2:$C$722,0,Данные!$A$2:$A$722,"&gt;="&amp;77233235000,Данные!$A$2:$A$722,"&lt;="&amp;77233235999)</f>
        <v>0</v>
      </c>
      <c r="O32" s="65" t="n">
        <f aca="false">COUNTIFS(Данные!$B$2:$B$722,17,Данные!$C$2:$C$722,0,Данные!$A$2:$A$722,"&gt;="&amp;77233239000,Данные!$A$2:$A$722,"&lt;="&amp;77233239999)</f>
        <v>0</v>
      </c>
      <c r="P32" s="65" t="n">
        <f aca="false">COUNTIFS(Данные!$B$2:$B$722,17,Данные!$C$2:$C$722,0,Данные!$A$2:$A$722,"&gt;="&amp;77233272000,Данные!$A$2:$A$722,"&lt;="&amp;77233272999)</f>
        <v>0</v>
      </c>
      <c r="Q32" s="65" t="n">
        <f aca="false">COUNTIFS(Данные!$B$2:$B$722,17,Данные!$C$2:$C$722,0,Данные!$A$2:$A$722,"&gt;="&amp;77233291100,Данные!$A$2:$A$722,"&lt;="&amp;77233292999)</f>
        <v>0</v>
      </c>
      <c r="R32" s="65" t="n">
        <f aca="false">COUNTIFS(Данные!$B$2:$B$722,17,Данные!$C$2:$C$722,0,Данные!$A$2:$A$722,"&gt;="&amp;77233297000,Данные!$A$2:$A$722,"&lt;="&amp;77233298399)</f>
        <v>0</v>
      </c>
      <c r="S32" s="65" t="n">
        <f aca="false">COUNTIFS(Данные!$B$2:$B$722,17,Данные!$C$2:$C$722,0,Данные!$A$2:$A$722,"&gt;="&amp;77235124000,Данные!$A$2:$A$722,"&lt;="&amp;77235128499)</f>
        <v>0</v>
      </c>
      <c r="T32" s="65" t="n">
        <f aca="false">COUNTIFS(Данные!$B$2:$B$722,17,Данные!$C$2:$C$722,0,Данные!$A$2:$A$722,"&gt;="&amp;77235320000,Данные!$A$2:$A$722,"&lt;="&amp;77235320999)</f>
        <v>0</v>
      </c>
      <c r="U32" s="65" t="n">
        <f aca="false">COUNTIFS(Данные!$B$2:$B$722,17,Данные!$C$2:$C$722,0,Данные!$A$2:$A$722,"&gt;="&amp;77233620000,Данные!$A$2:$A$722,"&lt;="&amp;77233623339)</f>
        <v>0</v>
      </c>
      <c r="V32" s="65" t="n">
        <f aca="false">COUNTIFS(Данные!$B$2:$B$722,17,Данные!$C$2:$C$722,0,Данные!$A$2:$A$722,"&gt;="&amp;77233630000,Данные!$A$2:$A$722,"&lt;="&amp;77233630999)</f>
        <v>0</v>
      </c>
      <c r="W32" s="65" t="n">
        <f aca="false">COUNTIFS(Данные!$B$2:$B$722,17,Данные!$C$2:$C$722,0,Данные!$A$2:$A$722,"&gt;="&amp;77233637000,Данные!$A$2:$A$722,"&lt;="&amp;77233637599)</f>
        <v>0</v>
      </c>
      <c r="X32" s="65" t="n">
        <f aca="false">COUNTIFS(Данные!$B$2:$B$722,17,Данные!$C$2:$C$722,0,Данные!$A$2:$A$722,"&gt;="&amp;77233550000,Данные!$A$2:$A$722,"&lt;="&amp;77233550999)</f>
        <v>0</v>
      </c>
      <c r="Y32" s="65" t="n">
        <f aca="false">COUNTIFS(Данные!$B$2:$B$722,17,Данные!$C$2:$C$722,0,Данные!$A$2:$A$722,"&gt;="&amp;77233554000,Данные!$A$2:$A$722,"&lt;="&amp;77233554999)</f>
        <v>0</v>
      </c>
      <c r="Z32" s="65" t="n">
        <f aca="false">COUNTIFS(Данные!$B$2:$B$722,17,Данные!$C$2:$C$722,0,Данные!$A$2:$A$722,"&gt;="&amp;77233555000,Данные!$A$2:$A$722,"&lt;="&amp;77233556999)</f>
        <v>0</v>
      </c>
      <c r="AA32" s="65" t="n">
        <f aca="false">COUNTIFS(Данные!$B$2:$B$722,17,Данные!$C$2:$C$722,0,Данные!$A$2:$A$722,"&gt;="&amp;77233726000,Данные!$A$2:$A$722,"&lt;="&amp;77233726999)</f>
        <v>0</v>
      </c>
      <c r="AB32" s="65" t="n">
        <f aca="false">COUNTIFS(Данные!$B$2:$B$722,17,Данные!$C$2:$C$722,0,Данные!$A$2:$A$722,"&gt;="&amp;77233820000,Данные!$A$2:$A$722,"&lt;="&amp;77233820999)</f>
        <v>0</v>
      </c>
      <c r="AC32" s="65" t="n">
        <f aca="false">COUNTIFS(Данные!$B$2:$B$722,17,Данные!$C$2:$C$722,0,Данные!$A$2:$A$722,"&gt;="&amp;77233850000,Данные!$A$2:$A$722,"&lt;="&amp;77233850999)</f>
        <v>0</v>
      </c>
      <c r="AD32" s="65" t="n">
        <f aca="false">COUNTIFS(Данные!$B$2:$B$722,17,Данные!$C$2:$C$722,0,Данные!$A$2:$A$722,"&gt;="&amp;77233420000,Данные!$A$2:$A$722,"&lt;="&amp;77233420999)</f>
        <v>0</v>
      </c>
      <c r="AE32" s="65" t="n">
        <f aca="false">COUNTIFS(Данные!$B$2:$B$722,17,Данные!$C$2:$C$722,0,Данные!$A$2:$A$722,"&gt;="&amp;77234740000,Данные!$A$2:$A$722,"&lt;="&amp;77234742999)</f>
        <v>0</v>
      </c>
      <c r="AF32" s="65" t="n">
        <f aca="false">COUNTIFS(Данные!$B$2:$B$722,17,Данные!$C$2:$C$722,0,Данные!$A$2:$A$722,"&gt;="&amp;77234767000,Данные!$A$2:$A$722,"&lt;="&amp;77234767999)</f>
        <v>0</v>
      </c>
      <c r="AG32" s="65" t="n">
        <f aca="false">COUNTIFS(Данные!$B$2:$B$722,17,Данные!$C$2:$C$722,0,Данные!$A$2:$A$722,"&gt;="&amp;77234120000,Данные!$A$2:$A$722,"&lt;="&amp;77234120999)</f>
        <v>0</v>
      </c>
      <c r="AH32" s="65" t="n">
        <f aca="false">COUNTIFS(Данные!$B$2:$B$722,17,Данные!$C$2:$C$722,0,Данные!$A$2:$A$722,"&gt;="&amp;77234127000,Данные!$A$2:$A$722,"&lt;="&amp;77234127999)</f>
        <v>0</v>
      </c>
      <c r="AI32" s="65" t="n">
        <f aca="false">COUNTIFS(Данные!$B$2:$B$722,17,Данные!$C$2:$C$722,0,Данные!$A$2:$A$722,"&gt;="&amp;77234220000,Данные!$A$2:$A$722,"&lt;="&amp;77234220999)</f>
        <v>0</v>
      </c>
      <c r="AJ32" s="65" t="n">
        <f aca="false">COUNTIFS(Данные!$B$2:$B$722,17,Данные!$C$2:$C$722,0,Данные!$A$2:$A$722,"&gt;="&amp;77234250000,Данные!$A$2:$A$722,"&lt;="&amp;77234250999)</f>
        <v>0</v>
      </c>
      <c r="AK32" s="65" t="n">
        <f aca="false">COUNTIFS(Данные!$B$2:$B$722,17,Данные!$C$2:$C$722,0,Данные!$A$2:$A$722,"&gt;="&amp;77233922950,Данные!$A$2:$A$722,"&lt;="&amp;77233924999)</f>
        <v>0</v>
      </c>
      <c r="AL32" s="65" t="n">
        <f aca="false">COUNTIFS(Данные!$B$2:$B$722,17,Данные!$C$2:$C$722,0,Данные!$A$2:$A$722,"&gt;="&amp;77234320000,Данные!$A$2:$A$722,"&lt;="&amp;77234320999)</f>
        <v>0</v>
      </c>
      <c r="AM32" s="65" t="n">
        <f aca="false">COUNTIFS(Данные!$B$2:$B$722,17,Данные!$C$2:$C$722,0,Данные!$A$2:$A$722,"&gt;="&amp;77234350000,Данные!$A$2:$A$722,"&lt;="&amp;77234350999)</f>
        <v>0</v>
      </c>
      <c r="AN32" s="65" t="n">
        <f aca="false">COUNTIFS(Данные!$B$2:$B$722,17,Данные!$C$2:$C$722,0,Данные!$A$2:$A$722,"&gt;="&amp;77234020000,Данные!$A$2:$A$722,"&lt;="&amp;77234020999)</f>
        <v>0</v>
      </c>
      <c r="AO32" s="65" t="n">
        <f aca="false">COUNTIFS(Данные!$B$2:$B$722,17,Данные!$C$2:$C$722,0,Данные!$A$2:$A$722,"&gt;="&amp;77234029000,Данные!$A$2:$A$722,"&lt;="&amp;77234029999)</f>
        <v>0</v>
      </c>
      <c r="AP32" s="65" t="n">
        <f aca="false">COUNTIFS(Данные!$B$2:$B$722,17,Данные!$C$2:$C$722,0,Данные!$A$2:$A$722,"&gt;="&amp;77234050000,Данные!$A$2:$A$722,"&lt;="&amp;77234050999)</f>
        <v>0</v>
      </c>
      <c r="AQ32" s="65" t="n">
        <f aca="false">COUNTIFS(Данные!$B$2:$B$722,17,Данные!$C$2:$C$722,0,Данные!$A$2:$A$722,"&gt;="&amp;77234427000,Данные!$A$2:$A$722,"&lt;="&amp;77234428999)</f>
        <v>0</v>
      </c>
      <c r="AR32" s="65" t="n">
        <f aca="false">COUNTIFS(Данные!$B$2:$B$722,17,Данные!$C$2:$C$722,0,Данные!$A$2:$A$722,"&gt;="&amp;77234450000,Данные!$A$2:$A$722,"&lt;="&amp;77234450999)</f>
        <v>0</v>
      </c>
      <c r="AS32" s="65" t="n">
        <f aca="false">COUNTIFS(Данные!$B$2:$B$722,17,Данные!$C$2:$C$722,0,Данные!$A$2:$A$722,"&gt;="&amp;77234620000,Данные!$A$2:$A$722,"&lt;="&amp;77234620999)</f>
        <v>0</v>
      </c>
      <c r="AT32" s="65" t="n">
        <f aca="false">COUNTIFS(Данные!$B$2:$B$722,17,Данные!$C$2:$C$722,0,Данные!$A$2:$A$722,"&gt;="&amp;77234650000,Данные!$A$2:$A$722,"&lt;="&amp;77234650999)</f>
        <v>0</v>
      </c>
      <c r="AU32" s="65" t="n">
        <f aca="false">COUNTIFS(Данные!$B$2:$B$722,17,Данные!$C$2:$C$722,0,Данные!$A$2:$A$722,"&gt;="&amp;77234820000,Данные!$A$2:$A$722,"&lt;="&amp;77234820999)</f>
        <v>0</v>
      </c>
      <c r="AV32" s="65" t="n">
        <f aca="false">COUNTIFS(Данные!$B$2:$B$722,17,Данные!$C$2:$C$722,0,Данные!$A$2:$A$722,"&gt;="&amp;77234850000,Данные!$A$2:$A$722,"&lt;="&amp;77234850999)</f>
        <v>0</v>
      </c>
      <c r="AW32" s="65" t="n">
        <f aca="false">COUNTIFS(Данные!$B$2:$B$722,17,Данные!$C$2:$C$722,0,Данные!$A$2:$A$722,"&gt;="&amp;77233327000,Данные!$A$2:$A$722,"&lt;="&amp;77233327999)</f>
        <v>0</v>
      </c>
      <c r="AX32" s="65" t="n">
        <f aca="false">COUNTIFS(Данные!$B$2:$B$722,17,Данные!$C$2:$C$722,0,Данные!$A$2:$A$722,"&gt;="&amp;77233350000,Данные!$A$2:$A$722,"&lt;="&amp;77233350599)</f>
        <v>0</v>
      </c>
      <c r="AY32" s="65" t="n">
        <f aca="false">COUNTIFS(Данные!$B$2:$B$722,17,Данные!$C$2:$C$722,0,Данные!$A$2:$A$722,"&gt;="&amp;77233351000,Данные!$A$2:$A$722,"&lt;="&amp;77233351999)</f>
        <v>0</v>
      </c>
      <c r="AZ32" s="66" t="n">
        <f aca="false">COUNTIFS(Данные!$B$2:$B$722,17,Данные!$C$2:$C$722,0,Данные!$A$2:$A$722,"&gt;="&amp;7722440000,Данные!$A$2:$A$722,"&lt;="&amp;7722440999)</f>
        <v>0</v>
      </c>
      <c r="BA32" s="66" t="n">
        <f aca="false">COUNTIFS(Данные!$B$2:$B$722,17,Данные!$C$2:$C$722,0,Данные!$A$2:$A$722,"&gt;="&amp;7722442000,Данные!$A$2:$A$722,"&lt;="&amp;7722445659)</f>
        <v>0</v>
      </c>
      <c r="BB32" s="66" t="n">
        <f aca="false">COUNTIFS(Данные!$B$2:$B$722,17,Данные!$C$2:$C$722,0,Данные!$A$2:$A$722,"&gt;="&amp;7722450000,Данные!$A$2:$A$722,"&lt;="&amp;7722450199)</f>
        <v>0</v>
      </c>
      <c r="BC32" s="66" t="n">
        <f aca="false">COUNTIFS(Данные!$B$2:$B$722,17,Данные!$C$2:$C$722,0,Данные!$A$2:$A$722,"&gt;="&amp;7722451000,Данные!$A$2:$A$722,"&lt;="&amp;7722451374)</f>
        <v>0</v>
      </c>
      <c r="BD32" s="66" t="n">
        <f aca="false">COUNTIFS(Данные!$B$2:$B$722,17,Данные!$C$2:$C$722,0,Данные!$A$2:$A$722,"&gt;="&amp;7722452000,Данные!$A$2:$A$722,"&lt;="&amp;7722452299)</f>
        <v>0</v>
      </c>
      <c r="BE32" s="66" t="n">
        <f aca="false">COUNTIFS(Данные!$B$2:$B$722,17,Данные!$C$2:$C$722,0,Данные!$A$2:$A$722,"&gt;="&amp;7722453000,Данные!$A$2:$A$722,"&lt;="&amp;7722453816)</f>
        <v>0</v>
      </c>
      <c r="BF32" s="66" t="n">
        <f aca="false">COUNTIFS(Данные!$B$2:$B$722,17,Данные!$C$2:$C$722,0,Данные!$A$2:$A$722,"&gt;="&amp;7722454000,Данные!$A$2:$A$722,"&lt;="&amp;7722454099)</f>
        <v>0</v>
      </c>
      <c r="BG32" s="66" t="n">
        <f aca="false">COUNTIFS(Данные!$B$2:$B$722,17,Данные!$C$2:$C$722,0,Данные!$A$2:$A$722,"&gt;="&amp;7722458000,Данные!$A$2:$A$722,"&lt;="&amp;7722458999)</f>
        <v>0</v>
      </c>
      <c r="BH32" s="66" t="n">
        <f aca="false">COUNTIFS(Данные!$B$2:$B$722,17,Данные!$C$2:$C$722,0,Данные!$A$2:$A$722,"&gt;="&amp;7722630000,Данные!$A$2:$A$722,"&lt;="&amp;7722638549)</f>
        <v>0</v>
      </c>
      <c r="BI32" s="66" t="n">
        <f aca="false">COUNTIFS(Данные!$B$2:$B$722,17,Данные!$C$2:$C$722,0,Данные!$A$2:$A$722,"&gt;="&amp;7722639400,Данные!$A$2:$A$722,"&lt;="&amp;7722639899)</f>
        <v>0</v>
      </c>
      <c r="BJ32" s="66" t="n">
        <f aca="false">COUNTIFS(Данные!$B$2:$B$722,17,Данные!$C$2:$C$722,0,Данные!$A$2:$A$722,"&gt;="&amp;7725750000,Данные!$A$2:$A$722,"&lt;="&amp;7725750399)</f>
        <v>0</v>
      </c>
      <c r="BK32" s="66" t="n">
        <f aca="false">COUNTIFS(Данные!$B$2:$B$722,17,Данные!$C$2:$C$722,0,Данные!$A$2:$A$722,"&gt;="&amp;7723620000,Данные!$A$2:$A$722,"&lt;="&amp;7723621299)</f>
        <v>0</v>
      </c>
      <c r="BL32" s="66" t="n">
        <f aca="false">COUNTIFS(Данные!$B$2:$B$722,17,Данные!$C$2:$C$722,0,Данные!$A$2:$A$722,"&gt;="&amp;7723621600,Данные!$A$2:$A$722,"&lt;="&amp;7723623399)</f>
        <v>0</v>
      </c>
      <c r="BM32" s="66" t="n">
        <f aca="false">COUNTIFS(Данные!$B$2:$B$722,17,Данные!$C$2:$C$722,0,Данные!$A$2:$A$722,"&gt;="&amp;7725127000,Данные!$A$2:$A$722,"&lt;="&amp;7725127999)</f>
        <v>0</v>
      </c>
      <c r="BN32" s="66" t="n">
        <f aca="false">COUNTIFS(Данные!$B$2:$B$722,17,Данные!$C$2:$C$722,0,Данные!$A$2:$A$722,"&gt;="&amp;7723772000,Данные!$A$2:$A$722,"&lt;="&amp;7723724999)</f>
        <v>0</v>
      </c>
      <c r="BO32" s="65" t="n">
        <f aca="false">COUNTIFS(Данные!$B$2:$B$722,17,Данные!$C$2:$C$722,0,Данные!$A$2:$A$722,"&gt;="&amp;7723765000,Данные!$A$2:$A$722,"&lt;="&amp;7723765499)</f>
        <v>0</v>
      </c>
      <c r="BP32" s="66" t="n">
        <f aca="false">COUNTIFS(Данные!$B$2:$B$722,17,Данные!$C$2:$C$722,0,Данные!$A$2:$A$722,"&gt;="&amp;7723948000,Данные!$A$2:$A$722,"&lt;="&amp;7723948999)</f>
        <v>0</v>
      </c>
      <c r="BQ32" s="66" t="n">
        <f aca="false">COUNTIFS(Данные!$B$2:$B$722,17,Данные!$C$2:$C$722,0,Данные!$A$2:$A$722,"&gt;="&amp;7723950000,Данные!$A$2:$A$722,"&lt;="&amp;7723951099)</f>
        <v>0</v>
      </c>
      <c r="BR32" s="66" t="n">
        <f aca="false">COUNTIFS(Данные!$B$2:$B$722,17,Данные!$C$2:$C$722,0,Данные!$A$2:$A$722,"&gt;="&amp;7723020000,Данные!$A$2:$A$722,"&lt;="&amp;7723020999)</f>
        <v>0</v>
      </c>
      <c r="BS32" s="66" t="n">
        <f aca="false">COUNTIFS(Данные!$B$2:$B$722,17,Данные!$C$2:$C$722,0,Данные!$A$2:$A$722,"&gt;="&amp;7723029000,Данные!$A$2:$A$722,"&lt;="&amp;7723029999)</f>
        <v>0</v>
      </c>
      <c r="BT32" s="66" t="n">
        <f aca="false">COUNTIFS(Данные!$B$2:$B$722,17,Данные!$C$2:$C$722,0,Данные!$A$2:$A$722,"&gt;="&amp;7723055000,Данные!$A$2:$A$722,"&lt;="&amp;7723056549)</f>
        <v>0</v>
      </c>
      <c r="BU32" s="65" t="n">
        <f aca="false">COUNTIFS(Данные!$B$2:$B$722,17,Данные!$C$2:$C$722,0,Данные!$A$2:$A$722,"&gt;="&amp;7725250000,Данные!$A$2:$A$722,"&lt;="&amp;7725250499)</f>
        <v>0</v>
      </c>
      <c r="BV32" s="66" t="n">
        <f aca="false">COUNTIFS(Данные!$B$2:$B$722,17,Данные!$C$2:$C$722,0,Данные!$A$2:$A$722,"&gt;="&amp;7183841400,Данные!$A$2:$A$722,"&lt;="&amp;7183841499)</f>
        <v>0</v>
      </c>
      <c r="BW32" s="49" t="n">
        <v>300</v>
      </c>
      <c r="BX32" s="67" t="n">
        <f aca="false">F32-BW32</f>
        <v>-300</v>
      </c>
    </row>
    <row r="33" s="15" customFormat="true" ht="12" hidden="false" customHeight="true" outlineLevel="0" collapsed="false">
      <c r="A33" s="47"/>
      <c r="B33" s="48"/>
      <c r="C33" s="50" t="n">
        <v>1</v>
      </c>
      <c r="D33" s="50" t="n">
        <v>171</v>
      </c>
      <c r="E33" s="51"/>
      <c r="F33" s="65" t="n">
        <f aca="false">COUNTIFS(Данные!$B$2:$B$722,17,Данные!$C$2:$C$722,1)</f>
        <v>0</v>
      </c>
      <c r="G33" s="65" t="n">
        <f aca="false">COUNTIFS(Данные!$B$2:$B$722,17,Данные!$C$2:$C$722,1,Данные!$A$2:$A$722,"&gt;="&amp;77232210840,Данные!$A$2:$A$722,"&lt;="&amp;77232216999)</f>
        <v>0</v>
      </c>
      <c r="H33" s="65" t="n">
        <f aca="false">COUNTIFS(Данные!$B$2:$B$722,17,Данные!$C$2:$C$722,1,Данные!$A$2:$A$722,"&gt;="&amp;77232510512,Данные!$A$2:$A$722,"&lt;="&amp;77232519487)</f>
        <v>0</v>
      </c>
      <c r="I33" s="65" t="n">
        <f aca="false">COUNTIFS(Данные!$B$2:$B$722,17,Данные!$C$2:$C$722,1,Данные!$A$2:$A$722,"&gt;="&amp;77232524160,Данные!$A$2:$A$722,"&lt;="&amp;77232529999)</f>
        <v>0</v>
      </c>
      <c r="J33" s="65" t="n">
        <f aca="false">COUNTIFS(Данные!$B$2:$B$722,17,Данные!$C$2:$C$722,1,Данные!$A$2:$A$722,"&gt;="&amp;77232544000,Данные!$A$2:$A$722,"&lt;="&amp;77232544999)</f>
        <v>0</v>
      </c>
      <c r="K33" s="65" t="n">
        <f aca="false">COUNTIFS(Данные!$B$2:$B$722,17,Данные!$C$2:$C$722,1,Данные!$A$2:$A$722,"&gt;="&amp;77232295504,Данные!$A$2:$A$722,"&lt;="&amp;77232296999)</f>
        <v>0</v>
      </c>
      <c r="L33" s="65" t="n">
        <f aca="false">COUNTIFS(Данные!$B$2:$B$722,17,Данные!$C$2:$C$722,1,Данные!$A$2:$A$722,"&gt;="&amp;77232785000,Данные!$A$2:$A$722,"&lt;="&amp;77232789999)</f>
        <v>0</v>
      </c>
      <c r="M33" s="65" t="n">
        <f aca="false">COUNTIFS(Данные!$B$2:$B$722,17,Данные!$C$2:$C$722,1,Данные!$A$2:$A$722,"&gt;="&amp;77233150000,Данные!$A$2:$A$722,"&lt;="&amp;77233155999)</f>
        <v>0</v>
      </c>
      <c r="N33" s="65" t="n">
        <f aca="false">COUNTIFS(Данные!$B$2:$B$722,17,Данные!$C$2:$C$722,1,Данные!$A$2:$A$722,"&gt;="&amp;77233235000,Данные!$A$2:$A$722,"&lt;="&amp;77233235999)</f>
        <v>0</v>
      </c>
      <c r="O33" s="65" t="n">
        <f aca="false">COUNTIFS(Данные!$B$2:$B$722,17,Данные!$C$2:$C$722,1,Данные!$A$2:$A$722,"&gt;="&amp;77233239000,Данные!$A$2:$A$722,"&lt;="&amp;77233239999)</f>
        <v>0</v>
      </c>
      <c r="P33" s="65" t="n">
        <f aca="false">COUNTIFS(Данные!$B$2:$B$722,17,Данные!$C$2:$C$722,1,Данные!$A$2:$A$722,"&gt;="&amp;77233272000,Данные!$A$2:$A$722,"&lt;="&amp;77233272999)</f>
        <v>0</v>
      </c>
      <c r="Q33" s="65" t="n">
        <f aca="false">COUNTIFS(Данные!$B$2:$B$722,17,Данные!$C$2:$C$722,1,Данные!$A$2:$A$722,"&gt;="&amp;77233291100,Данные!$A$2:$A$722,"&lt;="&amp;77233292999)</f>
        <v>0</v>
      </c>
      <c r="R33" s="65" t="n">
        <f aca="false">COUNTIFS(Данные!$B$2:$B$722,17,Данные!$C$2:$C$722,1,Данные!$A$2:$A$722,"&gt;="&amp;77233297000,Данные!$A$2:$A$722,"&lt;="&amp;77233298399)</f>
        <v>0</v>
      </c>
      <c r="S33" s="65" t="n">
        <f aca="false">COUNTIFS(Данные!$B$2:$B$722,17,Данные!$C$2:$C$722,1,Данные!$A$2:$A$722,"&gt;="&amp;77235124000,Данные!$A$2:$A$722,"&lt;="&amp;77235128499)</f>
        <v>0</v>
      </c>
      <c r="T33" s="65" t="n">
        <f aca="false">COUNTIFS(Данные!$B$2:$B$722,17,Данные!$C$2:$C$722,1,Данные!$A$2:$A$722,"&gt;="&amp;77235320000,Данные!$A$2:$A$722,"&lt;="&amp;77235320999)</f>
        <v>0</v>
      </c>
      <c r="U33" s="65" t="n">
        <f aca="false">COUNTIFS(Данные!$B$2:$B$722,17,Данные!$C$2:$C$722,1,Данные!$A$2:$A$722,"&gt;="&amp;77233620000,Данные!$A$2:$A$722,"&lt;="&amp;77233623339)</f>
        <v>0</v>
      </c>
      <c r="V33" s="65" t="n">
        <f aca="false">COUNTIFS(Данные!$B$2:$B$722,17,Данные!$C$2:$C$722,1,Данные!$A$2:$A$722,"&gt;="&amp;77233630000,Данные!$A$2:$A$722,"&lt;="&amp;77233630999)</f>
        <v>0</v>
      </c>
      <c r="W33" s="65" t="n">
        <f aca="false">COUNTIFS(Данные!$B$2:$B$722,17,Данные!$C$2:$C$722,1,Данные!$A$2:$A$722,"&gt;="&amp;77233637000,Данные!$A$2:$A$722,"&lt;="&amp;77233637599)</f>
        <v>0</v>
      </c>
      <c r="X33" s="65" t="n">
        <f aca="false">COUNTIFS(Данные!$B$2:$B$722,17,Данные!$C$2:$C$722,1,Данные!$A$2:$A$722,"&gt;="&amp;77233550000,Данные!$A$2:$A$722,"&lt;="&amp;77233550999)</f>
        <v>0</v>
      </c>
      <c r="Y33" s="65" t="n">
        <f aca="false">COUNTIFS(Данные!$B$2:$B$722,17,Данные!$C$2:$C$722,1,Данные!$A$2:$A$722,"&gt;="&amp;77233554000,Данные!$A$2:$A$722,"&lt;="&amp;77233554999)</f>
        <v>0</v>
      </c>
      <c r="Z33" s="65" t="n">
        <f aca="false">COUNTIFS(Данные!$B$2:$B$722,17,Данные!$C$2:$C$722,1,Данные!$A$2:$A$722,"&gt;="&amp;77233555000,Данные!$A$2:$A$722,"&lt;="&amp;77233556999)</f>
        <v>0</v>
      </c>
      <c r="AA33" s="65" t="n">
        <f aca="false">COUNTIFS(Данные!$B$2:$B$722,17,Данные!$C$2:$C$722,1,Данные!$A$2:$A$722,"&gt;="&amp;77233726000,Данные!$A$2:$A$722,"&lt;="&amp;77233726999)</f>
        <v>0</v>
      </c>
      <c r="AB33" s="65" t="n">
        <f aca="false">COUNTIFS(Данные!$B$2:$B$722,17,Данные!$C$2:$C$722,1,Данные!$A$2:$A$722,"&gt;="&amp;77233820000,Данные!$A$2:$A$722,"&lt;="&amp;77233820999)</f>
        <v>0</v>
      </c>
      <c r="AC33" s="65" t="n">
        <f aca="false">COUNTIFS(Данные!$B$2:$B$722,17,Данные!$C$2:$C$722,1,Данные!$A$2:$A$722,"&gt;="&amp;77233850000,Данные!$A$2:$A$722,"&lt;="&amp;77233850999)</f>
        <v>0</v>
      </c>
      <c r="AD33" s="65" t="n">
        <f aca="false">COUNTIFS(Данные!$B$2:$B$722,17,Данные!$C$2:$C$722,1,Данные!$A$2:$A$722,"&gt;="&amp;77233420000,Данные!$A$2:$A$722,"&lt;="&amp;77233420999)</f>
        <v>0</v>
      </c>
      <c r="AE33" s="65" t="n">
        <f aca="false">COUNTIFS(Данные!$B$2:$B$722,17,Данные!$C$2:$C$722,1,Данные!$A$2:$A$722,"&gt;="&amp;77234740000,Данные!$A$2:$A$722,"&lt;="&amp;77234742999)</f>
        <v>0</v>
      </c>
      <c r="AF33" s="65" t="n">
        <f aca="false">COUNTIFS(Данные!$B$2:$B$722,17,Данные!$C$2:$C$722,1,Данные!$A$2:$A$722,"&gt;="&amp;77234767000,Данные!$A$2:$A$722,"&lt;="&amp;77234767999)</f>
        <v>0</v>
      </c>
      <c r="AG33" s="65" t="n">
        <f aca="false">COUNTIFS(Данные!$B$2:$B$722,17,Данные!$C$2:$C$722,1,Данные!$A$2:$A$722,"&gt;="&amp;77234120000,Данные!$A$2:$A$722,"&lt;="&amp;77234120999)</f>
        <v>0</v>
      </c>
      <c r="AH33" s="65" t="n">
        <f aca="false">COUNTIFS(Данные!$B$2:$B$722,17,Данные!$C$2:$C$722,1,Данные!$A$2:$A$722,"&gt;="&amp;77234127000,Данные!$A$2:$A$722,"&lt;="&amp;77234127999)</f>
        <v>0</v>
      </c>
      <c r="AI33" s="65" t="n">
        <f aca="false">COUNTIFS(Данные!$B$2:$B$722,17,Данные!$C$2:$C$722,1,Данные!$A$2:$A$722,"&gt;="&amp;77234220000,Данные!$A$2:$A$722,"&lt;="&amp;77234220999)</f>
        <v>0</v>
      </c>
      <c r="AJ33" s="65" t="n">
        <f aca="false">COUNTIFS(Данные!$B$2:$B$722,17,Данные!$C$2:$C$722,1,Данные!$A$2:$A$722,"&gt;="&amp;77234250000,Данные!$A$2:$A$722,"&lt;="&amp;77234250999)</f>
        <v>0</v>
      </c>
      <c r="AK33" s="65" t="n">
        <f aca="false">COUNTIFS(Данные!$B$2:$B$722,17,Данные!$C$2:$C$722,1,Данные!$A$2:$A$722,"&gt;="&amp;77233922950,Данные!$A$2:$A$722,"&lt;="&amp;77233924999)</f>
        <v>0</v>
      </c>
      <c r="AL33" s="65" t="n">
        <f aca="false">COUNTIFS(Данные!$B$2:$B$722,17,Данные!$C$2:$C$722,1,Данные!$A$2:$A$722,"&gt;="&amp;77234320000,Данные!$A$2:$A$722,"&lt;="&amp;77234320999)</f>
        <v>0</v>
      </c>
      <c r="AM33" s="65" t="n">
        <f aca="false">COUNTIFS(Данные!$B$2:$B$722,17,Данные!$C$2:$C$722,1,Данные!$A$2:$A$722,"&gt;="&amp;77234350000,Данные!$A$2:$A$722,"&lt;="&amp;77234350999)</f>
        <v>0</v>
      </c>
      <c r="AN33" s="65" t="n">
        <f aca="false">COUNTIFS(Данные!$B$2:$B$722,17,Данные!$C$2:$C$722,1,Данные!$A$2:$A$722,"&gt;="&amp;77234020000,Данные!$A$2:$A$722,"&lt;="&amp;77234020999)</f>
        <v>0</v>
      </c>
      <c r="AO33" s="65" t="n">
        <f aca="false">COUNTIFS(Данные!$B$2:$B$722,17,Данные!$C$2:$C$722,1,Данные!$A$2:$A$722,"&gt;="&amp;77234029000,Данные!$A$2:$A$722,"&lt;="&amp;77234029999)</f>
        <v>0</v>
      </c>
      <c r="AP33" s="65" t="n">
        <f aca="false">COUNTIFS(Данные!$B$2:$B$722,17,Данные!$C$2:$C$722,1,Данные!$A$2:$A$722,"&gt;="&amp;77234050000,Данные!$A$2:$A$722,"&lt;="&amp;77234050999)</f>
        <v>0</v>
      </c>
      <c r="AQ33" s="65" t="n">
        <f aca="false">COUNTIFS(Данные!$B$2:$B$722,17,Данные!$C$2:$C$722,1,Данные!$A$2:$A$722,"&gt;="&amp;77234427000,Данные!$A$2:$A$722,"&lt;="&amp;77234428999)</f>
        <v>0</v>
      </c>
      <c r="AR33" s="65" t="n">
        <f aca="false">COUNTIFS(Данные!$B$2:$B$722,17,Данные!$C$2:$C$722,1,Данные!$A$2:$A$722,"&gt;="&amp;77234450000,Данные!$A$2:$A$722,"&lt;="&amp;77234450999)</f>
        <v>0</v>
      </c>
      <c r="AS33" s="65" t="n">
        <f aca="false">COUNTIFS(Данные!$B$2:$B$722,17,Данные!$C$2:$C$722,1,Данные!$A$2:$A$722,"&gt;="&amp;77234620000,Данные!$A$2:$A$722,"&lt;="&amp;77234620999)</f>
        <v>0</v>
      </c>
      <c r="AT33" s="65" t="n">
        <f aca="false">COUNTIFS(Данные!$B$2:$B$722,17,Данные!$C$2:$C$722,1,Данные!$A$2:$A$722,"&gt;="&amp;77234650000,Данные!$A$2:$A$722,"&lt;="&amp;77234650999)</f>
        <v>0</v>
      </c>
      <c r="AU33" s="65" t="n">
        <f aca="false">COUNTIFS(Данные!$B$2:$B$722,17,Данные!$C$2:$C$722,1,Данные!$A$2:$A$722,"&gt;="&amp;77234820000,Данные!$A$2:$A$722,"&lt;="&amp;77234820999)</f>
        <v>0</v>
      </c>
      <c r="AV33" s="65" t="n">
        <f aca="false">COUNTIFS(Данные!$B$2:$B$722,17,Данные!$C$2:$C$722,1,Данные!$A$2:$A$722,"&gt;="&amp;77234850000,Данные!$A$2:$A$722,"&lt;="&amp;77234850999)</f>
        <v>0</v>
      </c>
      <c r="AW33" s="65" t="n">
        <f aca="false">COUNTIFS(Данные!$B$2:$B$722,17,Данные!$C$2:$C$722,1,Данные!$A$2:$A$722,"&gt;="&amp;77233327000,Данные!$A$2:$A$722,"&lt;="&amp;77233327999)</f>
        <v>0</v>
      </c>
      <c r="AX33" s="65" t="n">
        <f aca="false">COUNTIFS(Данные!$B$2:$B$722,17,Данные!$C$2:$C$722,1,Данные!$A$2:$A$722,"&gt;="&amp;77233350000,Данные!$A$2:$A$722,"&lt;="&amp;77233350599)</f>
        <v>0</v>
      </c>
      <c r="AY33" s="65" t="n">
        <f aca="false">COUNTIFS(Данные!$B$2:$B$722,17,Данные!$C$2:$C$722,1,Данные!$A$2:$A$722,"&gt;="&amp;77233351000,Данные!$A$2:$A$722,"&lt;="&amp;77233351999)</f>
        <v>0</v>
      </c>
      <c r="AZ33" s="66" t="n">
        <f aca="false">COUNTIFS(Данные!$B$2:$B$722,17,Данные!$C$2:$C$722,1,Данные!$A$2:$A$722,"&gt;="&amp;7722440000,Данные!$A$2:$A$722,"&lt;="&amp;7722440999)</f>
        <v>0</v>
      </c>
      <c r="BA33" s="66" t="n">
        <f aca="false">COUNTIFS(Данные!$B$2:$B$722,17,Данные!$C$2:$C$722,1,Данные!$A$2:$A$722,"&gt;="&amp;7722442000,Данные!$A$2:$A$722,"&lt;="&amp;7722445659)</f>
        <v>0</v>
      </c>
      <c r="BB33" s="66" t="n">
        <f aca="false">COUNTIFS(Данные!$B$2:$B$722,17,Данные!$C$2:$C$722,1,Данные!$A$2:$A$722,"&gt;="&amp;7722450000,Данные!$A$2:$A$722,"&lt;="&amp;7722450199)</f>
        <v>0</v>
      </c>
      <c r="BC33" s="66" t="n">
        <f aca="false">COUNTIFS(Данные!$B$2:$B$722,17,Данные!$C$2:$C$722,1,Данные!$A$2:$A$722,"&gt;="&amp;7722451000,Данные!$A$2:$A$722,"&lt;="&amp;7722451374)</f>
        <v>0</v>
      </c>
      <c r="BD33" s="66" t="n">
        <f aca="false">COUNTIFS(Данные!$B$2:$B$722,17,Данные!$C$2:$C$722,1,Данные!$A$2:$A$722,"&gt;="&amp;7722452000,Данные!$A$2:$A$722,"&lt;="&amp;7722452299)</f>
        <v>0</v>
      </c>
      <c r="BE33" s="66" t="n">
        <f aca="false">COUNTIFS(Данные!$B$2:$B$722,17,Данные!$C$2:$C$722,1,Данные!$A$2:$A$722,"&gt;="&amp;7722453000,Данные!$A$2:$A$722,"&lt;="&amp;7722453816)</f>
        <v>0</v>
      </c>
      <c r="BF33" s="66" t="n">
        <f aca="false">COUNTIFS(Данные!$B$2:$B$722,17,Данные!$C$2:$C$722,1,Данные!$A$2:$A$722,"&gt;="&amp;7722454000,Данные!$A$2:$A$722,"&lt;="&amp;7722454099)</f>
        <v>0</v>
      </c>
      <c r="BG33" s="66" t="n">
        <f aca="false">COUNTIFS(Данные!$B$2:$B$722,17,Данные!$C$2:$C$722,1,Данные!$A$2:$A$722,"&gt;="&amp;7722458000,Данные!$A$2:$A$722,"&lt;="&amp;7722458999)</f>
        <v>0</v>
      </c>
      <c r="BH33" s="66" t="n">
        <f aca="false">COUNTIFS(Данные!$B$2:$B$722,17,Данные!$C$2:$C$722,1,Данные!$A$2:$A$722,"&gt;="&amp;7722630000,Данные!$A$2:$A$722,"&lt;="&amp;7722638549)</f>
        <v>0</v>
      </c>
      <c r="BI33" s="66" t="n">
        <f aca="false">COUNTIFS(Данные!$B$2:$B$722,17,Данные!$C$2:$C$722,1,Данные!$A$2:$A$722,"&gt;="&amp;7722639400,Данные!$A$2:$A$722,"&lt;="&amp;7722639899)</f>
        <v>0</v>
      </c>
      <c r="BJ33" s="66" t="n">
        <f aca="false">COUNTIFS(Данные!$B$2:$B$722,17,Данные!$C$2:$C$722,1,Данные!$A$2:$A$722,"&gt;="&amp;7725750000,Данные!$A$2:$A$722,"&lt;="&amp;7725750399)</f>
        <v>0</v>
      </c>
      <c r="BK33" s="66" t="n">
        <f aca="false">COUNTIFS(Данные!$B$2:$B$722,17,Данные!$C$2:$C$722,1,Данные!$A$2:$A$722,"&gt;="&amp;7723620000,Данные!$A$2:$A$722,"&lt;="&amp;7723621299)</f>
        <v>0</v>
      </c>
      <c r="BL33" s="66" t="n">
        <f aca="false">COUNTIFS(Данные!$B$2:$B$722,17,Данные!$C$2:$C$722,1,Данные!$A$2:$A$722,"&gt;="&amp;7723621600,Данные!$A$2:$A$722,"&lt;="&amp;7723623399)</f>
        <v>0</v>
      </c>
      <c r="BM33" s="66" t="n">
        <f aca="false">COUNTIFS(Данные!$B$2:$B$722,17,Данные!$C$2:$C$722,1,Данные!$A$2:$A$722,"&gt;="&amp;7725127000,Данные!$A$2:$A$722,"&lt;="&amp;7725127999)</f>
        <v>0</v>
      </c>
      <c r="BN33" s="66" t="n">
        <f aca="false">COUNTIFS(Данные!$B$2:$B$722,17,Данные!$C$2:$C$722,1,Данные!$A$2:$A$722,"&gt;="&amp;7723772000,Данные!$A$2:$A$722,"&lt;="&amp;7723724999)</f>
        <v>0</v>
      </c>
      <c r="BO33" s="65" t="n">
        <f aca="false">COUNTIFS(Данные!$B$2:$B$722,17,Данные!$C$2:$C$722,1,Данные!$A$2:$A$722,"&gt;="&amp;7723765000,Данные!$A$2:$A$722,"&lt;="&amp;7723765499)</f>
        <v>0</v>
      </c>
      <c r="BP33" s="66" t="n">
        <f aca="false">COUNTIFS(Данные!$B$2:$B$722,17,Данные!$C$2:$C$722,1,Данные!$A$2:$A$722,"&gt;="&amp;7723948000,Данные!$A$2:$A$722,"&lt;="&amp;7723948999)</f>
        <v>0</v>
      </c>
      <c r="BQ33" s="66" t="n">
        <f aca="false">COUNTIFS(Данные!$B$2:$B$722,17,Данные!$C$2:$C$722,1,Данные!$A$2:$A$722,"&gt;="&amp;7723950000,Данные!$A$2:$A$722,"&lt;="&amp;7723951099)</f>
        <v>0</v>
      </c>
      <c r="BR33" s="66" t="n">
        <f aca="false">COUNTIFS(Данные!$B$2:$B$722,17,Данные!$C$2:$C$722,1,Данные!$A$2:$A$722,"&gt;="&amp;7723020000,Данные!$A$2:$A$722,"&lt;="&amp;7723020999)</f>
        <v>0</v>
      </c>
      <c r="BS33" s="66" t="n">
        <f aca="false">COUNTIFS(Данные!$B$2:$B$722,17,Данные!$C$2:$C$722,1,Данные!$A$2:$A$722,"&gt;="&amp;7723029000,Данные!$A$2:$A$722,"&lt;="&amp;7723029999)</f>
        <v>0</v>
      </c>
      <c r="BT33" s="66" t="n">
        <f aca="false">COUNTIFS(Данные!$B$2:$B$722,17,Данные!$C$2:$C$722,1,Данные!$A$2:$A$722,"&gt;="&amp;7723055000,Данные!$A$2:$A$722,"&lt;="&amp;7723056549)</f>
        <v>0</v>
      </c>
      <c r="BU33" s="65" t="n">
        <f aca="false">COUNTIFS(Данные!$B$2:$B$722,17,Данные!$C$2:$C$722,1,Данные!$A$2:$A$722,"&gt;="&amp;7725250000,Данные!$A$2:$A$722,"&lt;="&amp;7725250499)</f>
        <v>0</v>
      </c>
      <c r="BV33" s="66" t="n">
        <f aca="false">COUNTIFS(Данные!$B$2:$B$722,17,Данные!$C$2:$C$722,1,Данные!$A$2:$A$722,"&gt;="&amp;7183841400,Данные!$A$2:$A$722,"&lt;="&amp;7183841499)</f>
        <v>0</v>
      </c>
      <c r="BW33" s="49" t="n">
        <v>300</v>
      </c>
      <c r="BX33" s="67" t="n">
        <f aca="false">F33-BW33</f>
        <v>-300</v>
      </c>
    </row>
    <row r="34" s="15" customFormat="true" ht="12" hidden="false" customHeight="true" outlineLevel="0" collapsed="false">
      <c r="A34" s="47"/>
      <c r="B34" s="48"/>
      <c r="C34" s="50" t="n">
        <v>2</v>
      </c>
      <c r="D34" s="50" t="n">
        <v>172</v>
      </c>
      <c r="E34" s="51"/>
      <c r="F34" s="65" t="n">
        <f aca="false">COUNTIFS(Данные!$B$2:$B$722,17,Данные!$C$2:$C$722,2)</f>
        <v>7</v>
      </c>
      <c r="G34" s="65" t="n">
        <f aca="false">COUNTIFS(Данные!$B$2:$B$722,17,Данные!$C$2:$C$722,2,Данные!$A$2:$A$722,"&gt;="&amp;77232210840,Данные!$A$2:$A$722,"&lt;="&amp;77232216999)</f>
        <v>0</v>
      </c>
      <c r="H34" s="65" t="n">
        <f aca="false">COUNTIFS(Данные!$B$2:$B$722,17,Данные!$C$2:$C$722,2,Данные!$A$2:$A$722,"&gt;="&amp;77232510512,Данные!$A$2:$A$722,"&lt;="&amp;77232519487)</f>
        <v>0</v>
      </c>
      <c r="I34" s="65" t="n">
        <f aca="false">COUNTIFS(Данные!$B$2:$B$722,17,Данные!$C$2:$C$722,2,Данные!$A$2:$A$722,"&gt;="&amp;77232524160,Данные!$A$2:$A$722,"&lt;="&amp;77232529999)</f>
        <v>0</v>
      </c>
      <c r="J34" s="65" t="n">
        <f aca="false">COUNTIFS(Данные!$B$2:$B$722,17,Данные!$C$2:$C$722,2,Данные!$A$2:$A$722,"&gt;="&amp;77232544000,Данные!$A$2:$A$722,"&lt;="&amp;77232544999)</f>
        <v>0</v>
      </c>
      <c r="K34" s="65" t="n">
        <f aca="false">COUNTIFS(Данные!$B$2:$B$722,17,Данные!$C$2:$C$722,2,Данные!$A$2:$A$722,"&gt;="&amp;77232295504,Данные!$A$2:$A$722,"&lt;="&amp;77232296999)</f>
        <v>0</v>
      </c>
      <c r="L34" s="65" t="n">
        <f aca="false">COUNTIFS(Данные!$B$2:$B$722,17,Данные!$C$2:$C$722,2,Данные!$A$2:$A$722,"&gt;="&amp;77232785000,Данные!$A$2:$A$722,"&lt;="&amp;77232789999)</f>
        <v>0</v>
      </c>
      <c r="M34" s="65" t="n">
        <f aca="false">COUNTIFS(Данные!$B$2:$B$722,17,Данные!$C$2:$C$722,2,Данные!$A$2:$A$722,"&gt;="&amp;77233150000,Данные!$A$2:$A$722,"&lt;="&amp;77233155999)</f>
        <v>0</v>
      </c>
      <c r="N34" s="65" t="n">
        <f aca="false">COUNTIFS(Данные!$B$2:$B$722,17,Данные!$C$2:$C$722,2,Данные!$A$2:$A$722,"&gt;="&amp;77233235000,Данные!$A$2:$A$722,"&lt;="&amp;77233235999)</f>
        <v>0</v>
      </c>
      <c r="O34" s="65" t="n">
        <f aca="false">COUNTIFS(Данные!$B$2:$B$722,17,Данные!$C$2:$C$722,2,Данные!$A$2:$A$722,"&gt;="&amp;77233239000,Данные!$A$2:$A$722,"&lt;="&amp;77233239999)</f>
        <v>0</v>
      </c>
      <c r="P34" s="65" t="n">
        <f aca="false">COUNTIFS(Данные!$B$2:$B$722,17,Данные!$C$2:$C$722,2,Данные!$A$2:$A$722,"&gt;="&amp;77233272000,Данные!$A$2:$A$722,"&lt;="&amp;77233272999)</f>
        <v>0</v>
      </c>
      <c r="Q34" s="65" t="n">
        <f aca="false">COUNTIFS(Данные!$B$2:$B$722,17,Данные!$C$2:$C$722,2,Данные!$A$2:$A$722,"&gt;="&amp;77233291100,Данные!$A$2:$A$722,"&lt;="&amp;77233292999)</f>
        <v>0</v>
      </c>
      <c r="R34" s="65" t="n">
        <f aca="false">COUNTIFS(Данные!$B$2:$B$722,17,Данные!$C$2:$C$722,2,Данные!$A$2:$A$722,"&gt;="&amp;77233297000,Данные!$A$2:$A$722,"&lt;="&amp;77233298399)</f>
        <v>0</v>
      </c>
      <c r="S34" s="65" t="n">
        <f aca="false">COUNTIFS(Данные!$B$2:$B$722,17,Данные!$C$2:$C$722,2,Данные!$A$2:$A$722,"&gt;="&amp;77235124000,Данные!$A$2:$A$722,"&lt;="&amp;77235128499)</f>
        <v>0</v>
      </c>
      <c r="T34" s="65" t="n">
        <f aca="false">COUNTIFS(Данные!$B$2:$B$722,17,Данные!$C$2:$C$722,2,Данные!$A$2:$A$722,"&gt;="&amp;77235320000,Данные!$A$2:$A$722,"&lt;="&amp;77235320999)</f>
        <v>7</v>
      </c>
      <c r="U34" s="65" t="n">
        <f aca="false">COUNTIFS(Данные!$B$2:$B$722,17,Данные!$C$2:$C$722,2,Данные!$A$2:$A$722,"&gt;="&amp;77233620000,Данные!$A$2:$A$722,"&lt;="&amp;77233623339)</f>
        <v>0</v>
      </c>
      <c r="V34" s="65" t="n">
        <f aca="false">COUNTIFS(Данные!$B$2:$B$722,17,Данные!$C$2:$C$722,2,Данные!$A$2:$A$722,"&gt;="&amp;77233630000,Данные!$A$2:$A$722,"&lt;="&amp;77233630999)</f>
        <v>0</v>
      </c>
      <c r="W34" s="65" t="n">
        <f aca="false">COUNTIFS(Данные!$B$2:$B$722,17,Данные!$C$2:$C$722,2,Данные!$A$2:$A$722,"&gt;="&amp;77233637000,Данные!$A$2:$A$722,"&lt;="&amp;77233637599)</f>
        <v>0</v>
      </c>
      <c r="X34" s="65" t="n">
        <f aca="false">COUNTIFS(Данные!$B$2:$B$722,17,Данные!$C$2:$C$722,2,Данные!$A$2:$A$722,"&gt;="&amp;77233550000,Данные!$A$2:$A$722,"&lt;="&amp;77233550999)</f>
        <v>0</v>
      </c>
      <c r="Y34" s="65" t="n">
        <f aca="false">COUNTIFS(Данные!$B$2:$B$722,17,Данные!$C$2:$C$722,2,Данные!$A$2:$A$722,"&gt;="&amp;77233554000,Данные!$A$2:$A$722,"&lt;="&amp;77233554999)</f>
        <v>0</v>
      </c>
      <c r="Z34" s="65" t="n">
        <f aca="false">COUNTIFS(Данные!$B$2:$B$722,17,Данные!$C$2:$C$722,2,Данные!$A$2:$A$722,"&gt;="&amp;77233555000,Данные!$A$2:$A$722,"&lt;="&amp;77233556999)</f>
        <v>0</v>
      </c>
      <c r="AA34" s="65" t="n">
        <f aca="false">COUNTIFS(Данные!$B$2:$B$722,17,Данные!$C$2:$C$722,2,Данные!$A$2:$A$722,"&gt;="&amp;77233726000,Данные!$A$2:$A$722,"&lt;="&amp;77233726999)</f>
        <v>0</v>
      </c>
      <c r="AB34" s="65" t="n">
        <f aca="false">COUNTIFS(Данные!$B$2:$B$722,17,Данные!$C$2:$C$722,2,Данные!$A$2:$A$722,"&gt;="&amp;77233820000,Данные!$A$2:$A$722,"&lt;="&amp;77233820999)</f>
        <v>0</v>
      </c>
      <c r="AC34" s="65" t="n">
        <f aca="false">COUNTIFS(Данные!$B$2:$B$722,17,Данные!$C$2:$C$722,2,Данные!$A$2:$A$722,"&gt;="&amp;77233850000,Данные!$A$2:$A$722,"&lt;="&amp;77233850999)</f>
        <v>0</v>
      </c>
      <c r="AD34" s="65" t="n">
        <f aca="false">COUNTIFS(Данные!$B$2:$B$722,17,Данные!$C$2:$C$722,2,Данные!$A$2:$A$722,"&gt;="&amp;77233420000,Данные!$A$2:$A$722,"&lt;="&amp;77233420999)</f>
        <v>0</v>
      </c>
      <c r="AE34" s="65" t="n">
        <f aca="false">COUNTIFS(Данные!$B$2:$B$722,17,Данные!$C$2:$C$722,2,Данные!$A$2:$A$722,"&gt;="&amp;77234740000,Данные!$A$2:$A$722,"&lt;="&amp;77234742999)</f>
        <v>0</v>
      </c>
      <c r="AF34" s="65" t="n">
        <f aca="false">COUNTIFS(Данные!$B$2:$B$722,17,Данные!$C$2:$C$722,2,Данные!$A$2:$A$722,"&gt;="&amp;77234767000,Данные!$A$2:$A$722,"&lt;="&amp;77234767999)</f>
        <v>0</v>
      </c>
      <c r="AG34" s="65" t="n">
        <f aca="false">COUNTIFS(Данные!$B$2:$B$722,17,Данные!$C$2:$C$722,2,Данные!$A$2:$A$722,"&gt;="&amp;77234120000,Данные!$A$2:$A$722,"&lt;="&amp;77234120999)</f>
        <v>0</v>
      </c>
      <c r="AH34" s="65" t="n">
        <f aca="false">COUNTIFS(Данные!$B$2:$B$722,17,Данные!$C$2:$C$722,2,Данные!$A$2:$A$722,"&gt;="&amp;77234127000,Данные!$A$2:$A$722,"&lt;="&amp;77234127999)</f>
        <v>0</v>
      </c>
      <c r="AI34" s="65" t="n">
        <f aca="false">COUNTIFS(Данные!$B$2:$B$722,17,Данные!$C$2:$C$722,2,Данные!$A$2:$A$722,"&gt;="&amp;77234220000,Данные!$A$2:$A$722,"&lt;="&amp;77234220999)</f>
        <v>0</v>
      </c>
      <c r="AJ34" s="65" t="n">
        <f aca="false">COUNTIFS(Данные!$B$2:$B$722,17,Данные!$C$2:$C$722,2,Данные!$A$2:$A$722,"&gt;="&amp;77234250000,Данные!$A$2:$A$722,"&lt;="&amp;77234250999)</f>
        <v>0</v>
      </c>
      <c r="AK34" s="65" t="n">
        <f aca="false">COUNTIFS(Данные!$B$2:$B$722,17,Данные!$C$2:$C$722,2,Данные!$A$2:$A$722,"&gt;="&amp;77233922950,Данные!$A$2:$A$722,"&lt;="&amp;77233924999)</f>
        <v>0</v>
      </c>
      <c r="AL34" s="65" t="n">
        <f aca="false">COUNTIFS(Данные!$B$2:$B$722,17,Данные!$C$2:$C$722,2,Данные!$A$2:$A$722,"&gt;="&amp;77234320000,Данные!$A$2:$A$722,"&lt;="&amp;77234320999)</f>
        <v>0</v>
      </c>
      <c r="AM34" s="65" t="n">
        <f aca="false">COUNTIFS(Данные!$B$2:$B$722,17,Данные!$C$2:$C$722,2,Данные!$A$2:$A$722,"&gt;="&amp;77234350000,Данные!$A$2:$A$722,"&lt;="&amp;77234350999)</f>
        <v>0</v>
      </c>
      <c r="AN34" s="65" t="n">
        <f aca="false">COUNTIFS(Данные!$B$2:$B$722,17,Данные!$C$2:$C$722,2,Данные!$A$2:$A$722,"&gt;="&amp;77234020000,Данные!$A$2:$A$722,"&lt;="&amp;77234020999)</f>
        <v>0</v>
      </c>
      <c r="AO34" s="65" t="n">
        <f aca="false">COUNTIFS(Данные!$B$2:$B$722,17,Данные!$C$2:$C$722,2,Данные!$A$2:$A$722,"&gt;="&amp;77234029000,Данные!$A$2:$A$722,"&lt;="&amp;77234029999)</f>
        <v>0</v>
      </c>
      <c r="AP34" s="65" t="n">
        <f aca="false">COUNTIFS(Данные!$B$2:$B$722,17,Данные!$C$2:$C$722,2,Данные!$A$2:$A$722,"&gt;="&amp;77234050000,Данные!$A$2:$A$722,"&lt;="&amp;77234050999)</f>
        <v>0</v>
      </c>
      <c r="AQ34" s="65" t="n">
        <f aca="false">COUNTIFS(Данные!$B$2:$B$722,17,Данные!$C$2:$C$722,2,Данные!$A$2:$A$722,"&gt;="&amp;77234427000,Данные!$A$2:$A$722,"&lt;="&amp;77234428999)</f>
        <v>0</v>
      </c>
      <c r="AR34" s="65" t="n">
        <f aca="false">COUNTIFS(Данные!$B$2:$B$722,17,Данные!$C$2:$C$722,2,Данные!$A$2:$A$722,"&gt;="&amp;77234450000,Данные!$A$2:$A$722,"&lt;="&amp;77234450999)</f>
        <v>0</v>
      </c>
      <c r="AS34" s="65" t="n">
        <f aca="false">COUNTIFS(Данные!$B$2:$B$722,17,Данные!$C$2:$C$722,2,Данные!$A$2:$A$722,"&gt;="&amp;77234620000,Данные!$A$2:$A$722,"&lt;="&amp;77234620999)</f>
        <v>0</v>
      </c>
      <c r="AT34" s="65" t="n">
        <f aca="false">COUNTIFS(Данные!$B$2:$B$722,17,Данные!$C$2:$C$722,2,Данные!$A$2:$A$722,"&gt;="&amp;77234650000,Данные!$A$2:$A$722,"&lt;="&amp;77234650999)</f>
        <v>0</v>
      </c>
      <c r="AU34" s="65" t="n">
        <f aca="false">COUNTIFS(Данные!$B$2:$B$722,17,Данные!$C$2:$C$722,2,Данные!$A$2:$A$722,"&gt;="&amp;77234820000,Данные!$A$2:$A$722,"&lt;="&amp;77234820999)</f>
        <v>0</v>
      </c>
      <c r="AV34" s="65" t="n">
        <f aca="false">COUNTIFS(Данные!$B$2:$B$722,17,Данные!$C$2:$C$722,2,Данные!$A$2:$A$722,"&gt;="&amp;77234850000,Данные!$A$2:$A$722,"&lt;="&amp;77234850999)</f>
        <v>0</v>
      </c>
      <c r="AW34" s="65" t="n">
        <f aca="false">COUNTIFS(Данные!$B$2:$B$722,17,Данные!$C$2:$C$722,2,Данные!$A$2:$A$722,"&gt;="&amp;77233327000,Данные!$A$2:$A$722,"&lt;="&amp;77233327999)</f>
        <v>0</v>
      </c>
      <c r="AX34" s="65" t="n">
        <f aca="false">COUNTIFS(Данные!$B$2:$B$722,17,Данные!$C$2:$C$722,2,Данные!$A$2:$A$722,"&gt;="&amp;77233350000,Данные!$A$2:$A$722,"&lt;="&amp;77233350599)</f>
        <v>0</v>
      </c>
      <c r="AY34" s="65" t="n">
        <f aca="false">COUNTIFS(Данные!$B$2:$B$722,17,Данные!$C$2:$C$722,2,Данные!$A$2:$A$722,"&gt;="&amp;77233351000,Данные!$A$2:$A$722,"&lt;="&amp;77233351999)</f>
        <v>0</v>
      </c>
      <c r="AZ34" s="66" t="n">
        <f aca="false">COUNTIFS(Данные!$B$2:$B$722,17,Данные!$C$2:$C$722,2,Данные!$A$2:$A$722,"&gt;="&amp;7722440000,Данные!$A$2:$A$722,"&lt;="&amp;7722440999)</f>
        <v>0</v>
      </c>
      <c r="BA34" s="66" t="n">
        <f aca="false">COUNTIFS(Данные!$B$2:$B$722,17,Данные!$C$2:$C$722,2,Данные!$A$2:$A$722,"&gt;="&amp;7722442000,Данные!$A$2:$A$722,"&lt;="&amp;7722445659)</f>
        <v>0</v>
      </c>
      <c r="BB34" s="66" t="n">
        <f aca="false">COUNTIFS(Данные!$B$2:$B$722,17,Данные!$C$2:$C$722,2,Данные!$A$2:$A$722,"&gt;="&amp;7722450000,Данные!$A$2:$A$722,"&lt;="&amp;7722450199)</f>
        <v>0</v>
      </c>
      <c r="BC34" s="66" t="n">
        <f aca="false">COUNTIFS(Данные!$B$2:$B$722,17,Данные!$C$2:$C$722,2,Данные!$A$2:$A$722,"&gt;="&amp;7722451000,Данные!$A$2:$A$722,"&lt;="&amp;7722451374)</f>
        <v>0</v>
      </c>
      <c r="BD34" s="66" t="n">
        <f aca="false">COUNTIFS(Данные!$B$2:$B$722,17,Данные!$C$2:$C$722,2,Данные!$A$2:$A$722,"&gt;="&amp;7722452000,Данные!$A$2:$A$722,"&lt;="&amp;7722452299)</f>
        <v>0</v>
      </c>
      <c r="BE34" s="66" t="n">
        <f aca="false">COUNTIFS(Данные!$B$2:$B$722,17,Данные!$C$2:$C$722,2,Данные!$A$2:$A$722,"&gt;="&amp;7722453000,Данные!$A$2:$A$722,"&lt;="&amp;7722453816)</f>
        <v>0</v>
      </c>
      <c r="BF34" s="66" t="n">
        <f aca="false">COUNTIFS(Данные!$B$2:$B$722,17,Данные!$C$2:$C$722,2,Данные!$A$2:$A$722,"&gt;="&amp;7722454000,Данные!$A$2:$A$722,"&lt;="&amp;7722454099)</f>
        <v>0</v>
      </c>
      <c r="BG34" s="66" t="n">
        <f aca="false">COUNTIFS(Данные!$B$2:$B$722,17,Данные!$C$2:$C$722,2,Данные!$A$2:$A$722,"&gt;="&amp;7722458000,Данные!$A$2:$A$722,"&lt;="&amp;7722458999)</f>
        <v>0</v>
      </c>
      <c r="BH34" s="66" t="n">
        <f aca="false">COUNTIFS(Данные!$B$2:$B$722,17,Данные!$C$2:$C$722,2,Данные!$A$2:$A$722,"&gt;="&amp;7722630000,Данные!$A$2:$A$722,"&lt;="&amp;7722638549)</f>
        <v>0</v>
      </c>
      <c r="BI34" s="66" t="n">
        <f aca="false">COUNTIFS(Данные!$B$2:$B$722,17,Данные!$C$2:$C$722,2,Данные!$A$2:$A$722,"&gt;="&amp;7722639400,Данные!$A$2:$A$722,"&lt;="&amp;7722639899)</f>
        <v>0</v>
      </c>
      <c r="BJ34" s="66" t="n">
        <f aca="false">COUNTIFS(Данные!$B$2:$B$722,17,Данные!$C$2:$C$722,2,Данные!$A$2:$A$722,"&gt;="&amp;7725750000,Данные!$A$2:$A$722,"&lt;="&amp;7725750399)</f>
        <v>0</v>
      </c>
      <c r="BK34" s="66" t="n">
        <f aca="false">COUNTIFS(Данные!$B$2:$B$722,17,Данные!$C$2:$C$722,2,Данные!$A$2:$A$722,"&gt;="&amp;7723620000,Данные!$A$2:$A$722,"&lt;="&amp;7723621299)</f>
        <v>0</v>
      </c>
      <c r="BL34" s="66" t="n">
        <f aca="false">COUNTIFS(Данные!$B$2:$B$722,17,Данные!$C$2:$C$722,2,Данные!$A$2:$A$722,"&gt;="&amp;7723621600,Данные!$A$2:$A$722,"&lt;="&amp;7723623399)</f>
        <v>0</v>
      </c>
      <c r="BM34" s="66" t="n">
        <f aca="false">COUNTIFS(Данные!$B$2:$B$722,17,Данные!$C$2:$C$722,2,Данные!$A$2:$A$722,"&gt;="&amp;7725127000,Данные!$A$2:$A$722,"&lt;="&amp;7725127999)</f>
        <v>0</v>
      </c>
      <c r="BN34" s="66" t="n">
        <f aca="false">COUNTIFS(Данные!$B$2:$B$722,17,Данные!$C$2:$C$722,2,Данные!$A$2:$A$722,"&gt;="&amp;7723772000,Данные!$A$2:$A$722,"&lt;="&amp;7723724999)</f>
        <v>0</v>
      </c>
      <c r="BO34" s="65" t="n">
        <f aca="false">COUNTIFS(Данные!$B$2:$B$722,17,Данные!$C$2:$C$722,2,Данные!$A$2:$A$722,"&gt;="&amp;7723765000,Данные!$A$2:$A$722,"&lt;="&amp;7723765499)</f>
        <v>0</v>
      </c>
      <c r="BP34" s="66" t="n">
        <f aca="false">COUNTIFS(Данные!$B$2:$B$722,17,Данные!$C$2:$C$722,2,Данные!$A$2:$A$722,"&gt;="&amp;7723948000,Данные!$A$2:$A$722,"&lt;="&amp;7723948999)</f>
        <v>0</v>
      </c>
      <c r="BQ34" s="66" t="n">
        <f aca="false">COUNTIFS(Данные!$B$2:$B$722,17,Данные!$C$2:$C$722,2,Данные!$A$2:$A$722,"&gt;="&amp;7723950000,Данные!$A$2:$A$722,"&lt;="&amp;7723951099)</f>
        <v>0</v>
      </c>
      <c r="BR34" s="66" t="n">
        <f aca="false">COUNTIFS(Данные!$B$2:$B$722,17,Данные!$C$2:$C$722,2,Данные!$A$2:$A$722,"&gt;="&amp;7723020000,Данные!$A$2:$A$722,"&lt;="&amp;7723020999)</f>
        <v>0</v>
      </c>
      <c r="BS34" s="66" t="n">
        <f aca="false">COUNTIFS(Данные!$B$2:$B$722,17,Данные!$C$2:$C$722,2,Данные!$A$2:$A$722,"&gt;="&amp;7723029000,Данные!$A$2:$A$722,"&lt;="&amp;7723029999)</f>
        <v>0</v>
      </c>
      <c r="BT34" s="66" t="n">
        <f aca="false">COUNTIFS(Данные!$B$2:$B$722,17,Данные!$C$2:$C$722,2,Данные!$A$2:$A$722,"&gt;="&amp;7723055000,Данные!$A$2:$A$722,"&lt;="&amp;7723056549)</f>
        <v>0</v>
      </c>
      <c r="BU34" s="65" t="n">
        <f aca="false">COUNTIFS(Данные!$B$2:$B$722,17,Данные!$C$2:$C$722,2,Данные!$A$2:$A$722,"&gt;="&amp;7725250000,Данные!$A$2:$A$722,"&lt;="&amp;7725250499)</f>
        <v>0</v>
      </c>
      <c r="BV34" s="66" t="n">
        <f aca="false">COUNTIFS(Данные!$B$2:$B$722,17,Данные!$C$2:$C$722,2,Данные!$A$2:$A$722,"&gt;="&amp;7183841400,Данные!$A$2:$A$722,"&lt;="&amp;7183841499)</f>
        <v>0</v>
      </c>
      <c r="BW34" s="49" t="n">
        <v>300</v>
      </c>
      <c r="BX34" s="67" t="n">
        <f aca="false">F34-BW34</f>
        <v>-293</v>
      </c>
    </row>
    <row r="35" s="15" customFormat="true" ht="12" hidden="false" customHeight="true" outlineLevel="0" collapsed="false">
      <c r="A35" s="38" t="n">
        <v>18</v>
      </c>
      <c r="B35" s="39" t="s">
        <v>71</v>
      </c>
      <c r="C35" s="41" t="n">
        <v>0</v>
      </c>
      <c r="D35" s="41" t="n">
        <v>180</v>
      </c>
      <c r="E35" s="42" t="n">
        <f aca="false">SUM(F35:F37)</f>
        <v>0</v>
      </c>
      <c r="F35" s="62" t="n">
        <f aca="false">COUNTIFS(Данные!$B$2:$B$722,18,Данные!$C$2:$C$722,0)</f>
        <v>0</v>
      </c>
      <c r="G35" s="62" t="n">
        <f aca="false">COUNTIFS(Данные!$B$2:$B$722,18,Данные!$C$2:$C$722,0,Данные!$A$2:$A$722,"&gt;="&amp;77232210840,Данные!$A$2:$A$722,"&lt;="&amp;77232216999)</f>
        <v>0</v>
      </c>
      <c r="H35" s="62" t="n">
        <f aca="false">COUNTIFS(Данные!$B$2:$B$722,18,Данные!$C$2:$C$722,0,Данные!$A$2:$A$722,"&gt;="&amp;77232510512,Данные!$A$2:$A$722,"&lt;="&amp;77232519487)</f>
        <v>0</v>
      </c>
      <c r="I35" s="62" t="n">
        <f aca="false">COUNTIFS(Данные!$B$2:$B$722,18,Данные!$C$2:$C$722,0,Данные!$A$2:$A$722,"&gt;="&amp;77232524160,Данные!$A$2:$A$722,"&lt;="&amp;77232529999)</f>
        <v>0</v>
      </c>
      <c r="J35" s="62" t="n">
        <f aca="false">COUNTIFS(Данные!$B$2:$B$722,18,Данные!$C$2:$C$722,0,Данные!$A$2:$A$722,"&gt;="&amp;77232544000,Данные!$A$2:$A$722,"&lt;="&amp;77232544999)</f>
        <v>0</v>
      </c>
      <c r="K35" s="62" t="n">
        <f aca="false">COUNTIFS(Данные!$B$2:$B$722,18,Данные!$C$2:$C$722,0,Данные!$A$2:$A$722,"&gt;="&amp;77232295504,Данные!$A$2:$A$722,"&lt;="&amp;77232296999)</f>
        <v>0</v>
      </c>
      <c r="L35" s="62" t="n">
        <f aca="false">COUNTIFS(Данные!$B$2:$B$722,18,Данные!$C$2:$C$722,0,Данные!$A$2:$A$722,"&gt;="&amp;77232785000,Данные!$A$2:$A$722,"&lt;="&amp;77232789999)</f>
        <v>0</v>
      </c>
      <c r="M35" s="62" t="n">
        <f aca="false">COUNTIFS(Данные!$B$2:$B$722,18,Данные!$C$2:$C$722,0,Данные!$A$2:$A$722,"&gt;="&amp;77233150000,Данные!$A$2:$A$722,"&lt;="&amp;77233155999)</f>
        <v>0</v>
      </c>
      <c r="N35" s="62" t="n">
        <f aca="false">COUNTIFS(Данные!$B$2:$B$722,18,Данные!$C$2:$C$722,0,Данные!$A$2:$A$722,"&gt;="&amp;77233235000,Данные!$A$2:$A$722,"&lt;="&amp;77233235999)</f>
        <v>0</v>
      </c>
      <c r="O35" s="62" t="n">
        <f aca="false">COUNTIFS(Данные!$B$2:$B$722,18,Данные!$C$2:$C$722,0,Данные!$A$2:$A$722,"&gt;="&amp;77233239000,Данные!$A$2:$A$722,"&lt;="&amp;77233239999)</f>
        <v>0</v>
      </c>
      <c r="P35" s="62" t="n">
        <f aca="false">COUNTIFS(Данные!$B$2:$B$722,18,Данные!$C$2:$C$722,0,Данные!$A$2:$A$722,"&gt;="&amp;77233272000,Данные!$A$2:$A$722,"&lt;="&amp;77233272999)</f>
        <v>0</v>
      </c>
      <c r="Q35" s="62" t="n">
        <f aca="false">COUNTIFS(Данные!$B$2:$B$722,18,Данные!$C$2:$C$722,0,Данные!$A$2:$A$722,"&gt;="&amp;77233291100,Данные!$A$2:$A$722,"&lt;="&amp;77233292999)</f>
        <v>0</v>
      </c>
      <c r="R35" s="62" t="n">
        <f aca="false">COUNTIFS(Данные!$B$2:$B$722,18,Данные!$C$2:$C$722,0,Данные!$A$2:$A$722,"&gt;="&amp;77233297000,Данные!$A$2:$A$722,"&lt;="&amp;77233298399)</f>
        <v>0</v>
      </c>
      <c r="S35" s="62" t="n">
        <f aca="false">COUNTIFS(Данные!$B$2:$B$722,18,Данные!$C$2:$C$722,0,Данные!$A$2:$A$722,"&gt;="&amp;77235124000,Данные!$A$2:$A$722,"&lt;="&amp;77235128499)</f>
        <v>0</v>
      </c>
      <c r="T35" s="62" t="n">
        <f aca="false">COUNTIFS(Данные!$B$2:$B$722,18,Данные!$C$2:$C$722,0,Данные!$A$2:$A$722,"&gt;="&amp;77235320000,Данные!$A$2:$A$722,"&lt;="&amp;77235320999)</f>
        <v>0</v>
      </c>
      <c r="U35" s="62" t="n">
        <f aca="false">COUNTIFS(Данные!$B$2:$B$722,18,Данные!$C$2:$C$722,0,Данные!$A$2:$A$722,"&gt;="&amp;77233620000,Данные!$A$2:$A$722,"&lt;="&amp;77233623339)</f>
        <v>0</v>
      </c>
      <c r="V35" s="62" t="n">
        <f aca="false">COUNTIFS(Данные!$B$2:$B$722,18,Данные!$C$2:$C$722,0,Данные!$A$2:$A$722,"&gt;="&amp;77233630000,Данные!$A$2:$A$722,"&lt;="&amp;77233630999)</f>
        <v>0</v>
      </c>
      <c r="W35" s="62" t="n">
        <f aca="false">COUNTIFS(Данные!$B$2:$B$722,18,Данные!$C$2:$C$722,0,Данные!$A$2:$A$722,"&gt;="&amp;77233637000,Данные!$A$2:$A$722,"&lt;="&amp;77233637599)</f>
        <v>0</v>
      </c>
      <c r="X35" s="62" t="n">
        <f aca="false">COUNTIFS(Данные!$B$2:$B$722,18,Данные!$C$2:$C$722,0,Данные!$A$2:$A$722,"&gt;="&amp;77233550000,Данные!$A$2:$A$722,"&lt;="&amp;77233550999)</f>
        <v>0</v>
      </c>
      <c r="Y35" s="62" t="n">
        <f aca="false">COUNTIFS(Данные!$B$2:$B$722,18,Данные!$C$2:$C$722,0,Данные!$A$2:$A$722,"&gt;="&amp;77233554000,Данные!$A$2:$A$722,"&lt;="&amp;77233554999)</f>
        <v>0</v>
      </c>
      <c r="Z35" s="62" t="n">
        <f aca="false">COUNTIFS(Данные!$B$2:$B$722,18,Данные!$C$2:$C$722,0,Данные!$A$2:$A$722,"&gt;="&amp;77233555000,Данные!$A$2:$A$722,"&lt;="&amp;77233556999)</f>
        <v>0</v>
      </c>
      <c r="AA35" s="62" t="n">
        <f aca="false">COUNTIFS(Данные!$B$2:$B$722,18,Данные!$C$2:$C$722,0,Данные!$A$2:$A$722,"&gt;="&amp;77233726000,Данные!$A$2:$A$722,"&lt;="&amp;77233726999)</f>
        <v>0</v>
      </c>
      <c r="AB35" s="62" t="n">
        <f aca="false">COUNTIFS(Данные!$B$2:$B$722,18,Данные!$C$2:$C$722,0,Данные!$A$2:$A$722,"&gt;="&amp;77233820000,Данные!$A$2:$A$722,"&lt;="&amp;77233820999)</f>
        <v>0</v>
      </c>
      <c r="AC35" s="62" t="n">
        <f aca="false">COUNTIFS(Данные!$B$2:$B$722,18,Данные!$C$2:$C$722,0,Данные!$A$2:$A$722,"&gt;="&amp;77233850000,Данные!$A$2:$A$722,"&lt;="&amp;77233850999)</f>
        <v>0</v>
      </c>
      <c r="AD35" s="62" t="n">
        <f aca="false">COUNTIFS(Данные!$B$2:$B$722,18,Данные!$C$2:$C$722,0,Данные!$A$2:$A$722,"&gt;="&amp;77233420000,Данные!$A$2:$A$722,"&lt;="&amp;77233420999)</f>
        <v>0</v>
      </c>
      <c r="AE35" s="62" t="n">
        <f aca="false">COUNTIFS(Данные!$B$2:$B$722,18,Данные!$C$2:$C$722,0,Данные!$A$2:$A$722,"&gt;="&amp;77234740000,Данные!$A$2:$A$722,"&lt;="&amp;77234742999)</f>
        <v>0</v>
      </c>
      <c r="AF35" s="62" t="n">
        <f aca="false">COUNTIFS(Данные!$B$2:$B$722,18,Данные!$C$2:$C$722,0,Данные!$A$2:$A$722,"&gt;="&amp;77234767000,Данные!$A$2:$A$722,"&lt;="&amp;77234767999)</f>
        <v>0</v>
      </c>
      <c r="AG35" s="62" t="n">
        <f aca="false">COUNTIFS(Данные!$B$2:$B$722,18,Данные!$C$2:$C$722,0,Данные!$A$2:$A$722,"&gt;="&amp;77234120000,Данные!$A$2:$A$722,"&lt;="&amp;77234120999)</f>
        <v>0</v>
      </c>
      <c r="AH35" s="62" t="n">
        <f aca="false">COUNTIFS(Данные!$B$2:$B$722,18,Данные!$C$2:$C$722,0,Данные!$A$2:$A$722,"&gt;="&amp;77234127000,Данные!$A$2:$A$722,"&lt;="&amp;77234127999)</f>
        <v>0</v>
      </c>
      <c r="AI35" s="62" t="n">
        <f aca="false">COUNTIFS(Данные!$B$2:$B$722,18,Данные!$C$2:$C$722,0,Данные!$A$2:$A$722,"&gt;="&amp;77234220000,Данные!$A$2:$A$722,"&lt;="&amp;77234220999)</f>
        <v>0</v>
      </c>
      <c r="AJ35" s="62" t="n">
        <f aca="false">COUNTIFS(Данные!$B$2:$B$722,18,Данные!$C$2:$C$722,0,Данные!$A$2:$A$722,"&gt;="&amp;77234250000,Данные!$A$2:$A$722,"&lt;="&amp;77234250999)</f>
        <v>0</v>
      </c>
      <c r="AK35" s="62" t="n">
        <f aca="false">COUNTIFS(Данные!$B$2:$B$722,18,Данные!$C$2:$C$722,0,Данные!$A$2:$A$722,"&gt;="&amp;77233922950,Данные!$A$2:$A$722,"&lt;="&amp;77233924999)</f>
        <v>0</v>
      </c>
      <c r="AL35" s="62" t="n">
        <f aca="false">COUNTIFS(Данные!$B$2:$B$722,18,Данные!$C$2:$C$722,0,Данные!$A$2:$A$722,"&gt;="&amp;77234320000,Данные!$A$2:$A$722,"&lt;="&amp;77234320999)</f>
        <v>0</v>
      </c>
      <c r="AM35" s="62" t="n">
        <f aca="false">COUNTIFS(Данные!$B$2:$B$722,18,Данные!$C$2:$C$722,0,Данные!$A$2:$A$722,"&gt;="&amp;77234350000,Данные!$A$2:$A$722,"&lt;="&amp;77234350999)</f>
        <v>0</v>
      </c>
      <c r="AN35" s="62" t="n">
        <f aca="false">COUNTIFS(Данные!$B$2:$B$722,18,Данные!$C$2:$C$722,0,Данные!$A$2:$A$722,"&gt;="&amp;77234020000,Данные!$A$2:$A$722,"&lt;="&amp;77234020999)</f>
        <v>0</v>
      </c>
      <c r="AO35" s="62" t="n">
        <f aca="false">COUNTIFS(Данные!$B$2:$B$722,18,Данные!$C$2:$C$722,0,Данные!$A$2:$A$722,"&gt;="&amp;77234029000,Данные!$A$2:$A$722,"&lt;="&amp;77234029999)</f>
        <v>0</v>
      </c>
      <c r="AP35" s="62" t="n">
        <f aca="false">COUNTIFS(Данные!$B$2:$B$722,18,Данные!$C$2:$C$722,0,Данные!$A$2:$A$722,"&gt;="&amp;77234050000,Данные!$A$2:$A$722,"&lt;="&amp;77234050999)</f>
        <v>0</v>
      </c>
      <c r="AQ35" s="62" t="n">
        <f aca="false">COUNTIFS(Данные!$B$2:$B$722,18,Данные!$C$2:$C$722,0,Данные!$A$2:$A$722,"&gt;="&amp;77234427000,Данные!$A$2:$A$722,"&lt;="&amp;77234428999)</f>
        <v>0</v>
      </c>
      <c r="AR35" s="62" t="n">
        <f aca="false">COUNTIFS(Данные!$B$2:$B$722,18,Данные!$C$2:$C$722,0,Данные!$A$2:$A$722,"&gt;="&amp;77234450000,Данные!$A$2:$A$722,"&lt;="&amp;77234450999)</f>
        <v>0</v>
      </c>
      <c r="AS35" s="62" t="n">
        <f aca="false">COUNTIFS(Данные!$B$2:$B$722,18,Данные!$C$2:$C$722,0,Данные!$A$2:$A$722,"&gt;="&amp;77234620000,Данные!$A$2:$A$722,"&lt;="&amp;77234620999)</f>
        <v>0</v>
      </c>
      <c r="AT35" s="62" t="n">
        <f aca="false">COUNTIFS(Данные!$B$2:$B$722,18,Данные!$C$2:$C$722,0,Данные!$A$2:$A$722,"&gt;="&amp;77234650000,Данные!$A$2:$A$722,"&lt;="&amp;77234650999)</f>
        <v>0</v>
      </c>
      <c r="AU35" s="62" t="n">
        <f aca="false">COUNTIFS(Данные!$B$2:$B$722,18,Данные!$C$2:$C$722,0,Данные!$A$2:$A$722,"&gt;="&amp;77234820000,Данные!$A$2:$A$722,"&lt;="&amp;77234820999)</f>
        <v>0</v>
      </c>
      <c r="AV35" s="62" t="n">
        <f aca="false">COUNTIFS(Данные!$B$2:$B$722,18,Данные!$C$2:$C$722,0,Данные!$A$2:$A$722,"&gt;="&amp;77234850000,Данные!$A$2:$A$722,"&lt;="&amp;77234850999)</f>
        <v>0</v>
      </c>
      <c r="AW35" s="62" t="n">
        <f aca="false">COUNTIFS(Данные!$B$2:$B$722,18,Данные!$C$2:$C$722,0,Данные!$A$2:$A$722,"&gt;="&amp;77233327000,Данные!$A$2:$A$722,"&lt;="&amp;77233327999)</f>
        <v>0</v>
      </c>
      <c r="AX35" s="62" t="n">
        <f aca="false">COUNTIFS(Данные!$B$2:$B$722,18,Данные!$C$2:$C$722,0,Данные!$A$2:$A$722,"&gt;="&amp;77233350000,Данные!$A$2:$A$722,"&lt;="&amp;77233350599)</f>
        <v>0</v>
      </c>
      <c r="AY35" s="62" t="n">
        <f aca="false">COUNTIFS(Данные!$B$2:$B$722,18,Данные!$C$2:$C$722,0,Данные!$A$2:$A$722,"&gt;="&amp;77233351000,Данные!$A$2:$A$722,"&lt;="&amp;77233351999)</f>
        <v>0</v>
      </c>
      <c r="AZ35" s="62" t="n">
        <f aca="false">COUNTIFS(Данные!$B$2:$B$722,18,Данные!$C$2:$C$722,0,Данные!$A$2:$A$722,"&gt;="&amp;7722440000,Данные!$A$2:$A$722,"&lt;="&amp;7722440999)</f>
        <v>0</v>
      </c>
      <c r="BA35" s="63" t="n">
        <f aca="false">COUNTIFS(Данные!$B$2:$B$722,18,Данные!$C$2:$C$722,0,Данные!$A$2:$A$722,"&gt;="&amp;7722442000,Данные!$A$2:$A$722,"&lt;="&amp;7722445659)</f>
        <v>0</v>
      </c>
      <c r="BB35" s="63" t="n">
        <f aca="false">COUNTIFS(Данные!$B$2:$B$722,18,Данные!$C$2:$C$722,0,Данные!$A$2:$A$722,"&gt;="&amp;7722450000,Данные!$A$2:$A$722,"&lt;="&amp;7722450199)</f>
        <v>0</v>
      </c>
      <c r="BC35" s="63" t="n">
        <f aca="false">COUNTIFS(Данные!$B$2:$B$722,18,Данные!$C$2:$C$722,0,Данные!$A$2:$A$722,"&gt;="&amp;7722451000,Данные!$A$2:$A$722,"&lt;="&amp;7722451374)</f>
        <v>0</v>
      </c>
      <c r="BD35" s="63" t="n">
        <f aca="false">COUNTIFS(Данные!$B$2:$B$722,18,Данные!$C$2:$C$722,0,Данные!$A$2:$A$722,"&gt;="&amp;7722452000,Данные!$A$2:$A$722,"&lt;="&amp;7722452299)</f>
        <v>0</v>
      </c>
      <c r="BE35" s="63" t="n">
        <f aca="false">COUNTIFS(Данные!$B$2:$B$722,18,Данные!$C$2:$C$722,0,Данные!$A$2:$A$722,"&gt;="&amp;7722453000,Данные!$A$2:$A$722,"&lt;="&amp;7722453816)</f>
        <v>0</v>
      </c>
      <c r="BF35" s="63" t="n">
        <f aca="false">COUNTIFS(Данные!$B$2:$B$722,18,Данные!$C$2:$C$722,0,Данные!$A$2:$A$722,"&gt;="&amp;7722454000,Данные!$A$2:$A$722,"&lt;="&amp;7722454099)</f>
        <v>0</v>
      </c>
      <c r="BG35" s="63" t="n">
        <f aca="false">COUNTIFS(Данные!$B$2:$B$722,18,Данные!$C$2:$C$722,0,Данные!$A$2:$A$722,"&gt;="&amp;7722458000,Данные!$A$2:$A$722,"&lt;="&amp;7722458999)</f>
        <v>0</v>
      </c>
      <c r="BH35" s="63" t="n">
        <f aca="false">COUNTIFS(Данные!$B$2:$B$722,18,Данные!$C$2:$C$722,0,Данные!$A$2:$A$722,"&gt;="&amp;7722630000,Данные!$A$2:$A$722,"&lt;="&amp;7722638549)</f>
        <v>0</v>
      </c>
      <c r="BI35" s="63" t="n">
        <f aca="false">COUNTIFS(Данные!$B$2:$B$722,18,Данные!$C$2:$C$722,0,Данные!$A$2:$A$722,"&gt;="&amp;7722639400,Данные!$A$2:$A$722,"&lt;="&amp;7722639899)</f>
        <v>0</v>
      </c>
      <c r="BJ35" s="63" t="n">
        <f aca="false">COUNTIFS(Данные!$B$2:$B$722,18,Данные!$C$2:$C$722,0,Данные!$A$2:$A$722,"&gt;="&amp;7725750000,Данные!$A$2:$A$722,"&lt;="&amp;7725750399)</f>
        <v>0</v>
      </c>
      <c r="BK35" s="63" t="n">
        <f aca="false">COUNTIFS(Данные!$B$2:$B$722,18,Данные!$C$2:$C$722,0,Данные!$A$2:$A$722,"&gt;="&amp;7723620000,Данные!$A$2:$A$722,"&lt;="&amp;7723621299)</f>
        <v>0</v>
      </c>
      <c r="BL35" s="63" t="n">
        <f aca="false">COUNTIFS(Данные!$B$2:$B$722,18,Данные!$C$2:$C$722,0,Данные!$A$2:$A$722,"&gt;="&amp;7723621600,Данные!$A$2:$A$722,"&lt;="&amp;7723623399)</f>
        <v>0</v>
      </c>
      <c r="BM35" s="63" t="n">
        <f aca="false">COUNTIFS(Данные!$B$2:$B$722,18,Данные!$C$2:$C$722,0,Данные!$A$2:$A$722,"&gt;="&amp;7725127000,Данные!$A$2:$A$722,"&lt;="&amp;7725127999)</f>
        <v>0</v>
      </c>
      <c r="BN35" s="63" t="n">
        <f aca="false">COUNTIFS(Данные!$B$2:$B$722,18,Данные!$C$2:$C$722,0,Данные!$A$2:$A$722,"&gt;="&amp;7723772000,Данные!$A$2:$A$722,"&lt;="&amp;7723724999)</f>
        <v>0</v>
      </c>
      <c r="BO35" s="62" t="n">
        <f aca="false">COUNTIFS(Данные!$B$2:$B$722,18,Данные!$C$2:$C$722,0,Данные!$A$2:$A$722,"&gt;="&amp;7723765000,Данные!$A$2:$A$722,"&lt;="&amp;7723765499)</f>
        <v>0</v>
      </c>
      <c r="BP35" s="63" t="n">
        <f aca="false">COUNTIFS(Данные!$B$2:$B$722,18,Данные!$C$2:$C$722,0,Данные!$A$2:$A$722,"&gt;="&amp;7723948000,Данные!$A$2:$A$722,"&lt;="&amp;7723948999)</f>
        <v>0</v>
      </c>
      <c r="BQ35" s="63" t="n">
        <f aca="false">COUNTIFS(Данные!$B$2:$B$722,18,Данные!$C$2:$C$722,0,Данные!$A$2:$A$722,"&gt;="&amp;7723950000,Данные!$A$2:$A$722,"&lt;="&amp;7723951099)</f>
        <v>0</v>
      </c>
      <c r="BR35" s="63" t="n">
        <f aca="false">COUNTIFS(Данные!$B$2:$B$722,18,Данные!$C$2:$C$722,0,Данные!$A$2:$A$722,"&gt;="&amp;7723020000,Данные!$A$2:$A$722,"&lt;="&amp;7723020999)</f>
        <v>0</v>
      </c>
      <c r="BS35" s="63" t="n">
        <f aca="false">COUNTIFS(Данные!$B$2:$B$722,18,Данные!$C$2:$C$722,0,Данные!$A$2:$A$722,"&gt;="&amp;7723029000,Данные!$A$2:$A$722,"&lt;="&amp;7723029999)</f>
        <v>0</v>
      </c>
      <c r="BT35" s="63" t="n">
        <f aca="false">COUNTIFS(Данные!$B$2:$B$722,18,Данные!$C$2:$C$722,0,Данные!$A$2:$A$722,"&gt;="&amp;7723055000,Данные!$A$2:$A$722,"&lt;="&amp;7723056549)</f>
        <v>0</v>
      </c>
      <c r="BU35" s="62" t="n">
        <f aca="false">COUNTIFS(Данные!$B$2:$B$722,18,Данные!$C$2:$C$722,0,Данные!$A$2:$A$722,"&gt;="&amp;7725250000,Данные!$A$2:$A$722,"&lt;="&amp;7725250499)</f>
        <v>0</v>
      </c>
      <c r="BV35" s="63" t="n">
        <f aca="false">COUNTIFS(Данные!$B$2:$B$722,18,Данные!$C$2:$C$722,0,Данные!$A$2:$A$722,"&gt;="&amp;7183841400,Данные!$A$2:$A$722,"&lt;="&amp;7183841499)</f>
        <v>0</v>
      </c>
      <c r="BW35" s="40" t="n">
        <v>300</v>
      </c>
      <c r="BX35" s="64" t="n">
        <f aca="false">F35-BW35</f>
        <v>-300</v>
      </c>
    </row>
    <row r="36" s="15" customFormat="true" ht="12" hidden="false" customHeight="true" outlineLevel="0" collapsed="false">
      <c r="A36" s="38"/>
      <c r="B36" s="39"/>
      <c r="C36" s="41" t="n">
        <v>1</v>
      </c>
      <c r="D36" s="41" t="n">
        <v>181</v>
      </c>
      <c r="E36" s="42"/>
      <c r="F36" s="62" t="n">
        <f aca="false">COUNTIFS(Данные!$B$2:$B$722,18,Данные!$C$2:$C$722,1)</f>
        <v>0</v>
      </c>
      <c r="G36" s="62" t="n">
        <f aca="false">COUNTIFS(Данные!$B$2:$B$722,18,Данные!$C$2:$C$722,1,Данные!$A$2:$A$722,"&gt;="&amp;77232210840,Данные!$A$2:$A$722,"&lt;="&amp;77232216999)</f>
        <v>0</v>
      </c>
      <c r="H36" s="62" t="n">
        <f aca="false">COUNTIFS(Данные!$B$2:$B$722,18,Данные!$C$2:$C$722,1,Данные!$A$2:$A$722,"&gt;="&amp;77232510512,Данные!$A$2:$A$722,"&lt;="&amp;77232519487)</f>
        <v>0</v>
      </c>
      <c r="I36" s="62" t="n">
        <f aca="false">COUNTIFS(Данные!$B$2:$B$722,18,Данные!$C$2:$C$722,1,Данные!$A$2:$A$722,"&gt;="&amp;77232524160,Данные!$A$2:$A$722,"&lt;="&amp;77232529999)</f>
        <v>0</v>
      </c>
      <c r="J36" s="62" t="n">
        <f aca="false">COUNTIFS(Данные!$B$2:$B$722,18,Данные!$C$2:$C$722,1,Данные!$A$2:$A$722,"&gt;="&amp;77232544000,Данные!$A$2:$A$722,"&lt;="&amp;77232544999)</f>
        <v>0</v>
      </c>
      <c r="K36" s="62" t="n">
        <f aca="false">COUNTIFS(Данные!$B$2:$B$722,18,Данные!$C$2:$C$722,1,Данные!$A$2:$A$722,"&gt;="&amp;77232295504,Данные!$A$2:$A$722,"&lt;="&amp;77232296999)</f>
        <v>0</v>
      </c>
      <c r="L36" s="62" t="n">
        <f aca="false">COUNTIFS(Данные!$B$2:$B$722,18,Данные!$C$2:$C$722,1,Данные!$A$2:$A$722,"&gt;="&amp;77232785000,Данные!$A$2:$A$722,"&lt;="&amp;77232789999)</f>
        <v>0</v>
      </c>
      <c r="M36" s="62" t="n">
        <f aca="false">COUNTIFS(Данные!$B$2:$B$722,18,Данные!$C$2:$C$722,1,Данные!$A$2:$A$722,"&gt;="&amp;77233150000,Данные!$A$2:$A$722,"&lt;="&amp;77233155999)</f>
        <v>0</v>
      </c>
      <c r="N36" s="62" t="n">
        <f aca="false">COUNTIFS(Данные!$B$2:$B$722,18,Данные!$C$2:$C$722,1,Данные!$A$2:$A$722,"&gt;="&amp;77233235000,Данные!$A$2:$A$722,"&lt;="&amp;77233235999)</f>
        <v>0</v>
      </c>
      <c r="O36" s="62" t="n">
        <f aca="false">COUNTIFS(Данные!$B$2:$B$722,18,Данные!$C$2:$C$722,1,Данные!$A$2:$A$722,"&gt;="&amp;77233239000,Данные!$A$2:$A$722,"&lt;="&amp;77233239999)</f>
        <v>0</v>
      </c>
      <c r="P36" s="62" t="n">
        <f aca="false">COUNTIFS(Данные!$B$2:$B$722,18,Данные!$C$2:$C$722,1,Данные!$A$2:$A$722,"&gt;="&amp;77233272000,Данные!$A$2:$A$722,"&lt;="&amp;77233272999)</f>
        <v>0</v>
      </c>
      <c r="Q36" s="62" t="n">
        <f aca="false">COUNTIFS(Данные!$B$2:$B$722,18,Данные!$C$2:$C$722,1,Данные!$A$2:$A$722,"&gt;="&amp;77233291100,Данные!$A$2:$A$722,"&lt;="&amp;77233292999)</f>
        <v>0</v>
      </c>
      <c r="R36" s="62" t="n">
        <f aca="false">COUNTIFS(Данные!$B$2:$B$722,18,Данные!$C$2:$C$722,1,Данные!$A$2:$A$722,"&gt;="&amp;77233297000,Данные!$A$2:$A$722,"&lt;="&amp;77233298399)</f>
        <v>0</v>
      </c>
      <c r="S36" s="62" t="n">
        <f aca="false">COUNTIFS(Данные!$B$2:$B$722,18,Данные!$C$2:$C$722,1,Данные!$A$2:$A$722,"&gt;="&amp;77235124000,Данные!$A$2:$A$722,"&lt;="&amp;77235128499)</f>
        <v>0</v>
      </c>
      <c r="T36" s="62" t="n">
        <f aca="false">COUNTIFS(Данные!$B$2:$B$722,18,Данные!$C$2:$C$722,1,Данные!$A$2:$A$722,"&gt;="&amp;77235320000,Данные!$A$2:$A$722,"&lt;="&amp;77235320999)</f>
        <v>0</v>
      </c>
      <c r="U36" s="62" t="n">
        <f aca="false">COUNTIFS(Данные!$B$2:$B$722,18,Данные!$C$2:$C$722,1,Данные!$A$2:$A$722,"&gt;="&amp;77233620000,Данные!$A$2:$A$722,"&lt;="&amp;77233623339)</f>
        <v>0</v>
      </c>
      <c r="V36" s="62" t="n">
        <f aca="false">COUNTIFS(Данные!$B$2:$B$722,18,Данные!$C$2:$C$722,1,Данные!$A$2:$A$722,"&gt;="&amp;77233630000,Данные!$A$2:$A$722,"&lt;="&amp;77233630999)</f>
        <v>0</v>
      </c>
      <c r="W36" s="62" t="n">
        <f aca="false">COUNTIFS(Данные!$B$2:$B$722,18,Данные!$C$2:$C$722,1,Данные!$A$2:$A$722,"&gt;="&amp;77233637000,Данные!$A$2:$A$722,"&lt;="&amp;77233637599)</f>
        <v>0</v>
      </c>
      <c r="X36" s="62" t="n">
        <f aca="false">COUNTIFS(Данные!$B$2:$B$722,18,Данные!$C$2:$C$722,1,Данные!$A$2:$A$722,"&gt;="&amp;77233550000,Данные!$A$2:$A$722,"&lt;="&amp;77233550999)</f>
        <v>0</v>
      </c>
      <c r="Y36" s="62" t="n">
        <f aca="false">COUNTIFS(Данные!$B$2:$B$722,18,Данные!$C$2:$C$722,1,Данные!$A$2:$A$722,"&gt;="&amp;77233554000,Данные!$A$2:$A$722,"&lt;="&amp;77233554999)</f>
        <v>0</v>
      </c>
      <c r="Z36" s="62" t="n">
        <f aca="false">COUNTIFS(Данные!$B$2:$B$722,18,Данные!$C$2:$C$722,1,Данные!$A$2:$A$722,"&gt;="&amp;77233555000,Данные!$A$2:$A$722,"&lt;="&amp;77233556999)</f>
        <v>0</v>
      </c>
      <c r="AA36" s="62" t="n">
        <f aca="false">COUNTIFS(Данные!$B$2:$B$722,18,Данные!$C$2:$C$722,1,Данные!$A$2:$A$722,"&gt;="&amp;77233726000,Данные!$A$2:$A$722,"&lt;="&amp;77233726999)</f>
        <v>0</v>
      </c>
      <c r="AB36" s="62" t="n">
        <f aca="false">COUNTIFS(Данные!$B$2:$B$722,18,Данные!$C$2:$C$722,1,Данные!$A$2:$A$722,"&gt;="&amp;77233820000,Данные!$A$2:$A$722,"&lt;="&amp;77233820999)</f>
        <v>0</v>
      </c>
      <c r="AC36" s="62" t="n">
        <f aca="false">COUNTIFS(Данные!$B$2:$B$722,18,Данные!$C$2:$C$722,1,Данные!$A$2:$A$722,"&gt;="&amp;77233850000,Данные!$A$2:$A$722,"&lt;="&amp;77233850999)</f>
        <v>0</v>
      </c>
      <c r="AD36" s="62" t="n">
        <f aca="false">COUNTIFS(Данные!$B$2:$B$722,18,Данные!$C$2:$C$722,1,Данные!$A$2:$A$722,"&gt;="&amp;77233420000,Данные!$A$2:$A$722,"&lt;="&amp;77233420999)</f>
        <v>0</v>
      </c>
      <c r="AE36" s="62" t="n">
        <f aca="false">COUNTIFS(Данные!$B$2:$B$722,18,Данные!$C$2:$C$722,1,Данные!$A$2:$A$722,"&gt;="&amp;77234740000,Данные!$A$2:$A$722,"&lt;="&amp;77234742999)</f>
        <v>0</v>
      </c>
      <c r="AF36" s="62" t="n">
        <f aca="false">COUNTIFS(Данные!$B$2:$B$722,18,Данные!$C$2:$C$722,1,Данные!$A$2:$A$722,"&gt;="&amp;77234767000,Данные!$A$2:$A$722,"&lt;="&amp;77234767999)</f>
        <v>0</v>
      </c>
      <c r="AG36" s="62" t="n">
        <f aca="false">COUNTIFS(Данные!$B$2:$B$722,18,Данные!$C$2:$C$722,1,Данные!$A$2:$A$722,"&gt;="&amp;77234120000,Данные!$A$2:$A$722,"&lt;="&amp;77234120999)</f>
        <v>0</v>
      </c>
      <c r="AH36" s="62" t="n">
        <f aca="false">COUNTIFS(Данные!$B$2:$B$722,18,Данные!$C$2:$C$722,1,Данные!$A$2:$A$722,"&gt;="&amp;77234127000,Данные!$A$2:$A$722,"&lt;="&amp;77234127999)</f>
        <v>0</v>
      </c>
      <c r="AI36" s="62" t="n">
        <f aca="false">COUNTIFS(Данные!$B$2:$B$722,18,Данные!$C$2:$C$722,1,Данные!$A$2:$A$722,"&gt;="&amp;77234220000,Данные!$A$2:$A$722,"&lt;="&amp;77234220999)</f>
        <v>0</v>
      </c>
      <c r="AJ36" s="62" t="n">
        <f aca="false">COUNTIFS(Данные!$B$2:$B$722,18,Данные!$C$2:$C$722,1,Данные!$A$2:$A$722,"&gt;="&amp;77234250000,Данные!$A$2:$A$722,"&lt;="&amp;77234250999)</f>
        <v>0</v>
      </c>
      <c r="AK36" s="62" t="n">
        <f aca="false">COUNTIFS(Данные!$B$2:$B$722,18,Данные!$C$2:$C$722,1,Данные!$A$2:$A$722,"&gt;="&amp;77233922950,Данные!$A$2:$A$722,"&lt;="&amp;77233924999)</f>
        <v>0</v>
      </c>
      <c r="AL36" s="62" t="n">
        <f aca="false">COUNTIFS(Данные!$B$2:$B$722,18,Данные!$C$2:$C$722,1,Данные!$A$2:$A$722,"&gt;="&amp;77234320000,Данные!$A$2:$A$722,"&lt;="&amp;77234320999)</f>
        <v>0</v>
      </c>
      <c r="AM36" s="62" t="n">
        <f aca="false">COUNTIFS(Данные!$B$2:$B$722,18,Данные!$C$2:$C$722,1,Данные!$A$2:$A$722,"&gt;="&amp;77234350000,Данные!$A$2:$A$722,"&lt;="&amp;77234350999)</f>
        <v>0</v>
      </c>
      <c r="AN36" s="62" t="n">
        <f aca="false">COUNTIFS(Данные!$B$2:$B$722,18,Данные!$C$2:$C$722,1,Данные!$A$2:$A$722,"&gt;="&amp;77234020000,Данные!$A$2:$A$722,"&lt;="&amp;77234020999)</f>
        <v>0</v>
      </c>
      <c r="AO36" s="62" t="n">
        <f aca="false">COUNTIFS(Данные!$B$2:$B$722,18,Данные!$C$2:$C$722,1,Данные!$A$2:$A$722,"&gt;="&amp;77234029000,Данные!$A$2:$A$722,"&lt;="&amp;77234029999)</f>
        <v>0</v>
      </c>
      <c r="AP36" s="62" t="n">
        <f aca="false">COUNTIFS(Данные!$B$2:$B$722,18,Данные!$C$2:$C$722,1,Данные!$A$2:$A$722,"&gt;="&amp;77234050000,Данные!$A$2:$A$722,"&lt;="&amp;77234050999)</f>
        <v>0</v>
      </c>
      <c r="AQ36" s="62" t="n">
        <f aca="false">COUNTIFS(Данные!$B$2:$B$722,18,Данные!$C$2:$C$722,1,Данные!$A$2:$A$722,"&gt;="&amp;77234427000,Данные!$A$2:$A$722,"&lt;="&amp;77234428999)</f>
        <v>0</v>
      </c>
      <c r="AR36" s="62" t="n">
        <f aca="false">COUNTIFS(Данные!$B$2:$B$722,18,Данные!$C$2:$C$722,1,Данные!$A$2:$A$722,"&gt;="&amp;77234450000,Данные!$A$2:$A$722,"&lt;="&amp;77234450999)</f>
        <v>0</v>
      </c>
      <c r="AS36" s="62" t="n">
        <f aca="false">COUNTIFS(Данные!$B$2:$B$722,18,Данные!$C$2:$C$722,1,Данные!$A$2:$A$722,"&gt;="&amp;77234620000,Данные!$A$2:$A$722,"&lt;="&amp;77234620999)</f>
        <v>0</v>
      </c>
      <c r="AT36" s="62" t="n">
        <f aca="false">COUNTIFS(Данные!$B$2:$B$722,18,Данные!$C$2:$C$722,1,Данные!$A$2:$A$722,"&gt;="&amp;77234650000,Данные!$A$2:$A$722,"&lt;="&amp;77234650999)</f>
        <v>0</v>
      </c>
      <c r="AU36" s="62" t="n">
        <f aca="false">COUNTIFS(Данные!$B$2:$B$722,18,Данные!$C$2:$C$722,1,Данные!$A$2:$A$722,"&gt;="&amp;77234820000,Данные!$A$2:$A$722,"&lt;="&amp;77234820999)</f>
        <v>0</v>
      </c>
      <c r="AV36" s="62" t="n">
        <f aca="false">COUNTIFS(Данные!$B$2:$B$722,18,Данные!$C$2:$C$722,1,Данные!$A$2:$A$722,"&gt;="&amp;77234850000,Данные!$A$2:$A$722,"&lt;="&amp;77234850999)</f>
        <v>0</v>
      </c>
      <c r="AW36" s="62" t="n">
        <f aca="false">COUNTIFS(Данные!$B$2:$B$722,18,Данные!$C$2:$C$722,1,Данные!$A$2:$A$722,"&gt;="&amp;77233327000,Данные!$A$2:$A$722,"&lt;="&amp;77233327999)</f>
        <v>0</v>
      </c>
      <c r="AX36" s="62" t="n">
        <f aca="false">COUNTIFS(Данные!$B$2:$B$722,18,Данные!$C$2:$C$722,1,Данные!$A$2:$A$722,"&gt;="&amp;77233350000,Данные!$A$2:$A$722,"&lt;="&amp;77233350599)</f>
        <v>0</v>
      </c>
      <c r="AY36" s="62" t="n">
        <f aca="false">COUNTIFS(Данные!$B$2:$B$722,18,Данные!$C$2:$C$722,1,Данные!$A$2:$A$722,"&gt;="&amp;77233351000,Данные!$A$2:$A$722,"&lt;="&amp;77233351999)</f>
        <v>0</v>
      </c>
      <c r="AZ36" s="63" t="n">
        <f aca="false">COUNTIFS(Данные!$B$2:$B$722,18,Данные!$C$2:$C$722,1,Данные!$A$2:$A$722,"&gt;="&amp;7722440000,Данные!$A$2:$A$722,"&lt;="&amp;7722440999)</f>
        <v>0</v>
      </c>
      <c r="BA36" s="63" t="n">
        <f aca="false">COUNTIFS(Данные!$B$2:$B$722,18,Данные!$C$2:$C$722,1,Данные!$A$2:$A$722,"&gt;="&amp;7722442000,Данные!$A$2:$A$722,"&lt;="&amp;7722445659)</f>
        <v>0</v>
      </c>
      <c r="BB36" s="63" t="n">
        <f aca="false">COUNTIFS(Данные!$B$2:$B$722,18,Данные!$C$2:$C$722,1,Данные!$A$2:$A$722,"&gt;="&amp;7722450000,Данные!$A$2:$A$722,"&lt;="&amp;7722450199)</f>
        <v>0</v>
      </c>
      <c r="BC36" s="63" t="n">
        <f aca="false">COUNTIFS(Данные!$B$2:$B$722,18,Данные!$C$2:$C$722,1,Данные!$A$2:$A$722,"&gt;="&amp;7722451000,Данные!$A$2:$A$722,"&lt;="&amp;7722451374)</f>
        <v>0</v>
      </c>
      <c r="BD36" s="63" t="n">
        <f aca="false">COUNTIFS(Данные!$B$2:$B$722,18,Данные!$C$2:$C$722,1,Данные!$A$2:$A$722,"&gt;="&amp;7722452000,Данные!$A$2:$A$722,"&lt;="&amp;7722452299)</f>
        <v>0</v>
      </c>
      <c r="BE36" s="63" t="n">
        <f aca="false">COUNTIFS(Данные!$B$2:$B$722,18,Данные!$C$2:$C$722,1,Данные!$A$2:$A$722,"&gt;="&amp;7722453000,Данные!$A$2:$A$722,"&lt;="&amp;7722453816)</f>
        <v>0</v>
      </c>
      <c r="BF36" s="63" t="n">
        <f aca="false">COUNTIFS(Данные!$B$2:$B$722,18,Данные!$C$2:$C$722,1,Данные!$A$2:$A$722,"&gt;="&amp;7722454000,Данные!$A$2:$A$722,"&lt;="&amp;7722454099)</f>
        <v>0</v>
      </c>
      <c r="BG36" s="63" t="n">
        <f aca="false">COUNTIFS(Данные!$B$2:$B$722,18,Данные!$C$2:$C$722,1,Данные!$A$2:$A$722,"&gt;="&amp;7722458000,Данные!$A$2:$A$722,"&lt;="&amp;7722458999)</f>
        <v>0</v>
      </c>
      <c r="BH36" s="63" t="n">
        <f aca="false">COUNTIFS(Данные!$B$2:$B$722,18,Данные!$C$2:$C$722,1,Данные!$A$2:$A$722,"&gt;="&amp;7722630000,Данные!$A$2:$A$722,"&lt;="&amp;7722638549)</f>
        <v>0</v>
      </c>
      <c r="BI36" s="63" t="n">
        <f aca="false">COUNTIFS(Данные!$B$2:$B$722,18,Данные!$C$2:$C$722,1,Данные!$A$2:$A$722,"&gt;="&amp;7722639400,Данные!$A$2:$A$722,"&lt;="&amp;7722639899)</f>
        <v>0</v>
      </c>
      <c r="BJ36" s="63" t="n">
        <f aca="false">COUNTIFS(Данные!$B$2:$B$722,18,Данные!$C$2:$C$722,1,Данные!$A$2:$A$722,"&gt;="&amp;7725750000,Данные!$A$2:$A$722,"&lt;="&amp;7725750399)</f>
        <v>0</v>
      </c>
      <c r="BK36" s="63" t="n">
        <f aca="false">COUNTIFS(Данные!$B$2:$B$722,18,Данные!$C$2:$C$722,1,Данные!$A$2:$A$722,"&gt;="&amp;7723620000,Данные!$A$2:$A$722,"&lt;="&amp;7723621299)</f>
        <v>0</v>
      </c>
      <c r="BL36" s="63" t="n">
        <f aca="false">COUNTIFS(Данные!$B$2:$B$722,18,Данные!$C$2:$C$722,1,Данные!$A$2:$A$722,"&gt;="&amp;7723621600,Данные!$A$2:$A$722,"&lt;="&amp;7723623399)</f>
        <v>0</v>
      </c>
      <c r="BM36" s="63" t="n">
        <f aca="false">COUNTIFS(Данные!$B$2:$B$722,18,Данные!$C$2:$C$722,1,Данные!$A$2:$A$722,"&gt;="&amp;7725127000,Данные!$A$2:$A$722,"&lt;="&amp;7725127999)</f>
        <v>0</v>
      </c>
      <c r="BN36" s="63" t="n">
        <f aca="false">COUNTIFS(Данные!$B$2:$B$722,18,Данные!$C$2:$C$722,1,Данные!$A$2:$A$722,"&gt;="&amp;7723772000,Данные!$A$2:$A$722,"&lt;="&amp;7723724999)</f>
        <v>0</v>
      </c>
      <c r="BO36" s="62" t="n">
        <f aca="false">COUNTIFS(Данные!$B$2:$B$722,18,Данные!$C$2:$C$722,1,Данные!$A$2:$A$722,"&gt;="&amp;7723765000,Данные!$A$2:$A$722,"&lt;="&amp;7723765499)</f>
        <v>0</v>
      </c>
      <c r="BP36" s="63" t="n">
        <f aca="false">COUNTIFS(Данные!$B$2:$B$722,18,Данные!$C$2:$C$722,1,Данные!$A$2:$A$722,"&gt;="&amp;7723948000,Данные!$A$2:$A$722,"&lt;="&amp;7723948999)</f>
        <v>0</v>
      </c>
      <c r="BQ36" s="63" t="n">
        <f aca="false">COUNTIFS(Данные!$B$2:$B$722,18,Данные!$C$2:$C$722,1,Данные!$A$2:$A$722,"&gt;="&amp;7723950000,Данные!$A$2:$A$722,"&lt;="&amp;7723951099)</f>
        <v>0</v>
      </c>
      <c r="BR36" s="63" t="n">
        <f aca="false">COUNTIFS(Данные!$B$2:$B$722,18,Данные!$C$2:$C$722,1,Данные!$A$2:$A$722,"&gt;="&amp;7723020000,Данные!$A$2:$A$722,"&lt;="&amp;7723020999)</f>
        <v>0</v>
      </c>
      <c r="BS36" s="63" t="n">
        <f aca="false">COUNTIFS(Данные!$B$2:$B$722,18,Данные!$C$2:$C$722,1,Данные!$A$2:$A$722,"&gt;="&amp;7723029000,Данные!$A$2:$A$722,"&lt;="&amp;7723029999)</f>
        <v>0</v>
      </c>
      <c r="BT36" s="63" t="n">
        <f aca="false">COUNTIFS(Данные!$B$2:$B$722,18,Данные!$C$2:$C$722,1,Данные!$A$2:$A$722,"&gt;="&amp;7723055000,Данные!$A$2:$A$722,"&lt;="&amp;7723056549)</f>
        <v>0</v>
      </c>
      <c r="BU36" s="62" t="n">
        <f aca="false">COUNTIFS(Данные!$B$2:$B$722,18,Данные!$C$2:$C$722,1,Данные!$A$2:$A$722,"&gt;="&amp;7725250000,Данные!$A$2:$A$722,"&lt;="&amp;7725250499)</f>
        <v>0</v>
      </c>
      <c r="BV36" s="63" t="n">
        <f aca="false">COUNTIFS(Данные!$B$2:$B$722,18,Данные!$C$2:$C$722,1,Данные!$A$2:$A$722,"&gt;="&amp;7183841400,Данные!$A$2:$A$722,"&lt;="&amp;7183841499)</f>
        <v>0</v>
      </c>
      <c r="BW36" s="40" t="n">
        <v>300</v>
      </c>
      <c r="BX36" s="64" t="n">
        <f aca="false">F36-BW36</f>
        <v>-300</v>
      </c>
    </row>
    <row r="37" s="15" customFormat="true" ht="12" hidden="false" customHeight="true" outlineLevel="0" collapsed="false">
      <c r="A37" s="38"/>
      <c r="B37" s="39"/>
      <c r="C37" s="41" t="n">
        <v>2</v>
      </c>
      <c r="D37" s="41" t="n">
        <v>182</v>
      </c>
      <c r="E37" s="42"/>
      <c r="F37" s="62" t="n">
        <f aca="false">COUNTIFS(Данные!$B$2:$B$722,18,Данные!$C$2:$C$722,2)</f>
        <v>0</v>
      </c>
      <c r="G37" s="62" t="n">
        <f aca="false">COUNTIFS(Данные!$B$2:$B$722,18,Данные!$C$2:$C$722,2,Данные!$A$2:$A$722,"&gt;="&amp;77232210840,Данные!$A$2:$A$722,"&lt;="&amp;77232216999)</f>
        <v>0</v>
      </c>
      <c r="H37" s="62" t="n">
        <f aca="false">COUNTIFS(Данные!$B$2:$B$722,18,Данные!$C$2:$C$722,2,Данные!$A$2:$A$722,"&gt;="&amp;77232510512,Данные!$A$2:$A$722,"&lt;="&amp;77232519487)</f>
        <v>0</v>
      </c>
      <c r="I37" s="62" t="n">
        <f aca="false">COUNTIFS(Данные!$B$2:$B$722,18,Данные!$C$2:$C$722,2,Данные!$A$2:$A$722,"&gt;="&amp;77232524160,Данные!$A$2:$A$722,"&lt;="&amp;77232529999)</f>
        <v>0</v>
      </c>
      <c r="J37" s="62" t="n">
        <f aca="false">COUNTIFS(Данные!$B$2:$B$722,18,Данные!$C$2:$C$722,2,Данные!$A$2:$A$722,"&gt;="&amp;77232544000,Данные!$A$2:$A$722,"&lt;="&amp;77232544999)</f>
        <v>0</v>
      </c>
      <c r="K37" s="62" t="n">
        <f aca="false">COUNTIFS(Данные!$B$2:$B$722,18,Данные!$C$2:$C$722,2,Данные!$A$2:$A$722,"&gt;="&amp;77232295504,Данные!$A$2:$A$722,"&lt;="&amp;77232296999)</f>
        <v>0</v>
      </c>
      <c r="L37" s="62" t="n">
        <f aca="false">COUNTIFS(Данные!$B$2:$B$722,18,Данные!$C$2:$C$722,2,Данные!$A$2:$A$722,"&gt;="&amp;77232785000,Данные!$A$2:$A$722,"&lt;="&amp;77232789999)</f>
        <v>0</v>
      </c>
      <c r="M37" s="62" t="n">
        <f aca="false">COUNTIFS(Данные!$B$2:$B$722,18,Данные!$C$2:$C$722,2,Данные!$A$2:$A$722,"&gt;="&amp;77233150000,Данные!$A$2:$A$722,"&lt;="&amp;77233155999)</f>
        <v>0</v>
      </c>
      <c r="N37" s="62" t="n">
        <f aca="false">COUNTIFS(Данные!$B$2:$B$722,18,Данные!$C$2:$C$722,2,Данные!$A$2:$A$722,"&gt;="&amp;77233235000,Данные!$A$2:$A$722,"&lt;="&amp;77233235999)</f>
        <v>0</v>
      </c>
      <c r="O37" s="62" t="n">
        <f aca="false">COUNTIFS(Данные!$B$2:$B$722,18,Данные!$C$2:$C$722,2,Данные!$A$2:$A$722,"&gt;="&amp;77233239000,Данные!$A$2:$A$722,"&lt;="&amp;77233239999)</f>
        <v>0</v>
      </c>
      <c r="P37" s="62" t="n">
        <f aca="false">COUNTIFS(Данные!$B$2:$B$722,18,Данные!$C$2:$C$722,2,Данные!$A$2:$A$722,"&gt;="&amp;77233272000,Данные!$A$2:$A$722,"&lt;="&amp;77233272999)</f>
        <v>0</v>
      </c>
      <c r="Q37" s="62" t="n">
        <f aca="false">COUNTIFS(Данные!$B$2:$B$722,18,Данные!$C$2:$C$722,2,Данные!$A$2:$A$722,"&gt;="&amp;77233291100,Данные!$A$2:$A$722,"&lt;="&amp;77233292999)</f>
        <v>0</v>
      </c>
      <c r="R37" s="62" t="n">
        <f aca="false">COUNTIFS(Данные!$B$2:$B$722,18,Данные!$C$2:$C$722,2,Данные!$A$2:$A$722,"&gt;="&amp;77233297000,Данные!$A$2:$A$722,"&lt;="&amp;77233298399)</f>
        <v>0</v>
      </c>
      <c r="S37" s="62" t="n">
        <f aca="false">COUNTIFS(Данные!$B$2:$B$722,18,Данные!$C$2:$C$722,2,Данные!$A$2:$A$722,"&gt;="&amp;77235124000,Данные!$A$2:$A$722,"&lt;="&amp;77235128499)</f>
        <v>0</v>
      </c>
      <c r="T37" s="62" t="n">
        <f aca="false">COUNTIFS(Данные!$B$2:$B$722,18,Данные!$C$2:$C$722,2,Данные!$A$2:$A$722,"&gt;="&amp;77235320000,Данные!$A$2:$A$722,"&lt;="&amp;77235320999)</f>
        <v>0</v>
      </c>
      <c r="U37" s="62" t="n">
        <f aca="false">COUNTIFS(Данные!$B$2:$B$722,18,Данные!$C$2:$C$722,2,Данные!$A$2:$A$722,"&gt;="&amp;77233620000,Данные!$A$2:$A$722,"&lt;="&amp;77233623339)</f>
        <v>0</v>
      </c>
      <c r="V37" s="62" t="n">
        <f aca="false">COUNTIFS(Данные!$B$2:$B$722,18,Данные!$C$2:$C$722,2,Данные!$A$2:$A$722,"&gt;="&amp;77233630000,Данные!$A$2:$A$722,"&lt;="&amp;77233630999)</f>
        <v>0</v>
      </c>
      <c r="W37" s="62" t="n">
        <f aca="false">COUNTIFS(Данные!$B$2:$B$722,18,Данные!$C$2:$C$722,2,Данные!$A$2:$A$722,"&gt;="&amp;77233637000,Данные!$A$2:$A$722,"&lt;="&amp;77233637599)</f>
        <v>0</v>
      </c>
      <c r="X37" s="62" t="n">
        <f aca="false">COUNTIFS(Данные!$B$2:$B$722,18,Данные!$C$2:$C$722,2,Данные!$A$2:$A$722,"&gt;="&amp;77233550000,Данные!$A$2:$A$722,"&lt;="&amp;77233550999)</f>
        <v>0</v>
      </c>
      <c r="Y37" s="62" t="n">
        <f aca="false">COUNTIFS(Данные!$B$2:$B$722,18,Данные!$C$2:$C$722,2,Данные!$A$2:$A$722,"&gt;="&amp;77233554000,Данные!$A$2:$A$722,"&lt;="&amp;77233554999)</f>
        <v>0</v>
      </c>
      <c r="Z37" s="62" t="n">
        <f aca="false">COUNTIFS(Данные!$B$2:$B$722,18,Данные!$C$2:$C$722,2,Данные!$A$2:$A$722,"&gt;="&amp;77233555000,Данные!$A$2:$A$722,"&lt;="&amp;77233556999)</f>
        <v>0</v>
      </c>
      <c r="AA37" s="62" t="n">
        <f aca="false">COUNTIFS(Данные!$B$2:$B$722,18,Данные!$C$2:$C$722,2,Данные!$A$2:$A$722,"&gt;="&amp;77233726000,Данные!$A$2:$A$722,"&lt;="&amp;77233726999)</f>
        <v>0</v>
      </c>
      <c r="AB37" s="62" t="n">
        <f aca="false">COUNTIFS(Данные!$B$2:$B$722,18,Данные!$C$2:$C$722,2,Данные!$A$2:$A$722,"&gt;="&amp;77233820000,Данные!$A$2:$A$722,"&lt;="&amp;77233820999)</f>
        <v>0</v>
      </c>
      <c r="AC37" s="62" t="n">
        <f aca="false">COUNTIFS(Данные!$B$2:$B$722,18,Данные!$C$2:$C$722,2,Данные!$A$2:$A$722,"&gt;="&amp;77233850000,Данные!$A$2:$A$722,"&lt;="&amp;77233850999)</f>
        <v>0</v>
      </c>
      <c r="AD37" s="62" t="n">
        <f aca="false">COUNTIFS(Данные!$B$2:$B$722,18,Данные!$C$2:$C$722,2,Данные!$A$2:$A$722,"&gt;="&amp;77233420000,Данные!$A$2:$A$722,"&lt;="&amp;77233420999)</f>
        <v>0</v>
      </c>
      <c r="AE37" s="62" t="n">
        <f aca="false">COUNTIFS(Данные!$B$2:$B$722,18,Данные!$C$2:$C$722,2,Данные!$A$2:$A$722,"&gt;="&amp;77234740000,Данные!$A$2:$A$722,"&lt;="&amp;77234742999)</f>
        <v>0</v>
      </c>
      <c r="AF37" s="62" t="n">
        <f aca="false">COUNTIFS(Данные!$B$2:$B$722,18,Данные!$C$2:$C$722,2,Данные!$A$2:$A$722,"&gt;="&amp;77234767000,Данные!$A$2:$A$722,"&lt;="&amp;77234767999)</f>
        <v>0</v>
      </c>
      <c r="AG37" s="62" t="n">
        <f aca="false">COUNTIFS(Данные!$B$2:$B$722,18,Данные!$C$2:$C$722,2,Данные!$A$2:$A$722,"&gt;="&amp;77234120000,Данные!$A$2:$A$722,"&lt;="&amp;77234120999)</f>
        <v>0</v>
      </c>
      <c r="AH37" s="62" t="n">
        <f aca="false">COUNTIFS(Данные!$B$2:$B$722,18,Данные!$C$2:$C$722,2,Данные!$A$2:$A$722,"&gt;="&amp;77234127000,Данные!$A$2:$A$722,"&lt;="&amp;77234127999)</f>
        <v>0</v>
      </c>
      <c r="AI37" s="62" t="n">
        <f aca="false">COUNTIFS(Данные!$B$2:$B$722,18,Данные!$C$2:$C$722,2,Данные!$A$2:$A$722,"&gt;="&amp;77234220000,Данные!$A$2:$A$722,"&lt;="&amp;77234220999)</f>
        <v>0</v>
      </c>
      <c r="AJ37" s="62" t="n">
        <f aca="false">COUNTIFS(Данные!$B$2:$B$722,18,Данные!$C$2:$C$722,2,Данные!$A$2:$A$722,"&gt;="&amp;77234250000,Данные!$A$2:$A$722,"&lt;="&amp;77234250999)</f>
        <v>0</v>
      </c>
      <c r="AK37" s="62" t="n">
        <f aca="false">COUNTIFS(Данные!$B$2:$B$722,18,Данные!$C$2:$C$722,2,Данные!$A$2:$A$722,"&gt;="&amp;77233922950,Данные!$A$2:$A$722,"&lt;="&amp;77233924999)</f>
        <v>0</v>
      </c>
      <c r="AL37" s="62" t="n">
        <f aca="false">COUNTIFS(Данные!$B$2:$B$722,18,Данные!$C$2:$C$722,2,Данные!$A$2:$A$722,"&gt;="&amp;77234320000,Данные!$A$2:$A$722,"&lt;="&amp;77234320999)</f>
        <v>0</v>
      </c>
      <c r="AM37" s="62" t="n">
        <f aca="false">COUNTIFS(Данные!$B$2:$B$722,18,Данные!$C$2:$C$722,2,Данные!$A$2:$A$722,"&gt;="&amp;77234350000,Данные!$A$2:$A$722,"&lt;="&amp;77234350999)</f>
        <v>0</v>
      </c>
      <c r="AN37" s="62" t="n">
        <f aca="false">COUNTIFS(Данные!$B$2:$B$722,18,Данные!$C$2:$C$722,2,Данные!$A$2:$A$722,"&gt;="&amp;77234020000,Данные!$A$2:$A$722,"&lt;="&amp;77234020999)</f>
        <v>0</v>
      </c>
      <c r="AO37" s="62" t="n">
        <f aca="false">COUNTIFS(Данные!$B$2:$B$722,18,Данные!$C$2:$C$722,2,Данные!$A$2:$A$722,"&gt;="&amp;77234029000,Данные!$A$2:$A$722,"&lt;="&amp;77234029999)</f>
        <v>0</v>
      </c>
      <c r="AP37" s="62" t="n">
        <f aca="false">COUNTIFS(Данные!$B$2:$B$722,18,Данные!$C$2:$C$722,2,Данные!$A$2:$A$722,"&gt;="&amp;77234050000,Данные!$A$2:$A$722,"&lt;="&amp;77234050999)</f>
        <v>0</v>
      </c>
      <c r="AQ37" s="62" t="n">
        <f aca="false">COUNTIFS(Данные!$B$2:$B$722,18,Данные!$C$2:$C$722,2,Данные!$A$2:$A$722,"&gt;="&amp;77234427000,Данные!$A$2:$A$722,"&lt;="&amp;77234428999)</f>
        <v>0</v>
      </c>
      <c r="AR37" s="62" t="n">
        <f aca="false">COUNTIFS(Данные!$B$2:$B$722,18,Данные!$C$2:$C$722,2,Данные!$A$2:$A$722,"&gt;="&amp;77234450000,Данные!$A$2:$A$722,"&lt;="&amp;77234450999)</f>
        <v>0</v>
      </c>
      <c r="AS37" s="62" t="n">
        <f aca="false">COUNTIFS(Данные!$B$2:$B$722,18,Данные!$C$2:$C$722,2,Данные!$A$2:$A$722,"&gt;="&amp;77234620000,Данные!$A$2:$A$722,"&lt;="&amp;77234620999)</f>
        <v>0</v>
      </c>
      <c r="AT37" s="62" t="n">
        <f aca="false">COUNTIFS(Данные!$B$2:$B$722,18,Данные!$C$2:$C$722,2,Данные!$A$2:$A$722,"&gt;="&amp;77234650000,Данные!$A$2:$A$722,"&lt;="&amp;77234650999)</f>
        <v>0</v>
      </c>
      <c r="AU37" s="62" t="n">
        <f aca="false">COUNTIFS(Данные!$B$2:$B$722,18,Данные!$C$2:$C$722,2,Данные!$A$2:$A$722,"&gt;="&amp;77234820000,Данные!$A$2:$A$722,"&lt;="&amp;77234820999)</f>
        <v>0</v>
      </c>
      <c r="AV37" s="62" t="n">
        <f aca="false">COUNTIFS(Данные!$B$2:$B$722,18,Данные!$C$2:$C$722,2,Данные!$A$2:$A$722,"&gt;="&amp;77234850000,Данные!$A$2:$A$722,"&lt;="&amp;77234850999)</f>
        <v>0</v>
      </c>
      <c r="AW37" s="62" t="n">
        <f aca="false">COUNTIFS(Данные!$B$2:$B$722,18,Данные!$C$2:$C$722,2,Данные!$A$2:$A$722,"&gt;="&amp;77233327000,Данные!$A$2:$A$722,"&lt;="&amp;77233327999)</f>
        <v>0</v>
      </c>
      <c r="AX37" s="62" t="n">
        <f aca="false">COUNTIFS(Данные!$B$2:$B$722,18,Данные!$C$2:$C$722,2,Данные!$A$2:$A$722,"&gt;="&amp;77233350000,Данные!$A$2:$A$722,"&lt;="&amp;77233350599)</f>
        <v>0</v>
      </c>
      <c r="AY37" s="62" t="n">
        <f aca="false">COUNTIFS(Данные!$B$2:$B$722,18,Данные!$C$2:$C$722,2,Данные!$A$2:$A$722,"&gt;="&amp;77233351000,Данные!$A$2:$A$722,"&lt;="&amp;77233351999)</f>
        <v>0</v>
      </c>
      <c r="AZ37" s="63" t="n">
        <f aca="false">COUNTIFS(Данные!$B$2:$B$722,18,Данные!$C$2:$C$722,2,Данные!$A$2:$A$722,"&gt;="&amp;7722440000,Данные!$A$2:$A$722,"&lt;="&amp;7722440999)</f>
        <v>0</v>
      </c>
      <c r="BA37" s="63" t="n">
        <f aca="false">COUNTIFS(Данные!$B$2:$B$722,18,Данные!$C$2:$C$722,2,Данные!$A$2:$A$722,"&gt;="&amp;7722442000,Данные!$A$2:$A$722,"&lt;="&amp;7722445659)</f>
        <v>0</v>
      </c>
      <c r="BB37" s="63" t="n">
        <f aca="false">COUNTIFS(Данные!$B$2:$B$722,18,Данные!$C$2:$C$722,2,Данные!$A$2:$A$722,"&gt;="&amp;7722450000,Данные!$A$2:$A$722,"&lt;="&amp;7722450199)</f>
        <v>0</v>
      </c>
      <c r="BC37" s="63" t="n">
        <f aca="false">COUNTIFS(Данные!$B$2:$B$722,18,Данные!$C$2:$C$722,2,Данные!$A$2:$A$722,"&gt;="&amp;7722451000,Данные!$A$2:$A$722,"&lt;="&amp;7722451374)</f>
        <v>0</v>
      </c>
      <c r="BD37" s="63" t="n">
        <f aca="false">COUNTIFS(Данные!$B$2:$B$722,18,Данные!$C$2:$C$722,2,Данные!$A$2:$A$722,"&gt;="&amp;7722452000,Данные!$A$2:$A$722,"&lt;="&amp;7722452299)</f>
        <v>0</v>
      </c>
      <c r="BE37" s="63" t="n">
        <f aca="false">COUNTIFS(Данные!$B$2:$B$722,18,Данные!$C$2:$C$722,2,Данные!$A$2:$A$722,"&gt;="&amp;7722453000,Данные!$A$2:$A$722,"&lt;="&amp;7722453816)</f>
        <v>0</v>
      </c>
      <c r="BF37" s="63" t="n">
        <f aca="false">COUNTIFS(Данные!$B$2:$B$722,18,Данные!$C$2:$C$722,2,Данные!$A$2:$A$722,"&gt;="&amp;7722454000,Данные!$A$2:$A$722,"&lt;="&amp;7722454099)</f>
        <v>0</v>
      </c>
      <c r="BG37" s="63" t="n">
        <f aca="false">COUNTIFS(Данные!$B$2:$B$722,18,Данные!$C$2:$C$722,2,Данные!$A$2:$A$722,"&gt;="&amp;7722458000,Данные!$A$2:$A$722,"&lt;="&amp;7722458999)</f>
        <v>0</v>
      </c>
      <c r="BH37" s="63" t="n">
        <f aca="false">COUNTIFS(Данные!$B$2:$B$722,18,Данные!$C$2:$C$722,2,Данные!$A$2:$A$722,"&gt;="&amp;7722630000,Данные!$A$2:$A$722,"&lt;="&amp;7722638549)</f>
        <v>0</v>
      </c>
      <c r="BI37" s="63" t="n">
        <f aca="false">COUNTIFS(Данные!$B$2:$B$722,18,Данные!$C$2:$C$722,2,Данные!$A$2:$A$722,"&gt;="&amp;7722639400,Данные!$A$2:$A$722,"&lt;="&amp;7722639899)</f>
        <v>0</v>
      </c>
      <c r="BJ37" s="63" t="n">
        <f aca="false">COUNTIFS(Данные!$B$2:$B$722,18,Данные!$C$2:$C$722,2,Данные!$A$2:$A$722,"&gt;="&amp;7725750000,Данные!$A$2:$A$722,"&lt;="&amp;7725750399)</f>
        <v>0</v>
      </c>
      <c r="BK37" s="63" t="n">
        <f aca="false">COUNTIFS(Данные!$B$2:$B$722,18,Данные!$C$2:$C$722,2,Данные!$A$2:$A$722,"&gt;="&amp;7723620000,Данные!$A$2:$A$722,"&lt;="&amp;7723621299)</f>
        <v>0</v>
      </c>
      <c r="BL37" s="63" t="n">
        <f aca="false">COUNTIFS(Данные!$B$2:$B$722,18,Данные!$C$2:$C$722,2,Данные!$A$2:$A$722,"&gt;="&amp;7723621600,Данные!$A$2:$A$722,"&lt;="&amp;7723623399)</f>
        <v>0</v>
      </c>
      <c r="BM37" s="63" t="n">
        <f aca="false">COUNTIFS(Данные!$B$2:$B$722,18,Данные!$C$2:$C$722,2,Данные!$A$2:$A$722,"&gt;="&amp;7725127000,Данные!$A$2:$A$722,"&lt;="&amp;7725127999)</f>
        <v>0</v>
      </c>
      <c r="BN37" s="63" t="n">
        <f aca="false">COUNTIFS(Данные!$B$2:$B$722,18,Данные!$C$2:$C$722,2,Данные!$A$2:$A$722,"&gt;="&amp;7723772000,Данные!$A$2:$A$722,"&lt;="&amp;7723724999)</f>
        <v>0</v>
      </c>
      <c r="BO37" s="62" t="n">
        <f aca="false">COUNTIFS(Данные!$B$2:$B$722,18,Данные!$C$2:$C$722,2,Данные!$A$2:$A$722,"&gt;="&amp;7723765000,Данные!$A$2:$A$722,"&lt;="&amp;7723765499)</f>
        <v>0</v>
      </c>
      <c r="BP37" s="63" t="n">
        <f aca="false">COUNTIFS(Данные!$B$2:$B$722,18,Данные!$C$2:$C$722,2,Данные!$A$2:$A$722,"&gt;="&amp;7723948000,Данные!$A$2:$A$722,"&lt;="&amp;7723948999)</f>
        <v>0</v>
      </c>
      <c r="BQ37" s="63" t="n">
        <f aca="false">COUNTIFS(Данные!$B$2:$B$722,18,Данные!$C$2:$C$722,2,Данные!$A$2:$A$722,"&gt;="&amp;7723950000,Данные!$A$2:$A$722,"&lt;="&amp;7723951099)</f>
        <v>0</v>
      </c>
      <c r="BR37" s="63" t="n">
        <f aca="false">COUNTIFS(Данные!$B$2:$B$722,18,Данные!$C$2:$C$722,2,Данные!$A$2:$A$722,"&gt;="&amp;7723020000,Данные!$A$2:$A$722,"&lt;="&amp;7723020999)</f>
        <v>0</v>
      </c>
      <c r="BS37" s="63" t="n">
        <f aca="false">COUNTIFS(Данные!$B$2:$B$722,18,Данные!$C$2:$C$722,2,Данные!$A$2:$A$722,"&gt;="&amp;7723029000,Данные!$A$2:$A$722,"&lt;="&amp;7723029999)</f>
        <v>0</v>
      </c>
      <c r="BT37" s="63" t="n">
        <f aca="false">COUNTIFS(Данные!$B$2:$B$722,18,Данные!$C$2:$C$722,2,Данные!$A$2:$A$722,"&gt;="&amp;7723055000,Данные!$A$2:$A$722,"&lt;="&amp;7723056549)</f>
        <v>0</v>
      </c>
      <c r="BU37" s="62" t="n">
        <f aca="false">COUNTIFS(Данные!$B$2:$B$722,18,Данные!$C$2:$C$722,2,Данные!$A$2:$A$722,"&gt;="&amp;7725250000,Данные!$A$2:$A$722,"&lt;="&amp;7725250499)</f>
        <v>0</v>
      </c>
      <c r="BV37" s="63" t="n">
        <f aca="false">COUNTIFS(Данные!$B$2:$B$722,18,Данные!$C$2:$C$722,2,Данные!$A$2:$A$722,"&gt;="&amp;7183841400,Данные!$A$2:$A$722,"&lt;="&amp;7183841499)</f>
        <v>0</v>
      </c>
      <c r="BW37" s="40" t="n">
        <v>300</v>
      </c>
      <c r="BX37" s="64" t="n">
        <f aca="false">F37-BW37</f>
        <v>-300</v>
      </c>
    </row>
    <row r="38" s="15" customFormat="true" ht="12" hidden="false" customHeight="true" outlineLevel="0" collapsed="false">
      <c r="A38" s="47" t="n">
        <v>19</v>
      </c>
      <c r="B38" s="48" t="s">
        <v>72</v>
      </c>
      <c r="C38" s="50" t="n">
        <v>0</v>
      </c>
      <c r="D38" s="50" t="n">
        <v>190</v>
      </c>
      <c r="E38" s="51" t="n">
        <f aca="false">SUM(F38:F40)</f>
        <v>116</v>
      </c>
      <c r="F38" s="65" t="n">
        <f aca="false">COUNTIFS(Данные!$B$2:$B$722,19,Данные!$C$2:$C$722,0)</f>
        <v>11</v>
      </c>
      <c r="G38" s="65" t="n">
        <f aca="false">COUNTIFS(Данные!$B$2:$B$722,19,Данные!$C$2:$C$722,0,Данные!$A$2:$A$722,"&gt;="&amp;77232210840,Данные!$A$2:$A$722,"&lt;="&amp;77232216999)</f>
        <v>0</v>
      </c>
      <c r="H38" s="65" t="n">
        <f aca="false">COUNTIFS(Данные!$B$2:$B$722,19,Данные!$C$2:$C$722,0,Данные!$A$2:$A$722,"&gt;="&amp;77232510512,Данные!$A$2:$A$722,"&lt;="&amp;77232519487)</f>
        <v>0</v>
      </c>
      <c r="I38" s="65" t="n">
        <f aca="false">COUNTIFS(Данные!$B$2:$B$722,19,Данные!$C$2:$C$722,0,Данные!$A$2:$A$722,"&gt;="&amp;77232524160,Данные!$A$2:$A$722,"&lt;="&amp;77232529999)</f>
        <v>0</v>
      </c>
      <c r="J38" s="65" t="n">
        <f aca="false">COUNTIFS(Данные!$B$2:$B$722,19,Данные!$C$2:$C$722,0,Данные!$A$2:$A$722,"&gt;="&amp;77232544000,Данные!$A$2:$A$722,"&lt;="&amp;77232544999)</f>
        <v>0</v>
      </c>
      <c r="K38" s="65" t="n">
        <f aca="false">COUNTIFS(Данные!$B$2:$B$722,19,Данные!$C$2:$C$722,0,Данные!$A$2:$A$722,"&gt;="&amp;77232295504,Данные!$A$2:$A$722,"&lt;="&amp;77232296999)</f>
        <v>0</v>
      </c>
      <c r="L38" s="65" t="n">
        <f aca="false">COUNTIFS(Данные!$B$2:$B$722,19,Данные!$C$2:$C$722,0,Данные!$A$2:$A$722,"&gt;="&amp;77232785000,Данные!$A$2:$A$722,"&lt;="&amp;77232789999)</f>
        <v>0</v>
      </c>
      <c r="M38" s="65" t="n">
        <f aca="false">COUNTIFS(Данные!$B$2:$B$722,19,Данные!$C$2:$C$722,0,Данные!$A$2:$A$722,"&gt;="&amp;77233150000,Данные!$A$2:$A$722,"&lt;="&amp;77233155999)</f>
        <v>0</v>
      </c>
      <c r="N38" s="65" t="n">
        <f aca="false">COUNTIFS(Данные!$B$2:$B$722,19,Данные!$C$2:$C$722,0,Данные!$A$2:$A$722,"&gt;="&amp;77233235000,Данные!$A$2:$A$722,"&lt;="&amp;77233235999)</f>
        <v>0</v>
      </c>
      <c r="O38" s="65" t="n">
        <f aca="false">COUNTIFS(Данные!$B$2:$B$722,19,Данные!$C$2:$C$722,0,Данные!$A$2:$A$722,"&gt;="&amp;77233239000,Данные!$A$2:$A$722,"&lt;="&amp;77233239999)</f>
        <v>0</v>
      </c>
      <c r="P38" s="65" t="n">
        <f aca="false">COUNTIFS(Данные!$B$2:$B$722,19,Данные!$C$2:$C$722,0,Данные!$A$2:$A$722,"&gt;="&amp;77233272000,Данные!$A$2:$A$722,"&lt;="&amp;77233272999)</f>
        <v>0</v>
      </c>
      <c r="Q38" s="65" t="n">
        <f aca="false">COUNTIFS(Данные!$B$2:$B$722,19,Данные!$C$2:$C$722,0,Данные!$A$2:$A$722,"&gt;="&amp;77233291100,Данные!$A$2:$A$722,"&lt;="&amp;77233292999)</f>
        <v>0</v>
      </c>
      <c r="R38" s="65" t="n">
        <f aca="false">COUNTIFS(Данные!$B$2:$B$722,19,Данные!$C$2:$C$722,0,Данные!$A$2:$A$722,"&gt;="&amp;77233297000,Данные!$A$2:$A$722,"&lt;="&amp;77233298399)</f>
        <v>0</v>
      </c>
      <c r="S38" s="65" t="n">
        <f aca="false">COUNTIFS(Данные!$B$2:$B$722,19,Данные!$C$2:$C$722,0,Данные!$A$2:$A$722,"&gt;="&amp;77235124000,Данные!$A$2:$A$722,"&lt;="&amp;77235128499)</f>
        <v>11</v>
      </c>
      <c r="T38" s="65" t="n">
        <f aca="false">COUNTIFS(Данные!$B$2:$B$722,19,Данные!$C$2:$C$722,0,Данные!$A$2:$A$722,"&gt;="&amp;77235320000,Данные!$A$2:$A$722,"&lt;="&amp;77235320999)</f>
        <v>0</v>
      </c>
      <c r="U38" s="65" t="n">
        <f aca="false">COUNTIFS(Данные!$B$2:$B$722,19,Данные!$C$2:$C$722,0,Данные!$A$2:$A$722,"&gt;="&amp;77233620000,Данные!$A$2:$A$722,"&lt;="&amp;77233623339)</f>
        <v>0</v>
      </c>
      <c r="V38" s="65" t="n">
        <f aca="false">COUNTIFS(Данные!$B$2:$B$722,19,Данные!$C$2:$C$722,0,Данные!$A$2:$A$722,"&gt;="&amp;77233630000,Данные!$A$2:$A$722,"&lt;="&amp;77233630999)</f>
        <v>0</v>
      </c>
      <c r="W38" s="65" t="n">
        <f aca="false">COUNTIFS(Данные!$B$2:$B$722,19,Данные!$C$2:$C$722,0,Данные!$A$2:$A$722,"&gt;="&amp;77233637000,Данные!$A$2:$A$722,"&lt;="&amp;77233637599)</f>
        <v>0</v>
      </c>
      <c r="X38" s="65" t="n">
        <f aca="false">COUNTIFS(Данные!$B$2:$B$722,19,Данные!$C$2:$C$722,0,Данные!$A$2:$A$722,"&gt;="&amp;77233550000,Данные!$A$2:$A$722,"&lt;="&amp;77233550999)</f>
        <v>0</v>
      </c>
      <c r="Y38" s="65" t="n">
        <f aca="false">COUNTIFS(Данные!$B$2:$B$722,19,Данные!$C$2:$C$722,0,Данные!$A$2:$A$722,"&gt;="&amp;77233554000,Данные!$A$2:$A$722,"&lt;="&amp;77233554999)</f>
        <v>0</v>
      </c>
      <c r="Z38" s="65" t="n">
        <f aca="false">COUNTIFS(Данные!$B$2:$B$722,19,Данные!$C$2:$C$722,0,Данные!$A$2:$A$722,"&gt;="&amp;77233555000,Данные!$A$2:$A$722,"&lt;="&amp;77233556999)</f>
        <v>0</v>
      </c>
      <c r="AA38" s="65" t="n">
        <f aca="false">COUNTIFS(Данные!$B$2:$B$722,19,Данные!$C$2:$C$722,0,Данные!$A$2:$A$722,"&gt;="&amp;77233726000,Данные!$A$2:$A$722,"&lt;="&amp;77233726999)</f>
        <v>0</v>
      </c>
      <c r="AB38" s="65" t="n">
        <f aca="false">COUNTIFS(Данные!$B$2:$B$722,19,Данные!$C$2:$C$722,0,Данные!$A$2:$A$722,"&gt;="&amp;77233820000,Данные!$A$2:$A$722,"&lt;="&amp;77233820999)</f>
        <v>0</v>
      </c>
      <c r="AC38" s="65" t="n">
        <f aca="false">COUNTIFS(Данные!$B$2:$B$722,19,Данные!$C$2:$C$722,0,Данные!$A$2:$A$722,"&gt;="&amp;77233850000,Данные!$A$2:$A$722,"&lt;="&amp;77233850999)</f>
        <v>0</v>
      </c>
      <c r="AD38" s="65" t="n">
        <f aca="false">COUNTIFS(Данные!$B$2:$B$722,19,Данные!$C$2:$C$722,0,Данные!$A$2:$A$722,"&gt;="&amp;77233420000,Данные!$A$2:$A$722,"&lt;="&amp;77233420999)</f>
        <v>0</v>
      </c>
      <c r="AE38" s="65" t="n">
        <f aca="false">COUNTIFS(Данные!$B$2:$B$722,19,Данные!$C$2:$C$722,0,Данные!$A$2:$A$722,"&gt;="&amp;77234740000,Данные!$A$2:$A$722,"&lt;="&amp;77234742999)</f>
        <v>0</v>
      </c>
      <c r="AF38" s="65" t="n">
        <f aca="false">COUNTIFS(Данные!$B$2:$B$722,19,Данные!$C$2:$C$722,0,Данные!$A$2:$A$722,"&gt;="&amp;77234767000,Данные!$A$2:$A$722,"&lt;="&amp;77234767999)</f>
        <v>0</v>
      </c>
      <c r="AG38" s="65" t="n">
        <f aca="false">COUNTIFS(Данные!$B$2:$B$722,19,Данные!$C$2:$C$722,0,Данные!$A$2:$A$722,"&gt;="&amp;77234120000,Данные!$A$2:$A$722,"&lt;="&amp;77234120999)</f>
        <v>0</v>
      </c>
      <c r="AH38" s="65" t="n">
        <f aca="false">COUNTIFS(Данные!$B$2:$B$722,19,Данные!$C$2:$C$722,0,Данные!$A$2:$A$722,"&gt;="&amp;77234127000,Данные!$A$2:$A$722,"&lt;="&amp;77234127999)</f>
        <v>0</v>
      </c>
      <c r="AI38" s="65" t="n">
        <f aca="false">COUNTIFS(Данные!$B$2:$B$722,19,Данные!$C$2:$C$722,0,Данные!$A$2:$A$722,"&gt;="&amp;77234220000,Данные!$A$2:$A$722,"&lt;="&amp;77234220999)</f>
        <v>0</v>
      </c>
      <c r="AJ38" s="65" t="n">
        <f aca="false">COUNTIFS(Данные!$B$2:$B$722,19,Данные!$C$2:$C$722,0,Данные!$A$2:$A$722,"&gt;="&amp;77234250000,Данные!$A$2:$A$722,"&lt;="&amp;77234250999)</f>
        <v>0</v>
      </c>
      <c r="AK38" s="65" t="n">
        <f aca="false">COUNTIFS(Данные!$B$2:$B$722,19,Данные!$C$2:$C$722,0,Данные!$A$2:$A$722,"&gt;="&amp;77233922950,Данные!$A$2:$A$722,"&lt;="&amp;77233924999)</f>
        <v>0</v>
      </c>
      <c r="AL38" s="65" t="n">
        <f aca="false">COUNTIFS(Данные!$B$2:$B$722,19,Данные!$C$2:$C$722,0,Данные!$A$2:$A$722,"&gt;="&amp;77234320000,Данные!$A$2:$A$722,"&lt;="&amp;77234320999)</f>
        <v>0</v>
      </c>
      <c r="AM38" s="65" t="n">
        <f aca="false">COUNTIFS(Данные!$B$2:$B$722,19,Данные!$C$2:$C$722,0,Данные!$A$2:$A$722,"&gt;="&amp;77234350000,Данные!$A$2:$A$722,"&lt;="&amp;77234350999)</f>
        <v>0</v>
      </c>
      <c r="AN38" s="65" t="n">
        <f aca="false">COUNTIFS(Данные!$B$2:$B$722,19,Данные!$C$2:$C$722,0,Данные!$A$2:$A$722,"&gt;="&amp;77234020000,Данные!$A$2:$A$722,"&lt;="&amp;77234020999)</f>
        <v>0</v>
      </c>
      <c r="AO38" s="65" t="n">
        <f aca="false">COUNTIFS(Данные!$B$2:$B$722,19,Данные!$C$2:$C$722,0,Данные!$A$2:$A$722,"&gt;="&amp;77234029000,Данные!$A$2:$A$722,"&lt;="&amp;77234029999)</f>
        <v>0</v>
      </c>
      <c r="AP38" s="65" t="n">
        <f aca="false">COUNTIFS(Данные!$B$2:$B$722,19,Данные!$C$2:$C$722,0,Данные!$A$2:$A$722,"&gt;="&amp;77234050000,Данные!$A$2:$A$722,"&lt;="&amp;77234050999)</f>
        <v>0</v>
      </c>
      <c r="AQ38" s="65" t="n">
        <f aca="false">COUNTIFS(Данные!$B$2:$B$722,19,Данные!$C$2:$C$722,0,Данные!$A$2:$A$722,"&gt;="&amp;77234427000,Данные!$A$2:$A$722,"&lt;="&amp;77234428999)</f>
        <v>0</v>
      </c>
      <c r="AR38" s="65" t="n">
        <f aca="false">COUNTIFS(Данные!$B$2:$B$722,19,Данные!$C$2:$C$722,0,Данные!$A$2:$A$722,"&gt;="&amp;77234450000,Данные!$A$2:$A$722,"&lt;="&amp;77234450999)</f>
        <v>0</v>
      </c>
      <c r="AS38" s="65" t="n">
        <f aca="false">COUNTIFS(Данные!$B$2:$B$722,19,Данные!$C$2:$C$722,0,Данные!$A$2:$A$722,"&gt;="&amp;77234620000,Данные!$A$2:$A$722,"&lt;="&amp;77234620999)</f>
        <v>0</v>
      </c>
      <c r="AT38" s="65" t="n">
        <f aca="false">COUNTIFS(Данные!$B$2:$B$722,19,Данные!$C$2:$C$722,0,Данные!$A$2:$A$722,"&gt;="&amp;77234650000,Данные!$A$2:$A$722,"&lt;="&amp;77234650999)</f>
        <v>0</v>
      </c>
      <c r="AU38" s="65" t="n">
        <f aca="false">COUNTIFS(Данные!$B$2:$B$722,19,Данные!$C$2:$C$722,0,Данные!$A$2:$A$722,"&gt;="&amp;77234820000,Данные!$A$2:$A$722,"&lt;="&amp;77234820999)</f>
        <v>0</v>
      </c>
      <c r="AV38" s="65" t="n">
        <f aca="false">COUNTIFS(Данные!$B$2:$B$722,19,Данные!$C$2:$C$722,0,Данные!$A$2:$A$722,"&gt;="&amp;77234850000,Данные!$A$2:$A$722,"&lt;="&amp;77234850999)</f>
        <v>0</v>
      </c>
      <c r="AW38" s="65" t="n">
        <f aca="false">COUNTIFS(Данные!$B$2:$B$722,19,Данные!$C$2:$C$722,0,Данные!$A$2:$A$722,"&gt;="&amp;77233327000,Данные!$A$2:$A$722,"&lt;="&amp;77233327999)</f>
        <v>0</v>
      </c>
      <c r="AX38" s="65" t="n">
        <f aca="false">COUNTIFS(Данные!$B$2:$B$722,19,Данные!$C$2:$C$722,0,Данные!$A$2:$A$722,"&gt;="&amp;77233350000,Данные!$A$2:$A$722,"&lt;="&amp;77233350599)</f>
        <v>0</v>
      </c>
      <c r="AY38" s="65" t="n">
        <f aca="false">COUNTIFS(Данные!$B$2:$B$722,19,Данные!$C$2:$C$722,0,Данные!$A$2:$A$722,"&gt;="&amp;77233351000,Данные!$A$2:$A$722,"&lt;="&amp;77233351999)</f>
        <v>0</v>
      </c>
      <c r="AZ38" s="66" t="n">
        <f aca="false">COUNTIFS(Данные!$B$2:$B$722,19,Данные!$C$2:$C$722,0,Данные!$A$2:$A$722,"&gt;="&amp;7722440000,Данные!$A$2:$A$722,"&lt;="&amp;7722440999)</f>
        <v>0</v>
      </c>
      <c r="BA38" s="66" t="n">
        <f aca="false">COUNTIFS(Данные!$B$2:$B$722,19,Данные!$C$2:$C$722,0,Данные!$A$2:$A$722,"&gt;="&amp;7722442000,Данные!$A$2:$A$722,"&lt;="&amp;7722445659)</f>
        <v>0</v>
      </c>
      <c r="BB38" s="66" t="n">
        <f aca="false">COUNTIFS(Данные!$B$2:$B$722,19,Данные!$C$2:$C$722,0,Данные!$A$2:$A$722,"&gt;="&amp;7722450000,Данные!$A$2:$A$722,"&lt;="&amp;7722450199)</f>
        <v>0</v>
      </c>
      <c r="BC38" s="66" t="n">
        <f aca="false">COUNTIFS(Данные!$B$2:$B$722,19,Данные!$C$2:$C$722,0,Данные!$A$2:$A$722,"&gt;="&amp;7722451000,Данные!$A$2:$A$722,"&lt;="&amp;7722451374)</f>
        <v>0</v>
      </c>
      <c r="BD38" s="66" t="n">
        <f aca="false">COUNTIFS(Данные!$B$2:$B$722,19,Данные!$C$2:$C$722,0,Данные!$A$2:$A$722,"&gt;="&amp;7722452000,Данные!$A$2:$A$722,"&lt;="&amp;7722452299)</f>
        <v>0</v>
      </c>
      <c r="BE38" s="66" t="n">
        <f aca="false">COUNTIFS(Данные!$B$2:$B$722,19,Данные!$C$2:$C$722,0,Данные!$A$2:$A$722,"&gt;="&amp;7722453000,Данные!$A$2:$A$722,"&lt;="&amp;7722453816)</f>
        <v>0</v>
      </c>
      <c r="BF38" s="66" t="n">
        <f aca="false">COUNTIFS(Данные!$B$2:$B$722,19,Данные!$C$2:$C$722,0,Данные!$A$2:$A$722,"&gt;="&amp;7722454000,Данные!$A$2:$A$722,"&lt;="&amp;7722454099)</f>
        <v>0</v>
      </c>
      <c r="BG38" s="66" t="n">
        <f aca="false">COUNTIFS(Данные!$B$2:$B$722,19,Данные!$C$2:$C$722,0,Данные!$A$2:$A$722,"&gt;="&amp;7722458000,Данные!$A$2:$A$722,"&lt;="&amp;7722458999)</f>
        <v>0</v>
      </c>
      <c r="BH38" s="66" t="n">
        <f aca="false">COUNTIFS(Данные!$B$2:$B$722,19,Данные!$C$2:$C$722,0,Данные!$A$2:$A$722,"&gt;="&amp;7722630000,Данные!$A$2:$A$722,"&lt;="&amp;7722638549)</f>
        <v>0</v>
      </c>
      <c r="BI38" s="66" t="n">
        <f aca="false">COUNTIFS(Данные!$B$2:$B$722,19,Данные!$C$2:$C$722,0,Данные!$A$2:$A$722,"&gt;="&amp;7722639400,Данные!$A$2:$A$722,"&lt;="&amp;7722639899)</f>
        <v>0</v>
      </c>
      <c r="BJ38" s="66" t="n">
        <f aca="false">COUNTIFS(Данные!$B$2:$B$722,19,Данные!$C$2:$C$722,0,Данные!$A$2:$A$722,"&gt;="&amp;7725750000,Данные!$A$2:$A$722,"&lt;="&amp;7725750399)</f>
        <v>0</v>
      </c>
      <c r="BK38" s="66" t="n">
        <f aca="false">COUNTIFS(Данные!$B$2:$B$722,19,Данные!$C$2:$C$722,0,Данные!$A$2:$A$722,"&gt;="&amp;7723620000,Данные!$A$2:$A$722,"&lt;="&amp;7723621299)</f>
        <v>0</v>
      </c>
      <c r="BL38" s="66" t="n">
        <f aca="false">COUNTIFS(Данные!$B$2:$B$722,19,Данные!$C$2:$C$722,0,Данные!$A$2:$A$722,"&gt;="&amp;7723621600,Данные!$A$2:$A$722,"&lt;="&amp;7723623399)</f>
        <v>0</v>
      </c>
      <c r="BM38" s="66" t="n">
        <f aca="false">COUNTIFS(Данные!$B$2:$B$722,19,Данные!$C$2:$C$722,0,Данные!$A$2:$A$722,"&gt;="&amp;7725127000,Данные!$A$2:$A$722,"&lt;="&amp;7725127999)</f>
        <v>0</v>
      </c>
      <c r="BN38" s="66" t="n">
        <f aca="false">COUNTIFS(Данные!$B$2:$B$722,19,Данные!$C$2:$C$722,0,Данные!$A$2:$A$722,"&gt;="&amp;7723772000,Данные!$A$2:$A$722,"&lt;="&amp;7723724999)</f>
        <v>0</v>
      </c>
      <c r="BO38" s="65" t="n">
        <f aca="false">COUNTIFS(Данные!$B$2:$B$722,19,Данные!$C$2:$C$722,0,Данные!$A$2:$A$722,"&gt;="&amp;7723765000,Данные!$A$2:$A$722,"&lt;="&amp;7723765499)</f>
        <v>0</v>
      </c>
      <c r="BP38" s="66" t="n">
        <f aca="false">COUNTIFS(Данные!$B$2:$B$722,19,Данные!$C$2:$C$722,0,Данные!$A$2:$A$722,"&gt;="&amp;7723948000,Данные!$A$2:$A$722,"&lt;="&amp;7723948999)</f>
        <v>0</v>
      </c>
      <c r="BQ38" s="66" t="n">
        <f aca="false">COUNTIFS(Данные!$B$2:$B$722,19,Данные!$C$2:$C$722,0,Данные!$A$2:$A$722,"&gt;="&amp;7723950000,Данные!$A$2:$A$722,"&lt;="&amp;7723951099)</f>
        <v>0</v>
      </c>
      <c r="BR38" s="66" t="n">
        <f aca="false">COUNTIFS(Данные!$B$2:$B$722,19,Данные!$C$2:$C$722,0,Данные!$A$2:$A$722,"&gt;="&amp;7723020000,Данные!$A$2:$A$722,"&lt;="&amp;7723020999)</f>
        <v>0</v>
      </c>
      <c r="BS38" s="66" t="n">
        <f aca="false">COUNTIFS(Данные!$B$2:$B$722,19,Данные!$C$2:$C$722,0,Данные!$A$2:$A$722,"&gt;="&amp;7723029000,Данные!$A$2:$A$722,"&lt;="&amp;7723029999)</f>
        <v>0</v>
      </c>
      <c r="BT38" s="66" t="n">
        <f aca="false">COUNTIFS(Данные!$B$2:$B$722,19,Данные!$C$2:$C$722,0,Данные!$A$2:$A$722,"&gt;="&amp;7723055000,Данные!$A$2:$A$722,"&lt;="&amp;7723056549)</f>
        <v>0</v>
      </c>
      <c r="BU38" s="65" t="n">
        <f aca="false">COUNTIFS(Данные!$B$2:$B$722,19,Данные!$C$2:$C$722,0,Данные!$A$2:$A$722,"&gt;="&amp;7725250000,Данные!$A$2:$A$722,"&lt;="&amp;7725250499)</f>
        <v>0</v>
      </c>
      <c r="BV38" s="66" t="n">
        <f aca="false">COUNTIFS(Данные!$B$2:$B$722,19,Данные!$C$2:$C$722,0,Данные!$A$2:$A$722,"&gt;="&amp;7183841400,Данные!$A$2:$A$722,"&lt;="&amp;7183841499)</f>
        <v>0</v>
      </c>
      <c r="BW38" s="49" t="n">
        <v>300</v>
      </c>
      <c r="BX38" s="67" t="n">
        <f aca="false">F38-BW38</f>
        <v>-289</v>
      </c>
    </row>
    <row r="39" s="15" customFormat="true" ht="12" hidden="false" customHeight="true" outlineLevel="0" collapsed="false">
      <c r="A39" s="47"/>
      <c r="B39" s="48"/>
      <c r="C39" s="50" t="n">
        <v>1</v>
      </c>
      <c r="D39" s="50" t="n">
        <v>191</v>
      </c>
      <c r="E39" s="51"/>
      <c r="F39" s="65" t="n">
        <f aca="false">COUNTIFS(Данные!$B$2:$B$722,19,Данные!$C$2:$C$722,1)</f>
        <v>69</v>
      </c>
      <c r="G39" s="65" t="n">
        <f aca="false">COUNTIFS(Данные!$B$2:$B$722,19,Данные!$C$2:$C$722,1,Данные!$A$2:$A$722,"&gt;="&amp;77232210840,Данные!$A$2:$A$722,"&lt;="&amp;77232216999)</f>
        <v>0</v>
      </c>
      <c r="H39" s="65" t="n">
        <f aca="false">COUNTIFS(Данные!$B$2:$B$722,19,Данные!$C$2:$C$722,1,Данные!$A$2:$A$722,"&gt;="&amp;77232510512,Данные!$A$2:$A$722,"&lt;="&amp;77232519487)</f>
        <v>0</v>
      </c>
      <c r="I39" s="65" t="n">
        <f aca="false">COUNTIFS(Данные!$B$2:$B$722,19,Данные!$C$2:$C$722,1,Данные!$A$2:$A$722,"&gt;="&amp;77232524160,Данные!$A$2:$A$722,"&lt;="&amp;77232529999)</f>
        <v>0</v>
      </c>
      <c r="J39" s="65" t="n">
        <f aca="false">COUNTIFS(Данные!$B$2:$B$722,19,Данные!$C$2:$C$722,1,Данные!$A$2:$A$722,"&gt;="&amp;77232544000,Данные!$A$2:$A$722,"&lt;="&amp;77232544999)</f>
        <v>0</v>
      </c>
      <c r="K39" s="65" t="n">
        <f aca="false">COUNTIFS(Данные!$B$2:$B$722,19,Данные!$C$2:$C$722,1,Данные!$A$2:$A$722,"&gt;="&amp;77232295504,Данные!$A$2:$A$722,"&lt;="&amp;77232296999)</f>
        <v>0</v>
      </c>
      <c r="L39" s="65" t="n">
        <f aca="false">COUNTIFS(Данные!$B$2:$B$722,19,Данные!$C$2:$C$722,1,Данные!$A$2:$A$722,"&gt;="&amp;77232785000,Данные!$A$2:$A$722,"&lt;="&amp;77232789999)</f>
        <v>0</v>
      </c>
      <c r="M39" s="65" t="n">
        <f aca="false">COUNTIFS(Данные!$B$2:$B$722,19,Данные!$C$2:$C$722,1,Данные!$A$2:$A$722,"&gt;="&amp;77233150000,Данные!$A$2:$A$722,"&lt;="&amp;77233155999)</f>
        <v>0</v>
      </c>
      <c r="N39" s="65" t="n">
        <f aca="false">COUNTIFS(Данные!$B$2:$B$722,19,Данные!$C$2:$C$722,1,Данные!$A$2:$A$722,"&gt;="&amp;77233235000,Данные!$A$2:$A$722,"&lt;="&amp;77233235999)</f>
        <v>0</v>
      </c>
      <c r="O39" s="65" t="n">
        <f aca="false">COUNTIFS(Данные!$B$2:$B$722,19,Данные!$C$2:$C$722,1,Данные!$A$2:$A$722,"&gt;="&amp;77233239000,Данные!$A$2:$A$722,"&lt;="&amp;77233239999)</f>
        <v>0</v>
      </c>
      <c r="P39" s="65" t="n">
        <f aca="false">COUNTIFS(Данные!$B$2:$B$722,19,Данные!$C$2:$C$722,1,Данные!$A$2:$A$722,"&gt;="&amp;77233272000,Данные!$A$2:$A$722,"&lt;="&amp;77233272999)</f>
        <v>0</v>
      </c>
      <c r="Q39" s="65" t="n">
        <f aca="false">COUNTIFS(Данные!$B$2:$B$722,19,Данные!$C$2:$C$722,1,Данные!$A$2:$A$722,"&gt;="&amp;77233291100,Данные!$A$2:$A$722,"&lt;="&amp;77233292999)</f>
        <v>0</v>
      </c>
      <c r="R39" s="65" t="n">
        <f aca="false">COUNTIFS(Данные!$B$2:$B$722,19,Данные!$C$2:$C$722,1,Данные!$A$2:$A$722,"&gt;="&amp;77233297000,Данные!$A$2:$A$722,"&lt;="&amp;77233298399)</f>
        <v>0</v>
      </c>
      <c r="S39" s="65" t="n">
        <f aca="false">COUNTIFS(Данные!$B$2:$B$722,19,Данные!$C$2:$C$722,1,Данные!$A$2:$A$722,"&gt;="&amp;77235124000,Данные!$A$2:$A$722,"&lt;="&amp;77235128499)</f>
        <v>61</v>
      </c>
      <c r="T39" s="65" t="n">
        <f aca="false">COUNTIFS(Данные!$B$2:$B$722,19,Данные!$C$2:$C$722,1,Данные!$A$2:$A$722,"&gt;="&amp;77235320000,Данные!$A$2:$A$722,"&lt;="&amp;77235320999)</f>
        <v>2</v>
      </c>
      <c r="U39" s="65" t="n">
        <f aca="false">COUNTIFS(Данные!$B$2:$B$722,19,Данные!$C$2:$C$722,1,Данные!$A$2:$A$722,"&gt;="&amp;77233620000,Данные!$A$2:$A$722,"&lt;="&amp;77233623339)</f>
        <v>0</v>
      </c>
      <c r="V39" s="65" t="n">
        <f aca="false">COUNTIFS(Данные!$B$2:$B$722,19,Данные!$C$2:$C$722,1,Данные!$A$2:$A$722,"&gt;="&amp;77233630000,Данные!$A$2:$A$722,"&lt;="&amp;77233630999)</f>
        <v>0</v>
      </c>
      <c r="W39" s="65" t="n">
        <f aca="false">COUNTIFS(Данные!$B$2:$B$722,19,Данные!$C$2:$C$722,1,Данные!$A$2:$A$722,"&gt;="&amp;77233637000,Данные!$A$2:$A$722,"&lt;="&amp;77233637599)</f>
        <v>0</v>
      </c>
      <c r="X39" s="65" t="n">
        <f aca="false">COUNTIFS(Данные!$B$2:$B$722,19,Данные!$C$2:$C$722,1,Данные!$A$2:$A$722,"&gt;="&amp;77233550000,Данные!$A$2:$A$722,"&lt;="&amp;77233550999)</f>
        <v>0</v>
      </c>
      <c r="Y39" s="65" t="n">
        <f aca="false">COUNTIFS(Данные!$B$2:$B$722,19,Данные!$C$2:$C$722,1,Данные!$A$2:$A$722,"&gt;="&amp;77233554000,Данные!$A$2:$A$722,"&lt;="&amp;77233554999)</f>
        <v>0</v>
      </c>
      <c r="Z39" s="65" t="n">
        <f aca="false">COUNTIFS(Данные!$B$2:$B$722,19,Данные!$C$2:$C$722,1,Данные!$A$2:$A$722,"&gt;="&amp;77233555000,Данные!$A$2:$A$722,"&lt;="&amp;77233556999)</f>
        <v>0</v>
      </c>
      <c r="AA39" s="65" t="n">
        <f aca="false">COUNTIFS(Данные!$B$2:$B$722,19,Данные!$C$2:$C$722,1,Данные!$A$2:$A$722,"&gt;="&amp;77233726000,Данные!$A$2:$A$722,"&lt;="&amp;77233726999)</f>
        <v>0</v>
      </c>
      <c r="AB39" s="65" t="n">
        <f aca="false">COUNTIFS(Данные!$B$2:$B$722,19,Данные!$C$2:$C$722,1,Данные!$A$2:$A$722,"&gt;="&amp;77233820000,Данные!$A$2:$A$722,"&lt;="&amp;77233820999)</f>
        <v>0</v>
      </c>
      <c r="AC39" s="65" t="n">
        <f aca="false">COUNTIFS(Данные!$B$2:$B$722,19,Данные!$C$2:$C$722,1,Данные!$A$2:$A$722,"&gt;="&amp;77233850000,Данные!$A$2:$A$722,"&lt;="&amp;77233850999)</f>
        <v>0</v>
      </c>
      <c r="AD39" s="65" t="n">
        <f aca="false">COUNTIFS(Данные!$B$2:$B$722,19,Данные!$C$2:$C$722,1,Данные!$A$2:$A$722,"&gt;="&amp;77233420000,Данные!$A$2:$A$722,"&lt;="&amp;77233420999)</f>
        <v>0</v>
      </c>
      <c r="AE39" s="65" t="n">
        <f aca="false">COUNTIFS(Данные!$B$2:$B$722,19,Данные!$C$2:$C$722,1,Данные!$A$2:$A$722,"&gt;="&amp;77234740000,Данные!$A$2:$A$722,"&lt;="&amp;77234742999)</f>
        <v>0</v>
      </c>
      <c r="AF39" s="65" t="n">
        <f aca="false">COUNTIFS(Данные!$B$2:$B$722,19,Данные!$C$2:$C$722,1,Данные!$A$2:$A$722,"&gt;="&amp;77234767000,Данные!$A$2:$A$722,"&lt;="&amp;77234767999)</f>
        <v>0</v>
      </c>
      <c r="AG39" s="65" t="n">
        <f aca="false">COUNTIFS(Данные!$B$2:$B$722,19,Данные!$C$2:$C$722,1,Данные!$A$2:$A$722,"&gt;="&amp;77234120000,Данные!$A$2:$A$722,"&lt;="&amp;77234120999)</f>
        <v>0</v>
      </c>
      <c r="AH39" s="65" t="n">
        <f aca="false">COUNTIFS(Данные!$B$2:$B$722,19,Данные!$C$2:$C$722,1,Данные!$A$2:$A$722,"&gt;="&amp;77234127000,Данные!$A$2:$A$722,"&lt;="&amp;77234127999)</f>
        <v>0</v>
      </c>
      <c r="AI39" s="65" t="n">
        <f aca="false">COUNTIFS(Данные!$B$2:$B$722,19,Данные!$C$2:$C$722,1,Данные!$A$2:$A$722,"&gt;="&amp;77234220000,Данные!$A$2:$A$722,"&lt;="&amp;77234220999)</f>
        <v>0</v>
      </c>
      <c r="AJ39" s="65" t="n">
        <f aca="false">COUNTIFS(Данные!$B$2:$B$722,19,Данные!$C$2:$C$722,1,Данные!$A$2:$A$722,"&gt;="&amp;77234250000,Данные!$A$2:$A$722,"&lt;="&amp;77234250999)</f>
        <v>0</v>
      </c>
      <c r="AK39" s="65" t="n">
        <f aca="false">COUNTIFS(Данные!$B$2:$B$722,19,Данные!$C$2:$C$722,1,Данные!$A$2:$A$722,"&gt;="&amp;77233922950,Данные!$A$2:$A$722,"&lt;="&amp;77233924999)</f>
        <v>0</v>
      </c>
      <c r="AL39" s="65" t="n">
        <f aca="false">COUNTIFS(Данные!$B$2:$B$722,19,Данные!$C$2:$C$722,1,Данные!$A$2:$A$722,"&gt;="&amp;77234320000,Данные!$A$2:$A$722,"&lt;="&amp;77234320999)</f>
        <v>0</v>
      </c>
      <c r="AM39" s="65" t="n">
        <f aca="false">COUNTIFS(Данные!$B$2:$B$722,19,Данные!$C$2:$C$722,1,Данные!$A$2:$A$722,"&gt;="&amp;77234350000,Данные!$A$2:$A$722,"&lt;="&amp;77234350999)</f>
        <v>0</v>
      </c>
      <c r="AN39" s="65" t="n">
        <f aca="false">COUNTIFS(Данные!$B$2:$B$722,19,Данные!$C$2:$C$722,1,Данные!$A$2:$A$722,"&gt;="&amp;77234020000,Данные!$A$2:$A$722,"&lt;="&amp;77234020999)</f>
        <v>0</v>
      </c>
      <c r="AO39" s="65" t="n">
        <f aca="false">COUNTIFS(Данные!$B$2:$B$722,19,Данные!$C$2:$C$722,1,Данные!$A$2:$A$722,"&gt;="&amp;77234029000,Данные!$A$2:$A$722,"&lt;="&amp;77234029999)</f>
        <v>0</v>
      </c>
      <c r="AP39" s="65" t="n">
        <f aca="false">COUNTIFS(Данные!$B$2:$B$722,19,Данные!$C$2:$C$722,1,Данные!$A$2:$A$722,"&gt;="&amp;77234050000,Данные!$A$2:$A$722,"&lt;="&amp;77234050999)</f>
        <v>0</v>
      </c>
      <c r="AQ39" s="65" t="n">
        <f aca="false">COUNTIFS(Данные!$B$2:$B$722,19,Данные!$C$2:$C$722,1,Данные!$A$2:$A$722,"&gt;="&amp;77234427000,Данные!$A$2:$A$722,"&lt;="&amp;77234428999)</f>
        <v>0</v>
      </c>
      <c r="AR39" s="65" t="n">
        <f aca="false">COUNTIFS(Данные!$B$2:$B$722,19,Данные!$C$2:$C$722,1,Данные!$A$2:$A$722,"&gt;="&amp;77234450000,Данные!$A$2:$A$722,"&lt;="&amp;77234450999)</f>
        <v>0</v>
      </c>
      <c r="AS39" s="65" t="n">
        <f aca="false">COUNTIFS(Данные!$B$2:$B$722,19,Данные!$C$2:$C$722,1,Данные!$A$2:$A$722,"&gt;="&amp;77234620000,Данные!$A$2:$A$722,"&lt;="&amp;77234620999)</f>
        <v>0</v>
      </c>
      <c r="AT39" s="65" t="n">
        <f aca="false">COUNTIFS(Данные!$B$2:$B$722,19,Данные!$C$2:$C$722,1,Данные!$A$2:$A$722,"&gt;="&amp;77234650000,Данные!$A$2:$A$722,"&lt;="&amp;77234650999)</f>
        <v>0</v>
      </c>
      <c r="AU39" s="65" t="n">
        <f aca="false">COUNTIFS(Данные!$B$2:$B$722,19,Данные!$C$2:$C$722,1,Данные!$A$2:$A$722,"&gt;="&amp;77234820000,Данные!$A$2:$A$722,"&lt;="&amp;77234820999)</f>
        <v>0</v>
      </c>
      <c r="AV39" s="65" t="n">
        <f aca="false">COUNTIFS(Данные!$B$2:$B$722,19,Данные!$C$2:$C$722,1,Данные!$A$2:$A$722,"&gt;="&amp;77234850000,Данные!$A$2:$A$722,"&lt;="&amp;77234850999)</f>
        <v>0</v>
      </c>
      <c r="AW39" s="65" t="n">
        <f aca="false">COUNTIFS(Данные!$B$2:$B$722,19,Данные!$C$2:$C$722,1,Данные!$A$2:$A$722,"&gt;="&amp;77233327000,Данные!$A$2:$A$722,"&lt;="&amp;77233327999)</f>
        <v>0</v>
      </c>
      <c r="AX39" s="65" t="n">
        <f aca="false">COUNTIFS(Данные!$B$2:$B$722,19,Данные!$C$2:$C$722,1,Данные!$A$2:$A$722,"&gt;="&amp;77233350000,Данные!$A$2:$A$722,"&lt;="&amp;77233350599)</f>
        <v>0</v>
      </c>
      <c r="AY39" s="65" t="n">
        <f aca="false">COUNTIFS(Данные!$B$2:$B$722,19,Данные!$C$2:$C$722,1,Данные!$A$2:$A$722,"&gt;="&amp;77233351000,Данные!$A$2:$A$722,"&lt;="&amp;77233351999)</f>
        <v>0</v>
      </c>
      <c r="AZ39" s="66" t="n">
        <f aca="false">COUNTIFS(Данные!$B$2:$B$722,19,Данные!$C$2:$C$722,1,Данные!$A$2:$A$722,"&gt;="&amp;7722440000,Данные!$A$2:$A$722,"&lt;="&amp;7722440999)</f>
        <v>0</v>
      </c>
      <c r="BA39" s="66" t="n">
        <f aca="false">COUNTIFS(Данные!$B$2:$B$722,19,Данные!$C$2:$C$722,1,Данные!$A$2:$A$722,"&gt;="&amp;7722442000,Данные!$A$2:$A$722,"&lt;="&amp;7722445659)</f>
        <v>0</v>
      </c>
      <c r="BB39" s="66" t="n">
        <f aca="false">COUNTIFS(Данные!$B$2:$B$722,19,Данные!$C$2:$C$722,1,Данные!$A$2:$A$722,"&gt;="&amp;7722450000,Данные!$A$2:$A$722,"&lt;="&amp;7722450199)</f>
        <v>0</v>
      </c>
      <c r="BC39" s="66" t="n">
        <f aca="false">COUNTIFS(Данные!$B$2:$B$722,19,Данные!$C$2:$C$722,1,Данные!$A$2:$A$722,"&gt;="&amp;7722451000,Данные!$A$2:$A$722,"&lt;="&amp;7722451374)</f>
        <v>0</v>
      </c>
      <c r="BD39" s="66" t="n">
        <f aca="false">COUNTIFS(Данные!$B$2:$B$722,19,Данные!$C$2:$C$722,1,Данные!$A$2:$A$722,"&gt;="&amp;7722452000,Данные!$A$2:$A$722,"&lt;="&amp;7722452299)</f>
        <v>0</v>
      </c>
      <c r="BE39" s="66" t="n">
        <f aca="false">COUNTIFS(Данные!$B$2:$B$722,19,Данные!$C$2:$C$722,1,Данные!$A$2:$A$722,"&gt;="&amp;7722453000,Данные!$A$2:$A$722,"&lt;="&amp;7722453816)</f>
        <v>0</v>
      </c>
      <c r="BF39" s="66" t="n">
        <f aca="false">COUNTIFS(Данные!$B$2:$B$722,19,Данные!$C$2:$C$722,1,Данные!$A$2:$A$722,"&gt;="&amp;7722454000,Данные!$A$2:$A$722,"&lt;="&amp;7722454099)</f>
        <v>0</v>
      </c>
      <c r="BG39" s="66" t="n">
        <f aca="false">COUNTIFS(Данные!$B$2:$B$722,19,Данные!$C$2:$C$722,1,Данные!$A$2:$A$722,"&gt;="&amp;7722458000,Данные!$A$2:$A$722,"&lt;="&amp;7722458999)</f>
        <v>0</v>
      </c>
      <c r="BH39" s="66" t="n">
        <f aca="false">COUNTIFS(Данные!$B$2:$B$722,19,Данные!$C$2:$C$722,1,Данные!$A$2:$A$722,"&gt;="&amp;7722630000,Данные!$A$2:$A$722,"&lt;="&amp;7722638549)</f>
        <v>0</v>
      </c>
      <c r="BI39" s="66" t="n">
        <f aca="false">COUNTIFS(Данные!$B$2:$B$722,19,Данные!$C$2:$C$722,1,Данные!$A$2:$A$722,"&gt;="&amp;7722639400,Данные!$A$2:$A$722,"&lt;="&amp;7722639899)</f>
        <v>0</v>
      </c>
      <c r="BJ39" s="66" t="n">
        <f aca="false">COUNTIFS(Данные!$B$2:$B$722,19,Данные!$C$2:$C$722,1,Данные!$A$2:$A$722,"&gt;="&amp;7725750000,Данные!$A$2:$A$722,"&lt;="&amp;7725750399)</f>
        <v>0</v>
      </c>
      <c r="BK39" s="66" t="n">
        <f aca="false">COUNTIFS(Данные!$B$2:$B$722,19,Данные!$C$2:$C$722,1,Данные!$A$2:$A$722,"&gt;="&amp;7723620000,Данные!$A$2:$A$722,"&lt;="&amp;7723621299)</f>
        <v>0</v>
      </c>
      <c r="BL39" s="66" t="n">
        <f aca="false">COUNTIFS(Данные!$B$2:$B$722,19,Данные!$C$2:$C$722,1,Данные!$A$2:$A$722,"&gt;="&amp;7723621600,Данные!$A$2:$A$722,"&lt;="&amp;7723623399)</f>
        <v>0</v>
      </c>
      <c r="BM39" s="66" t="n">
        <f aca="false">COUNTIFS(Данные!$B$2:$B$722,19,Данные!$C$2:$C$722,1,Данные!$A$2:$A$722,"&gt;="&amp;7725127000,Данные!$A$2:$A$722,"&lt;="&amp;7725127999)</f>
        <v>0</v>
      </c>
      <c r="BN39" s="66" t="n">
        <f aca="false">COUNTIFS(Данные!$B$2:$B$722,19,Данные!$C$2:$C$722,1,Данные!$A$2:$A$722,"&gt;="&amp;7723772000,Данные!$A$2:$A$722,"&lt;="&amp;7723724999)</f>
        <v>0</v>
      </c>
      <c r="BO39" s="65" t="n">
        <f aca="false">COUNTIFS(Данные!$B$2:$B$722,19,Данные!$C$2:$C$722,1,Данные!$A$2:$A$722,"&gt;="&amp;7723765000,Данные!$A$2:$A$722,"&lt;="&amp;7723765499)</f>
        <v>0</v>
      </c>
      <c r="BP39" s="66" t="n">
        <f aca="false">COUNTIFS(Данные!$B$2:$B$722,19,Данные!$C$2:$C$722,1,Данные!$A$2:$A$722,"&gt;="&amp;7723948000,Данные!$A$2:$A$722,"&lt;="&amp;7723948999)</f>
        <v>0</v>
      </c>
      <c r="BQ39" s="66" t="n">
        <f aca="false">COUNTIFS(Данные!$B$2:$B$722,19,Данные!$C$2:$C$722,1,Данные!$A$2:$A$722,"&gt;="&amp;7723950000,Данные!$A$2:$A$722,"&lt;="&amp;7723951099)</f>
        <v>0</v>
      </c>
      <c r="BR39" s="66" t="n">
        <f aca="false">COUNTIFS(Данные!$B$2:$B$722,19,Данные!$C$2:$C$722,1,Данные!$A$2:$A$722,"&gt;="&amp;7723020000,Данные!$A$2:$A$722,"&lt;="&amp;7723020999)</f>
        <v>0</v>
      </c>
      <c r="BS39" s="66" t="n">
        <f aca="false">COUNTIFS(Данные!$B$2:$B$722,19,Данные!$C$2:$C$722,1,Данные!$A$2:$A$722,"&gt;="&amp;7723029000,Данные!$A$2:$A$722,"&lt;="&amp;7723029999)</f>
        <v>0</v>
      </c>
      <c r="BT39" s="66" t="n">
        <f aca="false">COUNTIFS(Данные!$B$2:$B$722,19,Данные!$C$2:$C$722,1,Данные!$A$2:$A$722,"&gt;="&amp;7723055000,Данные!$A$2:$A$722,"&lt;="&amp;7723056549)</f>
        <v>0</v>
      </c>
      <c r="BU39" s="65" t="n">
        <f aca="false">COUNTIFS(Данные!$B$2:$B$722,19,Данные!$C$2:$C$722,1,Данные!$A$2:$A$722,"&gt;="&amp;7725250000,Данные!$A$2:$A$722,"&lt;="&amp;7725250499)</f>
        <v>0</v>
      </c>
      <c r="BV39" s="66" t="n">
        <f aca="false">COUNTIFS(Данные!$B$2:$B$722,19,Данные!$C$2:$C$722,1,Данные!$A$2:$A$722,"&gt;="&amp;7183841400,Данные!$A$2:$A$722,"&lt;="&amp;7183841499)</f>
        <v>0</v>
      </c>
      <c r="BW39" s="49" t="n">
        <v>300</v>
      </c>
      <c r="BX39" s="67" t="n">
        <f aca="false">F39-BW39</f>
        <v>-231</v>
      </c>
    </row>
    <row r="40" s="15" customFormat="true" ht="12" hidden="false" customHeight="true" outlineLevel="0" collapsed="false">
      <c r="A40" s="47"/>
      <c r="B40" s="48"/>
      <c r="C40" s="50" t="n">
        <v>2</v>
      </c>
      <c r="D40" s="50" t="n">
        <v>192</v>
      </c>
      <c r="E40" s="51"/>
      <c r="F40" s="65" t="n">
        <f aca="false">COUNTIFS(Данные!$B$2:$B$722,19,Данные!$C$2:$C$722,2)</f>
        <v>36</v>
      </c>
      <c r="G40" s="65" t="n">
        <f aca="false">COUNTIFS(Данные!$B$2:$B$722,19,Данные!$C$2:$C$722,2,Данные!$A$2:$A$722,"&gt;="&amp;77232210840,Данные!$A$2:$A$722,"&lt;="&amp;77232216999)</f>
        <v>0</v>
      </c>
      <c r="H40" s="65" t="n">
        <f aca="false">COUNTIFS(Данные!$B$2:$B$722,19,Данные!$C$2:$C$722,2,Данные!$A$2:$A$722,"&gt;="&amp;77232510512,Данные!$A$2:$A$722,"&lt;="&amp;77232519487)</f>
        <v>0</v>
      </c>
      <c r="I40" s="65" t="n">
        <f aca="false">COUNTIFS(Данные!$B$2:$B$722,19,Данные!$C$2:$C$722,2,Данные!$A$2:$A$722,"&gt;="&amp;77232524160,Данные!$A$2:$A$722,"&lt;="&amp;77232529999)</f>
        <v>0</v>
      </c>
      <c r="J40" s="65" t="n">
        <f aca="false">COUNTIFS(Данные!$B$2:$B$722,19,Данные!$C$2:$C$722,2,Данные!$A$2:$A$722,"&gt;="&amp;77232544000,Данные!$A$2:$A$722,"&lt;="&amp;77232544999)</f>
        <v>0</v>
      </c>
      <c r="K40" s="65" t="n">
        <f aca="false">COUNTIFS(Данные!$B$2:$B$722,19,Данные!$C$2:$C$722,2,Данные!$A$2:$A$722,"&gt;="&amp;77232295504,Данные!$A$2:$A$722,"&lt;="&amp;77232296999)</f>
        <v>0</v>
      </c>
      <c r="L40" s="65" t="n">
        <f aca="false">COUNTIFS(Данные!$B$2:$B$722,19,Данные!$C$2:$C$722,2,Данные!$A$2:$A$722,"&gt;="&amp;77232785000,Данные!$A$2:$A$722,"&lt;="&amp;77232789999)</f>
        <v>0</v>
      </c>
      <c r="M40" s="65" t="n">
        <f aca="false">COUNTIFS(Данные!$B$2:$B$722,19,Данные!$C$2:$C$722,2,Данные!$A$2:$A$722,"&gt;="&amp;77233150000,Данные!$A$2:$A$722,"&lt;="&amp;77233155999)</f>
        <v>0</v>
      </c>
      <c r="N40" s="65" t="n">
        <f aca="false">COUNTIFS(Данные!$B$2:$B$722,19,Данные!$C$2:$C$722,2,Данные!$A$2:$A$722,"&gt;="&amp;77233235000,Данные!$A$2:$A$722,"&lt;="&amp;77233235999)</f>
        <v>0</v>
      </c>
      <c r="O40" s="65" t="n">
        <f aca="false">COUNTIFS(Данные!$B$2:$B$722,19,Данные!$C$2:$C$722,2,Данные!$A$2:$A$722,"&gt;="&amp;77233239000,Данные!$A$2:$A$722,"&lt;="&amp;77233239999)</f>
        <v>0</v>
      </c>
      <c r="P40" s="65" t="n">
        <f aca="false">COUNTIFS(Данные!$B$2:$B$722,19,Данные!$C$2:$C$722,2,Данные!$A$2:$A$722,"&gt;="&amp;77233272000,Данные!$A$2:$A$722,"&lt;="&amp;77233272999)</f>
        <v>0</v>
      </c>
      <c r="Q40" s="65" t="n">
        <f aca="false">COUNTIFS(Данные!$B$2:$B$722,19,Данные!$C$2:$C$722,2,Данные!$A$2:$A$722,"&gt;="&amp;77233291100,Данные!$A$2:$A$722,"&lt;="&amp;77233292999)</f>
        <v>0</v>
      </c>
      <c r="R40" s="65" t="n">
        <f aca="false">COUNTIFS(Данные!$B$2:$B$722,19,Данные!$C$2:$C$722,2,Данные!$A$2:$A$722,"&gt;="&amp;77233297000,Данные!$A$2:$A$722,"&lt;="&amp;77233298399)</f>
        <v>0</v>
      </c>
      <c r="S40" s="65" t="n">
        <f aca="false">COUNTIFS(Данные!$B$2:$B$722,19,Данные!$C$2:$C$722,2,Данные!$A$2:$A$722,"&gt;="&amp;77235124000,Данные!$A$2:$A$722,"&lt;="&amp;77235128499)</f>
        <v>33</v>
      </c>
      <c r="T40" s="65" t="n">
        <f aca="false">COUNTIFS(Данные!$B$2:$B$722,19,Данные!$C$2:$C$722,2,Данные!$A$2:$A$722,"&gt;="&amp;77235320000,Данные!$A$2:$A$722,"&lt;="&amp;77235320999)</f>
        <v>0</v>
      </c>
      <c r="U40" s="65" t="n">
        <f aca="false">COUNTIFS(Данные!$B$2:$B$722,19,Данные!$C$2:$C$722,2,Данные!$A$2:$A$722,"&gt;="&amp;77233620000,Данные!$A$2:$A$722,"&lt;="&amp;77233623339)</f>
        <v>0</v>
      </c>
      <c r="V40" s="65" t="n">
        <f aca="false">COUNTIFS(Данные!$B$2:$B$722,19,Данные!$C$2:$C$722,2,Данные!$A$2:$A$722,"&gt;="&amp;77233630000,Данные!$A$2:$A$722,"&lt;="&amp;77233630999)</f>
        <v>0</v>
      </c>
      <c r="W40" s="65" t="n">
        <f aca="false">COUNTIFS(Данные!$B$2:$B$722,19,Данные!$C$2:$C$722,2,Данные!$A$2:$A$722,"&gt;="&amp;77233637000,Данные!$A$2:$A$722,"&lt;="&amp;77233637599)</f>
        <v>0</v>
      </c>
      <c r="X40" s="65" t="n">
        <f aca="false">COUNTIFS(Данные!$B$2:$B$722,19,Данные!$C$2:$C$722,2,Данные!$A$2:$A$722,"&gt;="&amp;77233550000,Данные!$A$2:$A$722,"&lt;="&amp;77233550999)</f>
        <v>0</v>
      </c>
      <c r="Y40" s="65" t="n">
        <f aca="false">COUNTIFS(Данные!$B$2:$B$722,19,Данные!$C$2:$C$722,2,Данные!$A$2:$A$722,"&gt;="&amp;77233554000,Данные!$A$2:$A$722,"&lt;="&amp;77233554999)</f>
        <v>0</v>
      </c>
      <c r="Z40" s="65" t="n">
        <f aca="false">COUNTIFS(Данные!$B$2:$B$722,19,Данные!$C$2:$C$722,2,Данные!$A$2:$A$722,"&gt;="&amp;77233555000,Данные!$A$2:$A$722,"&lt;="&amp;77233556999)</f>
        <v>0</v>
      </c>
      <c r="AA40" s="65" t="n">
        <f aca="false">COUNTIFS(Данные!$B$2:$B$722,19,Данные!$C$2:$C$722,2,Данные!$A$2:$A$722,"&gt;="&amp;77233726000,Данные!$A$2:$A$722,"&lt;="&amp;77233726999)</f>
        <v>0</v>
      </c>
      <c r="AB40" s="65" t="n">
        <f aca="false">COUNTIFS(Данные!$B$2:$B$722,19,Данные!$C$2:$C$722,2,Данные!$A$2:$A$722,"&gt;="&amp;77233820000,Данные!$A$2:$A$722,"&lt;="&amp;77233820999)</f>
        <v>0</v>
      </c>
      <c r="AC40" s="65" t="n">
        <f aca="false">COUNTIFS(Данные!$B$2:$B$722,19,Данные!$C$2:$C$722,2,Данные!$A$2:$A$722,"&gt;="&amp;77233850000,Данные!$A$2:$A$722,"&lt;="&amp;77233850999)</f>
        <v>0</v>
      </c>
      <c r="AD40" s="65" t="n">
        <f aca="false">COUNTIFS(Данные!$B$2:$B$722,19,Данные!$C$2:$C$722,2,Данные!$A$2:$A$722,"&gt;="&amp;77233420000,Данные!$A$2:$A$722,"&lt;="&amp;77233420999)</f>
        <v>0</v>
      </c>
      <c r="AE40" s="65" t="n">
        <f aca="false">COUNTIFS(Данные!$B$2:$B$722,19,Данные!$C$2:$C$722,2,Данные!$A$2:$A$722,"&gt;="&amp;77234740000,Данные!$A$2:$A$722,"&lt;="&amp;77234742999)</f>
        <v>0</v>
      </c>
      <c r="AF40" s="65" t="n">
        <f aca="false">COUNTIFS(Данные!$B$2:$B$722,19,Данные!$C$2:$C$722,2,Данные!$A$2:$A$722,"&gt;="&amp;77234767000,Данные!$A$2:$A$722,"&lt;="&amp;77234767999)</f>
        <v>0</v>
      </c>
      <c r="AG40" s="65" t="n">
        <f aca="false">COUNTIFS(Данные!$B$2:$B$722,19,Данные!$C$2:$C$722,2,Данные!$A$2:$A$722,"&gt;="&amp;77234120000,Данные!$A$2:$A$722,"&lt;="&amp;77234120999)</f>
        <v>0</v>
      </c>
      <c r="AH40" s="65" t="n">
        <f aca="false">COUNTIFS(Данные!$B$2:$B$722,19,Данные!$C$2:$C$722,2,Данные!$A$2:$A$722,"&gt;="&amp;77234127000,Данные!$A$2:$A$722,"&lt;="&amp;77234127999)</f>
        <v>0</v>
      </c>
      <c r="AI40" s="65" t="n">
        <f aca="false">COUNTIFS(Данные!$B$2:$B$722,19,Данные!$C$2:$C$722,2,Данные!$A$2:$A$722,"&gt;="&amp;77234220000,Данные!$A$2:$A$722,"&lt;="&amp;77234220999)</f>
        <v>0</v>
      </c>
      <c r="AJ40" s="65" t="n">
        <f aca="false">COUNTIFS(Данные!$B$2:$B$722,19,Данные!$C$2:$C$722,2,Данные!$A$2:$A$722,"&gt;="&amp;77234250000,Данные!$A$2:$A$722,"&lt;="&amp;77234250999)</f>
        <v>0</v>
      </c>
      <c r="AK40" s="65" t="n">
        <f aca="false">COUNTIFS(Данные!$B$2:$B$722,19,Данные!$C$2:$C$722,2,Данные!$A$2:$A$722,"&gt;="&amp;77233922950,Данные!$A$2:$A$722,"&lt;="&amp;77233924999)</f>
        <v>0</v>
      </c>
      <c r="AL40" s="65" t="n">
        <f aca="false">COUNTIFS(Данные!$B$2:$B$722,19,Данные!$C$2:$C$722,2,Данные!$A$2:$A$722,"&gt;="&amp;77234320000,Данные!$A$2:$A$722,"&lt;="&amp;77234320999)</f>
        <v>0</v>
      </c>
      <c r="AM40" s="65" t="n">
        <f aca="false">COUNTIFS(Данные!$B$2:$B$722,19,Данные!$C$2:$C$722,2,Данные!$A$2:$A$722,"&gt;="&amp;77234350000,Данные!$A$2:$A$722,"&lt;="&amp;77234350999)</f>
        <v>0</v>
      </c>
      <c r="AN40" s="65" t="n">
        <f aca="false">COUNTIFS(Данные!$B$2:$B$722,19,Данные!$C$2:$C$722,2,Данные!$A$2:$A$722,"&gt;="&amp;77234020000,Данные!$A$2:$A$722,"&lt;="&amp;77234020999)</f>
        <v>0</v>
      </c>
      <c r="AO40" s="65" t="n">
        <f aca="false">COUNTIFS(Данные!$B$2:$B$722,19,Данные!$C$2:$C$722,2,Данные!$A$2:$A$722,"&gt;="&amp;77234029000,Данные!$A$2:$A$722,"&lt;="&amp;77234029999)</f>
        <v>0</v>
      </c>
      <c r="AP40" s="65" t="n">
        <f aca="false">COUNTIFS(Данные!$B$2:$B$722,19,Данные!$C$2:$C$722,2,Данные!$A$2:$A$722,"&gt;="&amp;77234050000,Данные!$A$2:$A$722,"&lt;="&amp;77234050999)</f>
        <v>0</v>
      </c>
      <c r="AQ40" s="65" t="n">
        <f aca="false">COUNTIFS(Данные!$B$2:$B$722,19,Данные!$C$2:$C$722,2,Данные!$A$2:$A$722,"&gt;="&amp;77234427000,Данные!$A$2:$A$722,"&lt;="&amp;77234428999)</f>
        <v>0</v>
      </c>
      <c r="AR40" s="65" t="n">
        <f aca="false">COUNTIFS(Данные!$B$2:$B$722,19,Данные!$C$2:$C$722,2,Данные!$A$2:$A$722,"&gt;="&amp;77234450000,Данные!$A$2:$A$722,"&lt;="&amp;77234450999)</f>
        <v>0</v>
      </c>
      <c r="AS40" s="65" t="n">
        <f aca="false">COUNTIFS(Данные!$B$2:$B$722,19,Данные!$C$2:$C$722,2,Данные!$A$2:$A$722,"&gt;="&amp;77234620000,Данные!$A$2:$A$722,"&lt;="&amp;77234620999)</f>
        <v>0</v>
      </c>
      <c r="AT40" s="65" t="n">
        <f aca="false">COUNTIFS(Данные!$B$2:$B$722,19,Данные!$C$2:$C$722,2,Данные!$A$2:$A$722,"&gt;="&amp;77234650000,Данные!$A$2:$A$722,"&lt;="&amp;77234650999)</f>
        <v>0</v>
      </c>
      <c r="AU40" s="65" t="n">
        <f aca="false">COUNTIFS(Данные!$B$2:$B$722,19,Данные!$C$2:$C$722,2,Данные!$A$2:$A$722,"&gt;="&amp;77234820000,Данные!$A$2:$A$722,"&lt;="&amp;77234820999)</f>
        <v>0</v>
      </c>
      <c r="AV40" s="65" t="n">
        <f aca="false">COUNTIFS(Данные!$B$2:$B$722,19,Данные!$C$2:$C$722,2,Данные!$A$2:$A$722,"&gt;="&amp;77234850000,Данные!$A$2:$A$722,"&lt;="&amp;77234850999)</f>
        <v>0</v>
      </c>
      <c r="AW40" s="65" t="n">
        <f aca="false">COUNTIFS(Данные!$B$2:$B$722,19,Данные!$C$2:$C$722,2,Данные!$A$2:$A$722,"&gt;="&amp;77233327000,Данные!$A$2:$A$722,"&lt;="&amp;77233327999)</f>
        <v>0</v>
      </c>
      <c r="AX40" s="65" t="n">
        <f aca="false">COUNTIFS(Данные!$B$2:$B$722,19,Данные!$C$2:$C$722,2,Данные!$A$2:$A$722,"&gt;="&amp;77233350000,Данные!$A$2:$A$722,"&lt;="&amp;77233350599)</f>
        <v>0</v>
      </c>
      <c r="AY40" s="65" t="n">
        <f aca="false">COUNTIFS(Данные!$B$2:$B$722,19,Данные!$C$2:$C$722,2,Данные!$A$2:$A$722,"&gt;="&amp;77233351000,Данные!$A$2:$A$722,"&lt;="&amp;77233351999)</f>
        <v>0</v>
      </c>
      <c r="AZ40" s="66" t="n">
        <f aca="false">COUNTIFS(Данные!$B$2:$B$722,19,Данные!$C$2:$C$722,2,Данные!$A$2:$A$722,"&gt;="&amp;7722440000,Данные!$A$2:$A$722,"&lt;="&amp;7722440999)</f>
        <v>0</v>
      </c>
      <c r="BA40" s="66" t="n">
        <f aca="false">COUNTIFS(Данные!$B$2:$B$722,19,Данные!$C$2:$C$722,2,Данные!$A$2:$A$722,"&gt;="&amp;7722442000,Данные!$A$2:$A$722,"&lt;="&amp;7722445659)</f>
        <v>0</v>
      </c>
      <c r="BB40" s="66" t="n">
        <f aca="false">COUNTIFS(Данные!$B$2:$B$722,19,Данные!$C$2:$C$722,2,Данные!$A$2:$A$722,"&gt;="&amp;7722450000,Данные!$A$2:$A$722,"&lt;="&amp;7722450199)</f>
        <v>0</v>
      </c>
      <c r="BC40" s="66" t="n">
        <f aca="false">COUNTIFS(Данные!$B$2:$B$722,19,Данные!$C$2:$C$722,2,Данные!$A$2:$A$722,"&gt;="&amp;7722451000,Данные!$A$2:$A$722,"&lt;="&amp;7722451374)</f>
        <v>0</v>
      </c>
      <c r="BD40" s="66" t="n">
        <f aca="false">COUNTIFS(Данные!$B$2:$B$722,19,Данные!$C$2:$C$722,2,Данные!$A$2:$A$722,"&gt;="&amp;7722452000,Данные!$A$2:$A$722,"&lt;="&amp;7722452299)</f>
        <v>0</v>
      </c>
      <c r="BE40" s="66" t="n">
        <f aca="false">COUNTIFS(Данные!$B$2:$B$722,19,Данные!$C$2:$C$722,2,Данные!$A$2:$A$722,"&gt;="&amp;7722453000,Данные!$A$2:$A$722,"&lt;="&amp;7722453816)</f>
        <v>0</v>
      </c>
      <c r="BF40" s="66" t="n">
        <f aca="false">COUNTIFS(Данные!$B$2:$B$722,19,Данные!$C$2:$C$722,2,Данные!$A$2:$A$722,"&gt;="&amp;7722454000,Данные!$A$2:$A$722,"&lt;="&amp;7722454099)</f>
        <v>0</v>
      </c>
      <c r="BG40" s="66" t="n">
        <f aca="false">COUNTIFS(Данные!$B$2:$B$722,19,Данные!$C$2:$C$722,2,Данные!$A$2:$A$722,"&gt;="&amp;7722458000,Данные!$A$2:$A$722,"&lt;="&amp;7722458999)</f>
        <v>0</v>
      </c>
      <c r="BH40" s="66" t="n">
        <f aca="false">COUNTIFS(Данные!$B$2:$B$722,19,Данные!$C$2:$C$722,2,Данные!$A$2:$A$722,"&gt;="&amp;7722630000,Данные!$A$2:$A$722,"&lt;="&amp;7722638549)</f>
        <v>0</v>
      </c>
      <c r="BI40" s="66" t="n">
        <f aca="false">COUNTIFS(Данные!$B$2:$B$722,19,Данные!$C$2:$C$722,2,Данные!$A$2:$A$722,"&gt;="&amp;7722639400,Данные!$A$2:$A$722,"&lt;="&amp;7722639899)</f>
        <v>0</v>
      </c>
      <c r="BJ40" s="66" t="n">
        <f aca="false">COUNTIFS(Данные!$B$2:$B$722,19,Данные!$C$2:$C$722,2,Данные!$A$2:$A$722,"&gt;="&amp;7725750000,Данные!$A$2:$A$722,"&lt;="&amp;7725750399)</f>
        <v>0</v>
      </c>
      <c r="BK40" s="66" t="n">
        <f aca="false">COUNTIFS(Данные!$B$2:$B$722,19,Данные!$C$2:$C$722,2,Данные!$A$2:$A$722,"&gt;="&amp;7723620000,Данные!$A$2:$A$722,"&lt;="&amp;7723621299)</f>
        <v>0</v>
      </c>
      <c r="BL40" s="66" t="n">
        <f aca="false">COUNTIFS(Данные!$B$2:$B$722,19,Данные!$C$2:$C$722,2,Данные!$A$2:$A$722,"&gt;="&amp;7723621600,Данные!$A$2:$A$722,"&lt;="&amp;7723623399)</f>
        <v>0</v>
      </c>
      <c r="BM40" s="66" t="n">
        <f aca="false">COUNTIFS(Данные!$B$2:$B$722,19,Данные!$C$2:$C$722,2,Данные!$A$2:$A$722,"&gt;="&amp;7725127000,Данные!$A$2:$A$722,"&lt;="&amp;7725127999)</f>
        <v>0</v>
      </c>
      <c r="BN40" s="66" t="n">
        <f aca="false">COUNTIFS(Данные!$B$2:$B$722,19,Данные!$C$2:$C$722,2,Данные!$A$2:$A$722,"&gt;="&amp;7723772000,Данные!$A$2:$A$722,"&lt;="&amp;7723724999)</f>
        <v>0</v>
      </c>
      <c r="BO40" s="65" t="n">
        <f aca="false">COUNTIFS(Данные!$B$2:$B$722,19,Данные!$C$2:$C$722,2,Данные!$A$2:$A$722,"&gt;="&amp;7723765000,Данные!$A$2:$A$722,"&lt;="&amp;7723765499)</f>
        <v>0</v>
      </c>
      <c r="BP40" s="66" t="n">
        <f aca="false">COUNTIFS(Данные!$B$2:$B$722,19,Данные!$C$2:$C$722,2,Данные!$A$2:$A$722,"&gt;="&amp;7723948000,Данные!$A$2:$A$722,"&lt;="&amp;7723948999)</f>
        <v>0</v>
      </c>
      <c r="BQ40" s="66" t="n">
        <f aca="false">COUNTIFS(Данные!$B$2:$B$722,19,Данные!$C$2:$C$722,2,Данные!$A$2:$A$722,"&gt;="&amp;7723950000,Данные!$A$2:$A$722,"&lt;="&amp;7723951099)</f>
        <v>0</v>
      </c>
      <c r="BR40" s="66" t="n">
        <f aca="false">COUNTIFS(Данные!$B$2:$B$722,19,Данные!$C$2:$C$722,2,Данные!$A$2:$A$722,"&gt;="&amp;7723020000,Данные!$A$2:$A$722,"&lt;="&amp;7723020999)</f>
        <v>0</v>
      </c>
      <c r="BS40" s="66" t="n">
        <f aca="false">COUNTIFS(Данные!$B$2:$B$722,19,Данные!$C$2:$C$722,2,Данные!$A$2:$A$722,"&gt;="&amp;7723029000,Данные!$A$2:$A$722,"&lt;="&amp;7723029999)</f>
        <v>0</v>
      </c>
      <c r="BT40" s="66" t="n">
        <f aca="false">COUNTIFS(Данные!$B$2:$B$722,19,Данные!$C$2:$C$722,2,Данные!$A$2:$A$722,"&gt;="&amp;7723055000,Данные!$A$2:$A$722,"&lt;="&amp;7723056549)</f>
        <v>0</v>
      </c>
      <c r="BU40" s="65" t="n">
        <f aca="false">COUNTIFS(Данные!$B$2:$B$722,19,Данные!$C$2:$C$722,2,Данные!$A$2:$A$722,"&gt;="&amp;7725250000,Данные!$A$2:$A$722,"&lt;="&amp;7725250499)</f>
        <v>0</v>
      </c>
      <c r="BV40" s="66" t="n">
        <f aca="false">COUNTIFS(Данные!$B$2:$B$722,19,Данные!$C$2:$C$722,2,Данные!$A$2:$A$722,"&gt;="&amp;7183841400,Данные!$A$2:$A$722,"&lt;="&amp;7183841499)</f>
        <v>0</v>
      </c>
      <c r="BW40" s="49" t="n">
        <v>300</v>
      </c>
      <c r="BX40" s="67" t="n">
        <f aca="false">F40-BW40</f>
        <v>-264</v>
      </c>
    </row>
    <row r="41" s="15" customFormat="true" ht="12" hidden="false" customHeight="true" outlineLevel="0" collapsed="false">
      <c r="A41" s="38" t="n">
        <v>20</v>
      </c>
      <c r="B41" s="39" t="s">
        <v>73</v>
      </c>
      <c r="C41" s="41" t="n">
        <v>0</v>
      </c>
      <c r="D41" s="41" t="n">
        <v>200</v>
      </c>
      <c r="E41" s="42" t="n">
        <f aca="false">SUM(F41:F43)</f>
        <v>15</v>
      </c>
      <c r="F41" s="62" t="n">
        <f aca="false">COUNTIFS(Данные!$B$2:$B$722,20,Данные!$C$2:$C$722,0)</f>
        <v>1</v>
      </c>
      <c r="G41" s="62" t="n">
        <f aca="false">COUNTIFS(Данные!$B$2:$B$722,20,Данные!$C$2:$C$722,0,Данные!$A$2:$A$722,"&gt;="&amp;77232210840,Данные!$A$2:$A$722,"&lt;="&amp;77232216999)</f>
        <v>0</v>
      </c>
      <c r="H41" s="62" t="n">
        <f aca="false">COUNTIFS(Данные!$B$2:$B$722,20,Данные!$C$2:$C$722,0,Данные!$A$2:$A$722,"&gt;="&amp;77232510512,Данные!$A$2:$A$722,"&lt;="&amp;77232519487)</f>
        <v>0</v>
      </c>
      <c r="I41" s="62" t="n">
        <f aca="false">COUNTIFS(Данные!$B$2:$B$722,20,Данные!$C$2:$C$722,0,Данные!$A$2:$A$722,"&gt;="&amp;77232524160,Данные!$A$2:$A$722,"&lt;="&amp;77232529999)</f>
        <v>0</v>
      </c>
      <c r="J41" s="62" t="n">
        <f aca="false">COUNTIFS(Данные!$B$2:$B$722,20,Данные!$C$2:$C$722,0,Данные!$A$2:$A$722,"&gt;="&amp;77232544000,Данные!$A$2:$A$722,"&lt;="&amp;77232544999)</f>
        <v>0</v>
      </c>
      <c r="K41" s="62" t="n">
        <f aca="false">COUNTIFS(Данные!$B$2:$B$722,20,Данные!$C$2:$C$722,0,Данные!$A$2:$A$722,"&gt;="&amp;77232295504,Данные!$A$2:$A$722,"&lt;="&amp;77232296999)</f>
        <v>0</v>
      </c>
      <c r="L41" s="62" t="n">
        <f aca="false">COUNTIFS(Данные!$B$2:$B$722,20,Данные!$C$2:$C$722,0,Данные!$A$2:$A$722,"&gt;="&amp;77232785000,Данные!$A$2:$A$722,"&lt;="&amp;77232789999)</f>
        <v>0</v>
      </c>
      <c r="M41" s="62" t="n">
        <f aca="false">COUNTIFS(Данные!$B$2:$B$722,20,Данные!$C$2:$C$722,0,Данные!$A$2:$A$722,"&gt;="&amp;77233150000,Данные!$A$2:$A$722,"&lt;="&amp;77233155999)</f>
        <v>0</v>
      </c>
      <c r="N41" s="62" t="n">
        <f aca="false">COUNTIFS(Данные!$B$2:$B$722,20,Данные!$C$2:$C$722,0,Данные!$A$2:$A$722,"&gt;="&amp;77233235000,Данные!$A$2:$A$722,"&lt;="&amp;77233235999)</f>
        <v>0</v>
      </c>
      <c r="O41" s="62" t="n">
        <f aca="false">COUNTIFS(Данные!$B$2:$B$722,20,Данные!$C$2:$C$722,0,Данные!$A$2:$A$722,"&gt;="&amp;77233239000,Данные!$A$2:$A$722,"&lt;="&amp;77233239999)</f>
        <v>0</v>
      </c>
      <c r="P41" s="62" t="n">
        <f aca="false">COUNTIFS(Данные!$B$2:$B$722,20,Данные!$C$2:$C$722,0,Данные!$A$2:$A$722,"&gt;="&amp;77233272000,Данные!$A$2:$A$722,"&lt;="&amp;77233272999)</f>
        <v>0</v>
      </c>
      <c r="Q41" s="62" t="n">
        <f aca="false">COUNTIFS(Данные!$B$2:$B$722,20,Данные!$C$2:$C$722,0,Данные!$A$2:$A$722,"&gt;="&amp;77233291100,Данные!$A$2:$A$722,"&lt;="&amp;77233292999)</f>
        <v>0</v>
      </c>
      <c r="R41" s="62" t="n">
        <f aca="false">COUNTIFS(Данные!$B$2:$B$722,20,Данные!$C$2:$C$722,0,Данные!$A$2:$A$722,"&gt;="&amp;77233297000,Данные!$A$2:$A$722,"&lt;="&amp;77233298399)</f>
        <v>0</v>
      </c>
      <c r="S41" s="62" t="n">
        <f aca="false">COUNTIFS(Данные!$B$2:$B$722,20,Данные!$C$2:$C$722,0,Данные!$A$2:$A$722,"&gt;="&amp;77235124000,Данные!$A$2:$A$722,"&lt;="&amp;77235128499)</f>
        <v>1</v>
      </c>
      <c r="T41" s="62" t="n">
        <f aca="false">COUNTIFS(Данные!$B$2:$B$722,20,Данные!$C$2:$C$722,0,Данные!$A$2:$A$722,"&gt;="&amp;77235320000,Данные!$A$2:$A$722,"&lt;="&amp;77235320999)</f>
        <v>0</v>
      </c>
      <c r="U41" s="62" t="n">
        <f aca="false">COUNTIFS(Данные!$B$2:$B$722,20,Данные!$C$2:$C$722,0,Данные!$A$2:$A$722,"&gt;="&amp;77233620000,Данные!$A$2:$A$722,"&lt;="&amp;77233623339)</f>
        <v>0</v>
      </c>
      <c r="V41" s="62" t="n">
        <f aca="false">COUNTIFS(Данные!$B$2:$B$722,20,Данные!$C$2:$C$722,0,Данные!$A$2:$A$722,"&gt;="&amp;77233630000,Данные!$A$2:$A$722,"&lt;="&amp;77233630999)</f>
        <v>0</v>
      </c>
      <c r="W41" s="62" t="n">
        <f aca="false">COUNTIFS(Данные!$B$2:$B$722,20,Данные!$C$2:$C$722,0,Данные!$A$2:$A$722,"&gt;="&amp;77233637000,Данные!$A$2:$A$722,"&lt;="&amp;77233637599)</f>
        <v>0</v>
      </c>
      <c r="X41" s="62" t="n">
        <f aca="false">COUNTIFS(Данные!$B$2:$B$722,20,Данные!$C$2:$C$722,0,Данные!$A$2:$A$722,"&gt;="&amp;77233550000,Данные!$A$2:$A$722,"&lt;="&amp;77233550999)</f>
        <v>0</v>
      </c>
      <c r="Y41" s="62" t="n">
        <f aca="false">COUNTIFS(Данные!$B$2:$B$722,20,Данные!$C$2:$C$722,0,Данные!$A$2:$A$722,"&gt;="&amp;77233554000,Данные!$A$2:$A$722,"&lt;="&amp;77233554999)</f>
        <v>0</v>
      </c>
      <c r="Z41" s="62" t="n">
        <f aca="false">COUNTIFS(Данные!$B$2:$B$722,20,Данные!$C$2:$C$722,0,Данные!$A$2:$A$722,"&gt;="&amp;77233555000,Данные!$A$2:$A$722,"&lt;="&amp;77233556999)</f>
        <v>0</v>
      </c>
      <c r="AA41" s="62" t="n">
        <f aca="false">COUNTIFS(Данные!$B$2:$B$722,20,Данные!$C$2:$C$722,0,Данные!$A$2:$A$722,"&gt;="&amp;77233726000,Данные!$A$2:$A$722,"&lt;="&amp;77233726999)</f>
        <v>0</v>
      </c>
      <c r="AB41" s="62" t="n">
        <f aca="false">COUNTIFS(Данные!$B$2:$B$722,20,Данные!$C$2:$C$722,0,Данные!$A$2:$A$722,"&gt;="&amp;77233820000,Данные!$A$2:$A$722,"&lt;="&amp;77233820999)</f>
        <v>0</v>
      </c>
      <c r="AC41" s="62" t="n">
        <f aca="false">COUNTIFS(Данные!$B$2:$B$722,20,Данные!$C$2:$C$722,0,Данные!$A$2:$A$722,"&gt;="&amp;77233850000,Данные!$A$2:$A$722,"&lt;="&amp;77233850999)</f>
        <v>0</v>
      </c>
      <c r="AD41" s="62" t="n">
        <f aca="false">COUNTIFS(Данные!$B$2:$B$722,20,Данные!$C$2:$C$722,0,Данные!$A$2:$A$722,"&gt;="&amp;77233420000,Данные!$A$2:$A$722,"&lt;="&amp;77233420999)</f>
        <v>0</v>
      </c>
      <c r="AE41" s="62" t="n">
        <f aca="false">COUNTIFS(Данные!$B$2:$B$722,20,Данные!$C$2:$C$722,0,Данные!$A$2:$A$722,"&gt;="&amp;77234740000,Данные!$A$2:$A$722,"&lt;="&amp;77234742999)</f>
        <v>0</v>
      </c>
      <c r="AF41" s="62" t="n">
        <f aca="false">COUNTIFS(Данные!$B$2:$B$722,20,Данные!$C$2:$C$722,0,Данные!$A$2:$A$722,"&gt;="&amp;77234767000,Данные!$A$2:$A$722,"&lt;="&amp;77234767999)</f>
        <v>0</v>
      </c>
      <c r="AG41" s="62" t="n">
        <f aca="false">COUNTIFS(Данные!$B$2:$B$722,20,Данные!$C$2:$C$722,0,Данные!$A$2:$A$722,"&gt;="&amp;77234120000,Данные!$A$2:$A$722,"&lt;="&amp;77234120999)</f>
        <v>0</v>
      </c>
      <c r="AH41" s="62" t="n">
        <f aca="false">COUNTIFS(Данные!$B$2:$B$722,20,Данные!$C$2:$C$722,0,Данные!$A$2:$A$722,"&gt;="&amp;77234127000,Данные!$A$2:$A$722,"&lt;="&amp;77234127999)</f>
        <v>0</v>
      </c>
      <c r="AI41" s="62" t="n">
        <f aca="false">COUNTIFS(Данные!$B$2:$B$722,20,Данные!$C$2:$C$722,0,Данные!$A$2:$A$722,"&gt;="&amp;77234220000,Данные!$A$2:$A$722,"&lt;="&amp;77234220999)</f>
        <v>0</v>
      </c>
      <c r="AJ41" s="62" t="n">
        <f aca="false">COUNTIFS(Данные!$B$2:$B$722,20,Данные!$C$2:$C$722,0,Данные!$A$2:$A$722,"&gt;="&amp;77234250000,Данные!$A$2:$A$722,"&lt;="&amp;77234250999)</f>
        <v>0</v>
      </c>
      <c r="AK41" s="62" t="n">
        <f aca="false">COUNTIFS(Данные!$B$2:$B$722,20,Данные!$C$2:$C$722,0,Данные!$A$2:$A$722,"&gt;="&amp;77233922950,Данные!$A$2:$A$722,"&lt;="&amp;77233924999)</f>
        <v>0</v>
      </c>
      <c r="AL41" s="62" t="n">
        <f aca="false">COUNTIFS(Данные!$B$2:$B$722,20,Данные!$C$2:$C$722,0,Данные!$A$2:$A$722,"&gt;="&amp;77234320000,Данные!$A$2:$A$722,"&lt;="&amp;77234320999)</f>
        <v>0</v>
      </c>
      <c r="AM41" s="62" t="n">
        <f aca="false">COUNTIFS(Данные!$B$2:$B$722,20,Данные!$C$2:$C$722,0,Данные!$A$2:$A$722,"&gt;="&amp;77234350000,Данные!$A$2:$A$722,"&lt;="&amp;77234350999)</f>
        <v>0</v>
      </c>
      <c r="AN41" s="62" t="n">
        <f aca="false">COUNTIFS(Данные!$B$2:$B$722,20,Данные!$C$2:$C$722,0,Данные!$A$2:$A$722,"&gt;="&amp;77234020000,Данные!$A$2:$A$722,"&lt;="&amp;77234020999)</f>
        <v>0</v>
      </c>
      <c r="AO41" s="62" t="n">
        <f aca="false">COUNTIFS(Данные!$B$2:$B$722,20,Данные!$C$2:$C$722,0,Данные!$A$2:$A$722,"&gt;="&amp;77234029000,Данные!$A$2:$A$722,"&lt;="&amp;77234029999)</f>
        <v>0</v>
      </c>
      <c r="AP41" s="62" t="n">
        <f aca="false">COUNTIFS(Данные!$B$2:$B$722,20,Данные!$C$2:$C$722,0,Данные!$A$2:$A$722,"&gt;="&amp;77234050000,Данные!$A$2:$A$722,"&lt;="&amp;77234050999)</f>
        <v>0</v>
      </c>
      <c r="AQ41" s="62" t="n">
        <f aca="false">COUNTIFS(Данные!$B$2:$B$722,20,Данные!$C$2:$C$722,0,Данные!$A$2:$A$722,"&gt;="&amp;77234427000,Данные!$A$2:$A$722,"&lt;="&amp;77234428999)</f>
        <v>0</v>
      </c>
      <c r="AR41" s="62" t="n">
        <f aca="false">COUNTIFS(Данные!$B$2:$B$722,20,Данные!$C$2:$C$722,0,Данные!$A$2:$A$722,"&gt;="&amp;77234450000,Данные!$A$2:$A$722,"&lt;="&amp;77234450999)</f>
        <v>0</v>
      </c>
      <c r="AS41" s="62" t="n">
        <f aca="false">COUNTIFS(Данные!$B$2:$B$722,20,Данные!$C$2:$C$722,0,Данные!$A$2:$A$722,"&gt;="&amp;77234620000,Данные!$A$2:$A$722,"&lt;="&amp;77234620999)</f>
        <v>0</v>
      </c>
      <c r="AT41" s="62" t="n">
        <f aca="false">COUNTIFS(Данные!$B$2:$B$722,20,Данные!$C$2:$C$722,0,Данные!$A$2:$A$722,"&gt;="&amp;77234650000,Данные!$A$2:$A$722,"&lt;="&amp;77234650999)</f>
        <v>0</v>
      </c>
      <c r="AU41" s="62" t="n">
        <f aca="false">COUNTIFS(Данные!$B$2:$B$722,20,Данные!$C$2:$C$722,0,Данные!$A$2:$A$722,"&gt;="&amp;77234820000,Данные!$A$2:$A$722,"&lt;="&amp;77234820999)</f>
        <v>0</v>
      </c>
      <c r="AV41" s="62" t="n">
        <f aca="false">COUNTIFS(Данные!$B$2:$B$722,20,Данные!$C$2:$C$722,0,Данные!$A$2:$A$722,"&gt;="&amp;77234850000,Данные!$A$2:$A$722,"&lt;="&amp;77234850999)</f>
        <v>0</v>
      </c>
      <c r="AW41" s="62" t="n">
        <f aca="false">COUNTIFS(Данные!$B$2:$B$722,20,Данные!$C$2:$C$722,0,Данные!$A$2:$A$722,"&gt;="&amp;77233327000,Данные!$A$2:$A$722,"&lt;="&amp;77233327999)</f>
        <v>0</v>
      </c>
      <c r="AX41" s="62" t="n">
        <f aca="false">COUNTIFS(Данные!$B$2:$B$722,20,Данные!$C$2:$C$722,0,Данные!$A$2:$A$722,"&gt;="&amp;77233350000,Данные!$A$2:$A$722,"&lt;="&amp;77233350599)</f>
        <v>0</v>
      </c>
      <c r="AY41" s="62" t="n">
        <f aca="false">COUNTIFS(Данные!$B$2:$B$722,20,Данные!$C$2:$C$722,0,Данные!$A$2:$A$722,"&gt;="&amp;77233351000,Данные!$A$2:$A$722,"&lt;="&amp;77233351999)</f>
        <v>0</v>
      </c>
      <c r="AZ41" s="62" t="n">
        <f aca="false">COUNTIFS(Данные!$B$2:$B$722,20,Данные!$C$2:$C$722,0,Данные!$A$2:$A$722,"&gt;="&amp;7722440000,Данные!$A$2:$A$722,"&lt;="&amp;7722440999)</f>
        <v>0</v>
      </c>
      <c r="BA41" s="63" t="n">
        <f aca="false">COUNTIFS(Данные!$B$2:$B$722,20,Данные!$C$2:$C$722,0,Данные!$A$2:$A$722,"&gt;="&amp;7722442000,Данные!$A$2:$A$722,"&lt;="&amp;7722445659)</f>
        <v>0</v>
      </c>
      <c r="BB41" s="63" t="n">
        <f aca="false">COUNTIFS(Данные!$B$2:$B$722,20,Данные!$C$2:$C$722,0,Данные!$A$2:$A$722,"&gt;="&amp;7722450000,Данные!$A$2:$A$722,"&lt;="&amp;7722450199)</f>
        <v>0</v>
      </c>
      <c r="BC41" s="63" t="n">
        <f aca="false">COUNTIFS(Данные!$B$2:$B$722,20,Данные!$C$2:$C$722,0,Данные!$A$2:$A$722,"&gt;="&amp;7722451000,Данные!$A$2:$A$722,"&lt;="&amp;7722451374)</f>
        <v>0</v>
      </c>
      <c r="BD41" s="63" t="n">
        <f aca="false">COUNTIFS(Данные!$B$2:$B$722,20,Данные!$C$2:$C$722,0,Данные!$A$2:$A$722,"&gt;="&amp;7722452000,Данные!$A$2:$A$722,"&lt;="&amp;7722452299)</f>
        <v>0</v>
      </c>
      <c r="BE41" s="63" t="n">
        <f aca="false">COUNTIFS(Данные!$B$2:$B$722,20,Данные!$C$2:$C$722,0,Данные!$A$2:$A$722,"&gt;="&amp;7722453000,Данные!$A$2:$A$722,"&lt;="&amp;7722453816)</f>
        <v>0</v>
      </c>
      <c r="BF41" s="63" t="n">
        <f aca="false">COUNTIFS(Данные!$B$2:$B$722,20,Данные!$C$2:$C$722,0,Данные!$A$2:$A$722,"&gt;="&amp;7722454000,Данные!$A$2:$A$722,"&lt;="&amp;7722454099)</f>
        <v>0</v>
      </c>
      <c r="BG41" s="63" t="n">
        <f aca="false">COUNTIFS(Данные!$B$2:$B$722,20,Данные!$C$2:$C$722,0,Данные!$A$2:$A$722,"&gt;="&amp;7722458000,Данные!$A$2:$A$722,"&lt;="&amp;7722458999)</f>
        <v>0</v>
      </c>
      <c r="BH41" s="63" t="n">
        <f aca="false">COUNTIFS(Данные!$B$2:$B$722,20,Данные!$C$2:$C$722,0,Данные!$A$2:$A$722,"&gt;="&amp;7722630000,Данные!$A$2:$A$722,"&lt;="&amp;7722638549)</f>
        <v>0</v>
      </c>
      <c r="BI41" s="63" t="n">
        <f aca="false">COUNTIFS(Данные!$B$2:$B$722,20,Данные!$C$2:$C$722,0,Данные!$A$2:$A$722,"&gt;="&amp;7722639400,Данные!$A$2:$A$722,"&lt;="&amp;7722639899)</f>
        <v>0</v>
      </c>
      <c r="BJ41" s="63" t="n">
        <f aca="false">COUNTIFS(Данные!$B$2:$B$722,20,Данные!$C$2:$C$722,0,Данные!$A$2:$A$722,"&gt;="&amp;7725750000,Данные!$A$2:$A$722,"&lt;="&amp;7725750399)</f>
        <v>0</v>
      </c>
      <c r="BK41" s="63" t="n">
        <f aca="false">COUNTIFS(Данные!$B$2:$B$722,20,Данные!$C$2:$C$722,0,Данные!$A$2:$A$722,"&gt;="&amp;7723620000,Данные!$A$2:$A$722,"&lt;="&amp;7723621299)</f>
        <v>0</v>
      </c>
      <c r="BL41" s="63" t="n">
        <f aca="false">COUNTIFS(Данные!$B$2:$B$722,20,Данные!$C$2:$C$722,0,Данные!$A$2:$A$722,"&gt;="&amp;7723621600,Данные!$A$2:$A$722,"&lt;="&amp;7723623399)</f>
        <v>0</v>
      </c>
      <c r="BM41" s="63" t="n">
        <f aca="false">COUNTIFS(Данные!$B$2:$B$722,20,Данные!$C$2:$C$722,0,Данные!$A$2:$A$722,"&gt;="&amp;7725127000,Данные!$A$2:$A$722,"&lt;="&amp;7725127999)</f>
        <v>0</v>
      </c>
      <c r="BN41" s="63" t="n">
        <f aca="false">COUNTIFS(Данные!$B$2:$B$722,20,Данные!$C$2:$C$722,0,Данные!$A$2:$A$722,"&gt;="&amp;7723772000,Данные!$A$2:$A$722,"&lt;="&amp;7723724999)</f>
        <v>0</v>
      </c>
      <c r="BO41" s="62" t="n">
        <f aca="false">COUNTIFS(Данные!$B$2:$B$722,20,Данные!$C$2:$C$722,0,Данные!$A$2:$A$722,"&gt;="&amp;7723765000,Данные!$A$2:$A$722,"&lt;="&amp;7723765499)</f>
        <v>0</v>
      </c>
      <c r="BP41" s="63" t="n">
        <f aca="false">COUNTIFS(Данные!$B$2:$B$722,20,Данные!$C$2:$C$722,0,Данные!$A$2:$A$722,"&gt;="&amp;7723948000,Данные!$A$2:$A$722,"&lt;="&amp;7723948999)</f>
        <v>0</v>
      </c>
      <c r="BQ41" s="63" t="n">
        <f aca="false">COUNTIFS(Данные!$B$2:$B$722,20,Данные!$C$2:$C$722,0,Данные!$A$2:$A$722,"&gt;="&amp;7723950000,Данные!$A$2:$A$722,"&lt;="&amp;7723951099)</f>
        <v>0</v>
      </c>
      <c r="BR41" s="63" t="n">
        <f aca="false">COUNTIFS(Данные!$B$2:$B$722,20,Данные!$C$2:$C$722,0,Данные!$A$2:$A$722,"&gt;="&amp;7723020000,Данные!$A$2:$A$722,"&lt;="&amp;7723020999)</f>
        <v>0</v>
      </c>
      <c r="BS41" s="63" t="n">
        <f aca="false">COUNTIFS(Данные!$B$2:$B$722,20,Данные!$C$2:$C$722,0,Данные!$A$2:$A$722,"&gt;="&amp;7723029000,Данные!$A$2:$A$722,"&lt;="&amp;7723029999)</f>
        <v>0</v>
      </c>
      <c r="BT41" s="63" t="n">
        <f aca="false">COUNTIFS(Данные!$B$2:$B$722,20,Данные!$C$2:$C$722,0,Данные!$A$2:$A$722,"&gt;="&amp;7723055000,Данные!$A$2:$A$722,"&lt;="&amp;7723056549)</f>
        <v>0</v>
      </c>
      <c r="BU41" s="62" t="n">
        <f aca="false">COUNTIFS(Данные!$B$2:$B$722,20,Данные!$C$2:$C$722,0,Данные!$A$2:$A$722,"&gt;="&amp;7725250000,Данные!$A$2:$A$722,"&lt;="&amp;7725250499)</f>
        <v>0</v>
      </c>
      <c r="BV41" s="63" t="n">
        <f aca="false">COUNTIFS(Данные!$B$2:$B$722,20,Данные!$C$2:$C$722,0,Данные!$A$2:$A$722,"&gt;="&amp;7183841400,Данные!$A$2:$A$722,"&lt;="&amp;7183841499)</f>
        <v>0</v>
      </c>
      <c r="BW41" s="40" t="n">
        <v>300</v>
      </c>
      <c r="BX41" s="64" t="n">
        <f aca="false">F41-BW41</f>
        <v>-299</v>
      </c>
    </row>
    <row r="42" s="15" customFormat="true" ht="12" hidden="false" customHeight="true" outlineLevel="0" collapsed="false">
      <c r="A42" s="38"/>
      <c r="B42" s="39"/>
      <c r="C42" s="41" t="n">
        <v>1</v>
      </c>
      <c r="D42" s="41" t="n">
        <v>201</v>
      </c>
      <c r="E42" s="42"/>
      <c r="F42" s="62" t="n">
        <f aca="false">COUNTIFS(Данные!$B$2:$B$722,20,Данные!$C$2:$C$722,1)</f>
        <v>10</v>
      </c>
      <c r="G42" s="62" t="n">
        <f aca="false">COUNTIFS(Данные!$B$2:$B$722,20,Данные!$C$2:$C$722,1,Данные!$A$2:$A$722,"&gt;="&amp;77232210840,Данные!$A$2:$A$722,"&lt;="&amp;77232216999)</f>
        <v>0</v>
      </c>
      <c r="H42" s="62" t="n">
        <f aca="false">COUNTIFS(Данные!$B$2:$B$722,20,Данные!$C$2:$C$722,1,Данные!$A$2:$A$722,"&gt;="&amp;77232510512,Данные!$A$2:$A$722,"&lt;="&amp;77232519487)</f>
        <v>0</v>
      </c>
      <c r="I42" s="62" t="n">
        <f aca="false">COUNTIFS(Данные!$B$2:$B$722,20,Данные!$C$2:$C$722,1,Данные!$A$2:$A$722,"&gt;="&amp;77232524160,Данные!$A$2:$A$722,"&lt;="&amp;77232529999)</f>
        <v>0</v>
      </c>
      <c r="J42" s="62" t="n">
        <f aca="false">COUNTIFS(Данные!$B$2:$B$722,20,Данные!$C$2:$C$722,1,Данные!$A$2:$A$722,"&gt;="&amp;77232544000,Данные!$A$2:$A$722,"&lt;="&amp;77232544999)</f>
        <v>0</v>
      </c>
      <c r="K42" s="62" t="n">
        <f aca="false">COUNTIFS(Данные!$B$2:$B$722,20,Данные!$C$2:$C$722,1,Данные!$A$2:$A$722,"&gt;="&amp;77232295504,Данные!$A$2:$A$722,"&lt;="&amp;77232296999)</f>
        <v>0</v>
      </c>
      <c r="L42" s="62" t="n">
        <f aca="false">COUNTIFS(Данные!$B$2:$B$722,20,Данные!$C$2:$C$722,1,Данные!$A$2:$A$722,"&gt;="&amp;77232785000,Данные!$A$2:$A$722,"&lt;="&amp;77232789999)</f>
        <v>0</v>
      </c>
      <c r="M42" s="62" t="n">
        <f aca="false">COUNTIFS(Данные!$B$2:$B$722,20,Данные!$C$2:$C$722,1,Данные!$A$2:$A$722,"&gt;="&amp;77233150000,Данные!$A$2:$A$722,"&lt;="&amp;77233155999)</f>
        <v>0</v>
      </c>
      <c r="N42" s="62" t="n">
        <f aca="false">COUNTIFS(Данные!$B$2:$B$722,20,Данные!$C$2:$C$722,1,Данные!$A$2:$A$722,"&gt;="&amp;77233235000,Данные!$A$2:$A$722,"&lt;="&amp;77233235999)</f>
        <v>0</v>
      </c>
      <c r="O42" s="62" t="n">
        <f aca="false">COUNTIFS(Данные!$B$2:$B$722,20,Данные!$C$2:$C$722,1,Данные!$A$2:$A$722,"&gt;="&amp;77233239000,Данные!$A$2:$A$722,"&lt;="&amp;77233239999)</f>
        <v>0</v>
      </c>
      <c r="P42" s="62" t="n">
        <f aca="false">COUNTIFS(Данные!$B$2:$B$722,20,Данные!$C$2:$C$722,1,Данные!$A$2:$A$722,"&gt;="&amp;77233272000,Данные!$A$2:$A$722,"&lt;="&amp;77233272999)</f>
        <v>0</v>
      </c>
      <c r="Q42" s="62" t="n">
        <f aca="false">COUNTIFS(Данные!$B$2:$B$722,20,Данные!$C$2:$C$722,1,Данные!$A$2:$A$722,"&gt;="&amp;77233291100,Данные!$A$2:$A$722,"&lt;="&amp;77233292999)</f>
        <v>0</v>
      </c>
      <c r="R42" s="62" t="n">
        <f aca="false">COUNTIFS(Данные!$B$2:$B$722,20,Данные!$C$2:$C$722,1,Данные!$A$2:$A$722,"&gt;="&amp;77233297000,Данные!$A$2:$A$722,"&lt;="&amp;77233298399)</f>
        <v>0</v>
      </c>
      <c r="S42" s="62" t="n">
        <f aca="false">COUNTIFS(Данные!$B$2:$B$722,20,Данные!$C$2:$C$722,1,Данные!$A$2:$A$722,"&gt;="&amp;77235124000,Данные!$A$2:$A$722,"&lt;="&amp;77235128499)</f>
        <v>10</v>
      </c>
      <c r="T42" s="62" t="n">
        <f aca="false">COUNTIFS(Данные!$B$2:$B$722,20,Данные!$C$2:$C$722,1,Данные!$A$2:$A$722,"&gt;="&amp;77235320000,Данные!$A$2:$A$722,"&lt;="&amp;77235320999)</f>
        <v>0</v>
      </c>
      <c r="U42" s="62" t="n">
        <f aca="false">COUNTIFS(Данные!$B$2:$B$722,20,Данные!$C$2:$C$722,1,Данные!$A$2:$A$722,"&gt;="&amp;77233620000,Данные!$A$2:$A$722,"&lt;="&amp;77233623339)</f>
        <v>0</v>
      </c>
      <c r="V42" s="62" t="n">
        <f aca="false">COUNTIFS(Данные!$B$2:$B$722,20,Данные!$C$2:$C$722,1,Данные!$A$2:$A$722,"&gt;="&amp;77233630000,Данные!$A$2:$A$722,"&lt;="&amp;77233630999)</f>
        <v>0</v>
      </c>
      <c r="W42" s="62" t="n">
        <f aca="false">COUNTIFS(Данные!$B$2:$B$722,20,Данные!$C$2:$C$722,1,Данные!$A$2:$A$722,"&gt;="&amp;77233637000,Данные!$A$2:$A$722,"&lt;="&amp;77233637599)</f>
        <v>0</v>
      </c>
      <c r="X42" s="62" t="n">
        <f aca="false">COUNTIFS(Данные!$B$2:$B$722,20,Данные!$C$2:$C$722,1,Данные!$A$2:$A$722,"&gt;="&amp;77233550000,Данные!$A$2:$A$722,"&lt;="&amp;77233550999)</f>
        <v>0</v>
      </c>
      <c r="Y42" s="62" t="n">
        <f aca="false">COUNTIFS(Данные!$B$2:$B$722,20,Данные!$C$2:$C$722,1,Данные!$A$2:$A$722,"&gt;="&amp;77233554000,Данные!$A$2:$A$722,"&lt;="&amp;77233554999)</f>
        <v>0</v>
      </c>
      <c r="Z42" s="62" t="n">
        <f aca="false">COUNTIFS(Данные!$B$2:$B$722,20,Данные!$C$2:$C$722,1,Данные!$A$2:$A$722,"&gt;="&amp;77233555000,Данные!$A$2:$A$722,"&lt;="&amp;77233556999)</f>
        <v>0</v>
      </c>
      <c r="AA42" s="62" t="n">
        <f aca="false">COUNTIFS(Данные!$B$2:$B$722,20,Данные!$C$2:$C$722,1,Данные!$A$2:$A$722,"&gt;="&amp;77233726000,Данные!$A$2:$A$722,"&lt;="&amp;77233726999)</f>
        <v>0</v>
      </c>
      <c r="AB42" s="62" t="n">
        <f aca="false">COUNTIFS(Данные!$B$2:$B$722,20,Данные!$C$2:$C$722,1,Данные!$A$2:$A$722,"&gt;="&amp;77233820000,Данные!$A$2:$A$722,"&lt;="&amp;77233820999)</f>
        <v>0</v>
      </c>
      <c r="AC42" s="62" t="n">
        <f aca="false">COUNTIFS(Данные!$B$2:$B$722,20,Данные!$C$2:$C$722,1,Данные!$A$2:$A$722,"&gt;="&amp;77233850000,Данные!$A$2:$A$722,"&lt;="&amp;77233850999)</f>
        <v>0</v>
      </c>
      <c r="AD42" s="62" t="n">
        <f aca="false">COUNTIFS(Данные!$B$2:$B$722,20,Данные!$C$2:$C$722,1,Данные!$A$2:$A$722,"&gt;="&amp;77233420000,Данные!$A$2:$A$722,"&lt;="&amp;77233420999)</f>
        <v>0</v>
      </c>
      <c r="AE42" s="62" t="n">
        <f aca="false">COUNTIFS(Данные!$B$2:$B$722,20,Данные!$C$2:$C$722,1,Данные!$A$2:$A$722,"&gt;="&amp;77234740000,Данные!$A$2:$A$722,"&lt;="&amp;77234742999)</f>
        <v>0</v>
      </c>
      <c r="AF42" s="62" t="n">
        <f aca="false">COUNTIFS(Данные!$B$2:$B$722,20,Данные!$C$2:$C$722,1,Данные!$A$2:$A$722,"&gt;="&amp;77234767000,Данные!$A$2:$A$722,"&lt;="&amp;77234767999)</f>
        <v>0</v>
      </c>
      <c r="AG42" s="62" t="n">
        <f aca="false">COUNTIFS(Данные!$B$2:$B$722,20,Данные!$C$2:$C$722,1,Данные!$A$2:$A$722,"&gt;="&amp;77234120000,Данные!$A$2:$A$722,"&lt;="&amp;77234120999)</f>
        <v>0</v>
      </c>
      <c r="AH42" s="62" t="n">
        <f aca="false">COUNTIFS(Данные!$B$2:$B$722,20,Данные!$C$2:$C$722,1,Данные!$A$2:$A$722,"&gt;="&amp;77234127000,Данные!$A$2:$A$722,"&lt;="&amp;77234127999)</f>
        <v>0</v>
      </c>
      <c r="AI42" s="62" t="n">
        <f aca="false">COUNTIFS(Данные!$B$2:$B$722,20,Данные!$C$2:$C$722,1,Данные!$A$2:$A$722,"&gt;="&amp;77234220000,Данные!$A$2:$A$722,"&lt;="&amp;77234220999)</f>
        <v>0</v>
      </c>
      <c r="AJ42" s="62" t="n">
        <f aca="false">COUNTIFS(Данные!$B$2:$B$722,20,Данные!$C$2:$C$722,1,Данные!$A$2:$A$722,"&gt;="&amp;77234250000,Данные!$A$2:$A$722,"&lt;="&amp;77234250999)</f>
        <v>0</v>
      </c>
      <c r="AK42" s="62" t="n">
        <f aca="false">COUNTIFS(Данные!$B$2:$B$722,20,Данные!$C$2:$C$722,1,Данные!$A$2:$A$722,"&gt;="&amp;77233922950,Данные!$A$2:$A$722,"&lt;="&amp;77233924999)</f>
        <v>0</v>
      </c>
      <c r="AL42" s="62" t="n">
        <f aca="false">COUNTIFS(Данные!$B$2:$B$722,20,Данные!$C$2:$C$722,1,Данные!$A$2:$A$722,"&gt;="&amp;77234320000,Данные!$A$2:$A$722,"&lt;="&amp;77234320999)</f>
        <v>0</v>
      </c>
      <c r="AM42" s="62" t="n">
        <f aca="false">COUNTIFS(Данные!$B$2:$B$722,20,Данные!$C$2:$C$722,1,Данные!$A$2:$A$722,"&gt;="&amp;77234350000,Данные!$A$2:$A$722,"&lt;="&amp;77234350999)</f>
        <v>0</v>
      </c>
      <c r="AN42" s="62" t="n">
        <f aca="false">COUNTIFS(Данные!$B$2:$B$722,20,Данные!$C$2:$C$722,1,Данные!$A$2:$A$722,"&gt;="&amp;77234020000,Данные!$A$2:$A$722,"&lt;="&amp;77234020999)</f>
        <v>0</v>
      </c>
      <c r="AO42" s="62" t="n">
        <f aca="false">COUNTIFS(Данные!$B$2:$B$722,20,Данные!$C$2:$C$722,1,Данные!$A$2:$A$722,"&gt;="&amp;77234029000,Данные!$A$2:$A$722,"&lt;="&amp;77234029999)</f>
        <v>0</v>
      </c>
      <c r="AP42" s="62" t="n">
        <f aca="false">COUNTIFS(Данные!$B$2:$B$722,20,Данные!$C$2:$C$722,1,Данные!$A$2:$A$722,"&gt;="&amp;77234050000,Данные!$A$2:$A$722,"&lt;="&amp;77234050999)</f>
        <v>0</v>
      </c>
      <c r="AQ42" s="62" t="n">
        <f aca="false">COUNTIFS(Данные!$B$2:$B$722,20,Данные!$C$2:$C$722,1,Данные!$A$2:$A$722,"&gt;="&amp;77234427000,Данные!$A$2:$A$722,"&lt;="&amp;77234428999)</f>
        <v>0</v>
      </c>
      <c r="AR42" s="62" t="n">
        <f aca="false">COUNTIFS(Данные!$B$2:$B$722,20,Данные!$C$2:$C$722,1,Данные!$A$2:$A$722,"&gt;="&amp;77234450000,Данные!$A$2:$A$722,"&lt;="&amp;77234450999)</f>
        <v>0</v>
      </c>
      <c r="AS42" s="62" t="n">
        <f aca="false">COUNTIFS(Данные!$B$2:$B$722,20,Данные!$C$2:$C$722,1,Данные!$A$2:$A$722,"&gt;="&amp;77234620000,Данные!$A$2:$A$722,"&lt;="&amp;77234620999)</f>
        <v>0</v>
      </c>
      <c r="AT42" s="62" t="n">
        <f aca="false">COUNTIFS(Данные!$B$2:$B$722,20,Данные!$C$2:$C$722,1,Данные!$A$2:$A$722,"&gt;="&amp;77234650000,Данные!$A$2:$A$722,"&lt;="&amp;77234650999)</f>
        <v>0</v>
      </c>
      <c r="AU42" s="62" t="n">
        <f aca="false">COUNTIFS(Данные!$B$2:$B$722,20,Данные!$C$2:$C$722,1,Данные!$A$2:$A$722,"&gt;="&amp;77234820000,Данные!$A$2:$A$722,"&lt;="&amp;77234820999)</f>
        <v>0</v>
      </c>
      <c r="AV42" s="62" t="n">
        <f aca="false">COUNTIFS(Данные!$B$2:$B$722,20,Данные!$C$2:$C$722,1,Данные!$A$2:$A$722,"&gt;="&amp;77234850000,Данные!$A$2:$A$722,"&lt;="&amp;77234850999)</f>
        <v>0</v>
      </c>
      <c r="AW42" s="62" t="n">
        <f aca="false">COUNTIFS(Данные!$B$2:$B$722,20,Данные!$C$2:$C$722,1,Данные!$A$2:$A$722,"&gt;="&amp;77233327000,Данные!$A$2:$A$722,"&lt;="&amp;77233327999)</f>
        <v>0</v>
      </c>
      <c r="AX42" s="62" t="n">
        <f aca="false">COUNTIFS(Данные!$B$2:$B$722,20,Данные!$C$2:$C$722,1,Данные!$A$2:$A$722,"&gt;="&amp;77233350000,Данные!$A$2:$A$722,"&lt;="&amp;77233350599)</f>
        <v>0</v>
      </c>
      <c r="AY42" s="62" t="n">
        <f aca="false">COUNTIFS(Данные!$B$2:$B$722,20,Данные!$C$2:$C$722,1,Данные!$A$2:$A$722,"&gt;="&amp;77233351000,Данные!$A$2:$A$722,"&lt;="&amp;77233351999)</f>
        <v>0</v>
      </c>
      <c r="AZ42" s="63" t="n">
        <f aca="false">COUNTIFS(Данные!$B$2:$B$722,20,Данные!$C$2:$C$722,1,Данные!$A$2:$A$722,"&gt;="&amp;7722440000,Данные!$A$2:$A$722,"&lt;="&amp;7722440999)</f>
        <v>0</v>
      </c>
      <c r="BA42" s="63" t="n">
        <f aca="false">COUNTIFS(Данные!$B$2:$B$722,20,Данные!$C$2:$C$722,1,Данные!$A$2:$A$722,"&gt;="&amp;7722442000,Данные!$A$2:$A$722,"&lt;="&amp;7722445659)</f>
        <v>0</v>
      </c>
      <c r="BB42" s="63" t="n">
        <f aca="false">COUNTIFS(Данные!$B$2:$B$722,20,Данные!$C$2:$C$722,1,Данные!$A$2:$A$722,"&gt;="&amp;7722450000,Данные!$A$2:$A$722,"&lt;="&amp;7722450199)</f>
        <v>0</v>
      </c>
      <c r="BC42" s="63" t="n">
        <f aca="false">COUNTIFS(Данные!$B$2:$B$722,20,Данные!$C$2:$C$722,1,Данные!$A$2:$A$722,"&gt;="&amp;7722451000,Данные!$A$2:$A$722,"&lt;="&amp;7722451374)</f>
        <v>0</v>
      </c>
      <c r="BD42" s="63" t="n">
        <f aca="false">COUNTIFS(Данные!$B$2:$B$722,20,Данные!$C$2:$C$722,1,Данные!$A$2:$A$722,"&gt;="&amp;7722452000,Данные!$A$2:$A$722,"&lt;="&amp;7722452299)</f>
        <v>0</v>
      </c>
      <c r="BE42" s="63" t="n">
        <f aca="false">COUNTIFS(Данные!$B$2:$B$722,20,Данные!$C$2:$C$722,1,Данные!$A$2:$A$722,"&gt;="&amp;7722453000,Данные!$A$2:$A$722,"&lt;="&amp;7722453816)</f>
        <v>0</v>
      </c>
      <c r="BF42" s="63" t="n">
        <f aca="false">COUNTIFS(Данные!$B$2:$B$722,20,Данные!$C$2:$C$722,1,Данные!$A$2:$A$722,"&gt;="&amp;7722454000,Данные!$A$2:$A$722,"&lt;="&amp;7722454099)</f>
        <v>0</v>
      </c>
      <c r="BG42" s="63" t="n">
        <f aca="false">COUNTIFS(Данные!$B$2:$B$722,20,Данные!$C$2:$C$722,1,Данные!$A$2:$A$722,"&gt;="&amp;7722458000,Данные!$A$2:$A$722,"&lt;="&amp;7722458999)</f>
        <v>0</v>
      </c>
      <c r="BH42" s="63" t="n">
        <f aca="false">COUNTIFS(Данные!$B$2:$B$722,20,Данные!$C$2:$C$722,1,Данные!$A$2:$A$722,"&gt;="&amp;7722630000,Данные!$A$2:$A$722,"&lt;="&amp;7722638549)</f>
        <v>0</v>
      </c>
      <c r="BI42" s="63" t="n">
        <f aca="false">COUNTIFS(Данные!$B$2:$B$722,20,Данные!$C$2:$C$722,1,Данные!$A$2:$A$722,"&gt;="&amp;7722639400,Данные!$A$2:$A$722,"&lt;="&amp;7722639899)</f>
        <v>0</v>
      </c>
      <c r="BJ42" s="63" t="n">
        <f aca="false">COUNTIFS(Данные!$B$2:$B$722,20,Данные!$C$2:$C$722,1,Данные!$A$2:$A$722,"&gt;="&amp;7725750000,Данные!$A$2:$A$722,"&lt;="&amp;7725750399)</f>
        <v>0</v>
      </c>
      <c r="BK42" s="63" t="n">
        <f aca="false">COUNTIFS(Данные!$B$2:$B$722,20,Данные!$C$2:$C$722,1,Данные!$A$2:$A$722,"&gt;="&amp;7723620000,Данные!$A$2:$A$722,"&lt;="&amp;7723621299)</f>
        <v>0</v>
      </c>
      <c r="BL42" s="63" t="n">
        <f aca="false">COUNTIFS(Данные!$B$2:$B$722,20,Данные!$C$2:$C$722,1,Данные!$A$2:$A$722,"&gt;="&amp;7723621600,Данные!$A$2:$A$722,"&lt;="&amp;7723623399)</f>
        <v>0</v>
      </c>
      <c r="BM42" s="63" t="n">
        <f aca="false">COUNTIFS(Данные!$B$2:$B$722,20,Данные!$C$2:$C$722,1,Данные!$A$2:$A$722,"&gt;="&amp;7725127000,Данные!$A$2:$A$722,"&lt;="&amp;7725127999)</f>
        <v>0</v>
      </c>
      <c r="BN42" s="63" t="n">
        <f aca="false">COUNTIFS(Данные!$B$2:$B$722,20,Данные!$C$2:$C$722,1,Данные!$A$2:$A$722,"&gt;="&amp;7723772000,Данные!$A$2:$A$722,"&lt;="&amp;7723724999)</f>
        <v>0</v>
      </c>
      <c r="BO42" s="62" t="n">
        <f aca="false">COUNTIFS(Данные!$B$2:$B$722,20,Данные!$C$2:$C$722,1,Данные!$A$2:$A$722,"&gt;="&amp;7723765000,Данные!$A$2:$A$722,"&lt;="&amp;7723765499)</f>
        <v>0</v>
      </c>
      <c r="BP42" s="63" t="n">
        <f aca="false">COUNTIFS(Данные!$B$2:$B$722,20,Данные!$C$2:$C$722,1,Данные!$A$2:$A$722,"&gt;="&amp;7723948000,Данные!$A$2:$A$722,"&lt;="&amp;7723948999)</f>
        <v>0</v>
      </c>
      <c r="BQ42" s="63" t="n">
        <f aca="false">COUNTIFS(Данные!$B$2:$B$722,20,Данные!$C$2:$C$722,1,Данные!$A$2:$A$722,"&gt;="&amp;7723950000,Данные!$A$2:$A$722,"&lt;="&amp;7723951099)</f>
        <v>0</v>
      </c>
      <c r="BR42" s="63" t="n">
        <f aca="false">COUNTIFS(Данные!$B$2:$B$722,20,Данные!$C$2:$C$722,1,Данные!$A$2:$A$722,"&gt;="&amp;7723020000,Данные!$A$2:$A$722,"&lt;="&amp;7723020999)</f>
        <v>0</v>
      </c>
      <c r="BS42" s="63" t="n">
        <f aca="false">COUNTIFS(Данные!$B$2:$B$722,20,Данные!$C$2:$C$722,1,Данные!$A$2:$A$722,"&gt;="&amp;7723029000,Данные!$A$2:$A$722,"&lt;="&amp;7723029999)</f>
        <v>0</v>
      </c>
      <c r="BT42" s="63" t="n">
        <f aca="false">COUNTIFS(Данные!$B$2:$B$722,20,Данные!$C$2:$C$722,1,Данные!$A$2:$A$722,"&gt;="&amp;7723055000,Данные!$A$2:$A$722,"&lt;="&amp;7723056549)</f>
        <v>0</v>
      </c>
      <c r="BU42" s="62" t="n">
        <f aca="false">COUNTIFS(Данные!$B$2:$B$722,20,Данные!$C$2:$C$722,1,Данные!$A$2:$A$722,"&gt;="&amp;7725250000,Данные!$A$2:$A$722,"&lt;="&amp;7725250499)</f>
        <v>0</v>
      </c>
      <c r="BV42" s="63" t="n">
        <f aca="false">COUNTIFS(Данные!$B$2:$B$722,20,Данные!$C$2:$C$722,1,Данные!$A$2:$A$722,"&gt;="&amp;7183841400,Данные!$A$2:$A$722,"&lt;="&amp;7183841499)</f>
        <v>0</v>
      </c>
      <c r="BW42" s="40" t="n">
        <v>300</v>
      </c>
      <c r="BX42" s="64" t="n">
        <f aca="false">F42-BW42</f>
        <v>-290</v>
      </c>
    </row>
    <row r="43" s="15" customFormat="true" ht="12" hidden="false" customHeight="true" outlineLevel="0" collapsed="false">
      <c r="A43" s="38"/>
      <c r="B43" s="39"/>
      <c r="C43" s="41" t="n">
        <v>2</v>
      </c>
      <c r="D43" s="41" t="n">
        <v>202</v>
      </c>
      <c r="E43" s="42"/>
      <c r="F43" s="62" t="n">
        <f aca="false">COUNTIFS(Данные!$B$2:$B$722,20,Данные!$C$2:$C$722,2)</f>
        <v>4</v>
      </c>
      <c r="G43" s="62" t="n">
        <f aca="false">COUNTIFS(Данные!$B$2:$B$722,20,Данные!$C$2:$C$722,2,Данные!$A$2:$A$722,"&gt;="&amp;77232210840,Данные!$A$2:$A$722,"&lt;="&amp;77232216999)</f>
        <v>0</v>
      </c>
      <c r="H43" s="62" t="n">
        <f aca="false">COUNTIFS(Данные!$B$2:$B$722,20,Данные!$C$2:$C$722,2,Данные!$A$2:$A$722,"&gt;="&amp;77232510512,Данные!$A$2:$A$722,"&lt;="&amp;77232519487)</f>
        <v>0</v>
      </c>
      <c r="I43" s="62" t="n">
        <f aca="false">COUNTIFS(Данные!$B$2:$B$722,20,Данные!$C$2:$C$722,2,Данные!$A$2:$A$722,"&gt;="&amp;77232524160,Данные!$A$2:$A$722,"&lt;="&amp;77232529999)</f>
        <v>0</v>
      </c>
      <c r="J43" s="62" t="n">
        <f aca="false">COUNTIFS(Данные!$B$2:$B$722,20,Данные!$C$2:$C$722,2,Данные!$A$2:$A$722,"&gt;="&amp;77232544000,Данные!$A$2:$A$722,"&lt;="&amp;77232544999)</f>
        <v>0</v>
      </c>
      <c r="K43" s="62" t="n">
        <f aca="false">COUNTIFS(Данные!$B$2:$B$722,20,Данные!$C$2:$C$722,2,Данные!$A$2:$A$722,"&gt;="&amp;77232295504,Данные!$A$2:$A$722,"&lt;="&amp;77232296999)</f>
        <v>0</v>
      </c>
      <c r="L43" s="62" t="n">
        <f aca="false">COUNTIFS(Данные!$B$2:$B$722,20,Данные!$C$2:$C$722,2,Данные!$A$2:$A$722,"&gt;="&amp;77232785000,Данные!$A$2:$A$722,"&lt;="&amp;77232789999)</f>
        <v>0</v>
      </c>
      <c r="M43" s="62" t="n">
        <f aca="false">COUNTIFS(Данные!$B$2:$B$722,20,Данные!$C$2:$C$722,2,Данные!$A$2:$A$722,"&gt;="&amp;77233150000,Данные!$A$2:$A$722,"&lt;="&amp;77233155999)</f>
        <v>0</v>
      </c>
      <c r="N43" s="62" t="n">
        <f aca="false">COUNTIFS(Данные!$B$2:$B$722,20,Данные!$C$2:$C$722,2,Данные!$A$2:$A$722,"&gt;="&amp;77233235000,Данные!$A$2:$A$722,"&lt;="&amp;77233235999)</f>
        <v>0</v>
      </c>
      <c r="O43" s="62" t="n">
        <f aca="false">COUNTIFS(Данные!$B$2:$B$722,20,Данные!$C$2:$C$722,2,Данные!$A$2:$A$722,"&gt;="&amp;77233239000,Данные!$A$2:$A$722,"&lt;="&amp;77233239999)</f>
        <v>0</v>
      </c>
      <c r="P43" s="62" t="n">
        <f aca="false">COUNTIFS(Данные!$B$2:$B$722,20,Данные!$C$2:$C$722,2,Данные!$A$2:$A$722,"&gt;="&amp;77233272000,Данные!$A$2:$A$722,"&lt;="&amp;77233272999)</f>
        <v>0</v>
      </c>
      <c r="Q43" s="62" t="n">
        <f aca="false">COUNTIFS(Данные!$B$2:$B$722,20,Данные!$C$2:$C$722,2,Данные!$A$2:$A$722,"&gt;="&amp;77233291100,Данные!$A$2:$A$722,"&lt;="&amp;77233292999)</f>
        <v>0</v>
      </c>
      <c r="R43" s="62" t="n">
        <f aca="false">COUNTIFS(Данные!$B$2:$B$722,20,Данные!$C$2:$C$722,2,Данные!$A$2:$A$722,"&gt;="&amp;77233297000,Данные!$A$2:$A$722,"&lt;="&amp;77233298399)</f>
        <v>0</v>
      </c>
      <c r="S43" s="62" t="n">
        <f aca="false">COUNTIFS(Данные!$B$2:$B$722,20,Данные!$C$2:$C$722,2,Данные!$A$2:$A$722,"&gt;="&amp;77235124000,Данные!$A$2:$A$722,"&lt;="&amp;77235128499)</f>
        <v>4</v>
      </c>
      <c r="T43" s="62" t="n">
        <f aca="false">COUNTIFS(Данные!$B$2:$B$722,20,Данные!$C$2:$C$722,2,Данные!$A$2:$A$722,"&gt;="&amp;77235320000,Данные!$A$2:$A$722,"&lt;="&amp;77235320999)</f>
        <v>0</v>
      </c>
      <c r="U43" s="62" t="n">
        <f aca="false">COUNTIFS(Данные!$B$2:$B$722,20,Данные!$C$2:$C$722,2,Данные!$A$2:$A$722,"&gt;="&amp;77233620000,Данные!$A$2:$A$722,"&lt;="&amp;77233623339)</f>
        <v>0</v>
      </c>
      <c r="V43" s="62" t="n">
        <f aca="false">COUNTIFS(Данные!$B$2:$B$722,20,Данные!$C$2:$C$722,2,Данные!$A$2:$A$722,"&gt;="&amp;77233630000,Данные!$A$2:$A$722,"&lt;="&amp;77233630999)</f>
        <v>0</v>
      </c>
      <c r="W43" s="62" t="n">
        <f aca="false">COUNTIFS(Данные!$B$2:$B$722,20,Данные!$C$2:$C$722,2,Данные!$A$2:$A$722,"&gt;="&amp;77233637000,Данные!$A$2:$A$722,"&lt;="&amp;77233637599)</f>
        <v>0</v>
      </c>
      <c r="X43" s="62" t="n">
        <f aca="false">COUNTIFS(Данные!$B$2:$B$722,20,Данные!$C$2:$C$722,2,Данные!$A$2:$A$722,"&gt;="&amp;77233550000,Данные!$A$2:$A$722,"&lt;="&amp;77233550999)</f>
        <v>0</v>
      </c>
      <c r="Y43" s="62" t="n">
        <f aca="false">COUNTIFS(Данные!$B$2:$B$722,20,Данные!$C$2:$C$722,2,Данные!$A$2:$A$722,"&gt;="&amp;77233554000,Данные!$A$2:$A$722,"&lt;="&amp;77233554999)</f>
        <v>0</v>
      </c>
      <c r="Z43" s="62" t="n">
        <f aca="false">COUNTIFS(Данные!$B$2:$B$722,20,Данные!$C$2:$C$722,2,Данные!$A$2:$A$722,"&gt;="&amp;77233555000,Данные!$A$2:$A$722,"&lt;="&amp;77233556999)</f>
        <v>0</v>
      </c>
      <c r="AA43" s="62" t="n">
        <f aca="false">COUNTIFS(Данные!$B$2:$B$722,20,Данные!$C$2:$C$722,2,Данные!$A$2:$A$722,"&gt;="&amp;77233726000,Данные!$A$2:$A$722,"&lt;="&amp;77233726999)</f>
        <v>0</v>
      </c>
      <c r="AB43" s="62" t="n">
        <f aca="false">COUNTIFS(Данные!$B$2:$B$722,20,Данные!$C$2:$C$722,2,Данные!$A$2:$A$722,"&gt;="&amp;77233820000,Данные!$A$2:$A$722,"&lt;="&amp;77233820999)</f>
        <v>0</v>
      </c>
      <c r="AC43" s="62" t="n">
        <f aca="false">COUNTIFS(Данные!$B$2:$B$722,20,Данные!$C$2:$C$722,2,Данные!$A$2:$A$722,"&gt;="&amp;77233850000,Данные!$A$2:$A$722,"&lt;="&amp;77233850999)</f>
        <v>0</v>
      </c>
      <c r="AD43" s="62" t="n">
        <f aca="false">COUNTIFS(Данные!$B$2:$B$722,20,Данные!$C$2:$C$722,2,Данные!$A$2:$A$722,"&gt;="&amp;77233420000,Данные!$A$2:$A$722,"&lt;="&amp;77233420999)</f>
        <v>0</v>
      </c>
      <c r="AE43" s="62" t="n">
        <f aca="false">COUNTIFS(Данные!$B$2:$B$722,20,Данные!$C$2:$C$722,2,Данные!$A$2:$A$722,"&gt;="&amp;77234740000,Данные!$A$2:$A$722,"&lt;="&amp;77234742999)</f>
        <v>0</v>
      </c>
      <c r="AF43" s="62" t="n">
        <f aca="false">COUNTIFS(Данные!$B$2:$B$722,20,Данные!$C$2:$C$722,2,Данные!$A$2:$A$722,"&gt;="&amp;77234767000,Данные!$A$2:$A$722,"&lt;="&amp;77234767999)</f>
        <v>0</v>
      </c>
      <c r="AG43" s="62" t="n">
        <f aca="false">COUNTIFS(Данные!$B$2:$B$722,20,Данные!$C$2:$C$722,2,Данные!$A$2:$A$722,"&gt;="&amp;77234120000,Данные!$A$2:$A$722,"&lt;="&amp;77234120999)</f>
        <v>0</v>
      </c>
      <c r="AH43" s="62" t="n">
        <f aca="false">COUNTIFS(Данные!$B$2:$B$722,20,Данные!$C$2:$C$722,2,Данные!$A$2:$A$722,"&gt;="&amp;77234127000,Данные!$A$2:$A$722,"&lt;="&amp;77234127999)</f>
        <v>0</v>
      </c>
      <c r="AI43" s="62" t="n">
        <f aca="false">COUNTIFS(Данные!$B$2:$B$722,20,Данные!$C$2:$C$722,2,Данные!$A$2:$A$722,"&gt;="&amp;77234220000,Данные!$A$2:$A$722,"&lt;="&amp;77234220999)</f>
        <v>0</v>
      </c>
      <c r="AJ43" s="62" t="n">
        <f aca="false">COUNTIFS(Данные!$B$2:$B$722,20,Данные!$C$2:$C$722,2,Данные!$A$2:$A$722,"&gt;="&amp;77234250000,Данные!$A$2:$A$722,"&lt;="&amp;77234250999)</f>
        <v>0</v>
      </c>
      <c r="AK43" s="62" t="n">
        <f aca="false">COUNTIFS(Данные!$B$2:$B$722,20,Данные!$C$2:$C$722,2,Данные!$A$2:$A$722,"&gt;="&amp;77233922950,Данные!$A$2:$A$722,"&lt;="&amp;77233924999)</f>
        <v>0</v>
      </c>
      <c r="AL43" s="62" t="n">
        <f aca="false">COUNTIFS(Данные!$B$2:$B$722,20,Данные!$C$2:$C$722,2,Данные!$A$2:$A$722,"&gt;="&amp;77234320000,Данные!$A$2:$A$722,"&lt;="&amp;77234320999)</f>
        <v>0</v>
      </c>
      <c r="AM43" s="62" t="n">
        <f aca="false">COUNTIFS(Данные!$B$2:$B$722,20,Данные!$C$2:$C$722,2,Данные!$A$2:$A$722,"&gt;="&amp;77234350000,Данные!$A$2:$A$722,"&lt;="&amp;77234350999)</f>
        <v>0</v>
      </c>
      <c r="AN43" s="62" t="n">
        <f aca="false">COUNTIFS(Данные!$B$2:$B$722,20,Данные!$C$2:$C$722,2,Данные!$A$2:$A$722,"&gt;="&amp;77234020000,Данные!$A$2:$A$722,"&lt;="&amp;77234020999)</f>
        <v>0</v>
      </c>
      <c r="AO43" s="62" t="n">
        <f aca="false">COUNTIFS(Данные!$B$2:$B$722,20,Данные!$C$2:$C$722,2,Данные!$A$2:$A$722,"&gt;="&amp;77234029000,Данные!$A$2:$A$722,"&lt;="&amp;77234029999)</f>
        <v>0</v>
      </c>
      <c r="AP43" s="62" t="n">
        <f aca="false">COUNTIFS(Данные!$B$2:$B$722,20,Данные!$C$2:$C$722,2,Данные!$A$2:$A$722,"&gt;="&amp;77234050000,Данные!$A$2:$A$722,"&lt;="&amp;77234050999)</f>
        <v>0</v>
      </c>
      <c r="AQ43" s="62" t="n">
        <f aca="false">COUNTIFS(Данные!$B$2:$B$722,20,Данные!$C$2:$C$722,2,Данные!$A$2:$A$722,"&gt;="&amp;77234427000,Данные!$A$2:$A$722,"&lt;="&amp;77234428999)</f>
        <v>0</v>
      </c>
      <c r="AR43" s="62" t="n">
        <f aca="false">COUNTIFS(Данные!$B$2:$B$722,20,Данные!$C$2:$C$722,2,Данные!$A$2:$A$722,"&gt;="&amp;77234450000,Данные!$A$2:$A$722,"&lt;="&amp;77234450999)</f>
        <v>0</v>
      </c>
      <c r="AS43" s="62" t="n">
        <f aca="false">COUNTIFS(Данные!$B$2:$B$722,20,Данные!$C$2:$C$722,2,Данные!$A$2:$A$722,"&gt;="&amp;77234620000,Данные!$A$2:$A$722,"&lt;="&amp;77234620999)</f>
        <v>0</v>
      </c>
      <c r="AT43" s="62" t="n">
        <f aca="false">COUNTIFS(Данные!$B$2:$B$722,20,Данные!$C$2:$C$722,2,Данные!$A$2:$A$722,"&gt;="&amp;77234650000,Данные!$A$2:$A$722,"&lt;="&amp;77234650999)</f>
        <v>0</v>
      </c>
      <c r="AU43" s="62" t="n">
        <f aca="false">COUNTIFS(Данные!$B$2:$B$722,20,Данные!$C$2:$C$722,2,Данные!$A$2:$A$722,"&gt;="&amp;77234820000,Данные!$A$2:$A$722,"&lt;="&amp;77234820999)</f>
        <v>0</v>
      </c>
      <c r="AV43" s="62" t="n">
        <f aca="false">COUNTIFS(Данные!$B$2:$B$722,20,Данные!$C$2:$C$722,2,Данные!$A$2:$A$722,"&gt;="&amp;77234850000,Данные!$A$2:$A$722,"&lt;="&amp;77234850999)</f>
        <v>0</v>
      </c>
      <c r="AW43" s="62" t="n">
        <f aca="false">COUNTIFS(Данные!$B$2:$B$722,20,Данные!$C$2:$C$722,2,Данные!$A$2:$A$722,"&gt;="&amp;77233327000,Данные!$A$2:$A$722,"&lt;="&amp;77233327999)</f>
        <v>0</v>
      </c>
      <c r="AX43" s="62" t="n">
        <f aca="false">COUNTIFS(Данные!$B$2:$B$722,20,Данные!$C$2:$C$722,2,Данные!$A$2:$A$722,"&gt;="&amp;77233350000,Данные!$A$2:$A$722,"&lt;="&amp;77233350599)</f>
        <v>0</v>
      </c>
      <c r="AY43" s="62" t="n">
        <f aca="false">COUNTIFS(Данные!$B$2:$B$722,20,Данные!$C$2:$C$722,2,Данные!$A$2:$A$722,"&gt;="&amp;77233351000,Данные!$A$2:$A$722,"&lt;="&amp;77233351999)</f>
        <v>0</v>
      </c>
      <c r="AZ43" s="63" t="n">
        <f aca="false">COUNTIFS(Данные!$B$2:$B$722,20,Данные!$C$2:$C$722,2,Данные!$A$2:$A$722,"&gt;="&amp;7722440000,Данные!$A$2:$A$722,"&lt;="&amp;7722440999)</f>
        <v>0</v>
      </c>
      <c r="BA43" s="63" t="n">
        <f aca="false">COUNTIFS(Данные!$B$2:$B$722,20,Данные!$C$2:$C$722,2,Данные!$A$2:$A$722,"&gt;="&amp;7722442000,Данные!$A$2:$A$722,"&lt;="&amp;7722445659)</f>
        <v>0</v>
      </c>
      <c r="BB43" s="63" t="n">
        <f aca="false">COUNTIFS(Данные!$B$2:$B$722,20,Данные!$C$2:$C$722,2,Данные!$A$2:$A$722,"&gt;="&amp;7722450000,Данные!$A$2:$A$722,"&lt;="&amp;7722450199)</f>
        <v>0</v>
      </c>
      <c r="BC43" s="63" t="n">
        <f aca="false">COUNTIFS(Данные!$B$2:$B$722,20,Данные!$C$2:$C$722,2,Данные!$A$2:$A$722,"&gt;="&amp;7722451000,Данные!$A$2:$A$722,"&lt;="&amp;7722451374)</f>
        <v>0</v>
      </c>
      <c r="BD43" s="63" t="n">
        <f aca="false">COUNTIFS(Данные!$B$2:$B$722,20,Данные!$C$2:$C$722,2,Данные!$A$2:$A$722,"&gt;="&amp;7722452000,Данные!$A$2:$A$722,"&lt;="&amp;7722452299)</f>
        <v>0</v>
      </c>
      <c r="BE43" s="63" t="n">
        <f aca="false">COUNTIFS(Данные!$B$2:$B$722,20,Данные!$C$2:$C$722,2,Данные!$A$2:$A$722,"&gt;="&amp;7722453000,Данные!$A$2:$A$722,"&lt;="&amp;7722453816)</f>
        <v>0</v>
      </c>
      <c r="BF43" s="63" t="n">
        <f aca="false">COUNTIFS(Данные!$B$2:$B$722,20,Данные!$C$2:$C$722,2,Данные!$A$2:$A$722,"&gt;="&amp;7722454000,Данные!$A$2:$A$722,"&lt;="&amp;7722454099)</f>
        <v>0</v>
      </c>
      <c r="BG43" s="63" t="n">
        <f aca="false">COUNTIFS(Данные!$B$2:$B$722,20,Данные!$C$2:$C$722,2,Данные!$A$2:$A$722,"&gt;="&amp;7722458000,Данные!$A$2:$A$722,"&lt;="&amp;7722458999)</f>
        <v>0</v>
      </c>
      <c r="BH43" s="63" t="n">
        <f aca="false">COUNTIFS(Данные!$B$2:$B$722,20,Данные!$C$2:$C$722,2,Данные!$A$2:$A$722,"&gt;="&amp;7722630000,Данные!$A$2:$A$722,"&lt;="&amp;7722638549)</f>
        <v>0</v>
      </c>
      <c r="BI43" s="63" t="n">
        <f aca="false">COUNTIFS(Данные!$B$2:$B$722,20,Данные!$C$2:$C$722,2,Данные!$A$2:$A$722,"&gt;="&amp;7722639400,Данные!$A$2:$A$722,"&lt;="&amp;7722639899)</f>
        <v>0</v>
      </c>
      <c r="BJ43" s="63" t="n">
        <f aca="false">COUNTIFS(Данные!$B$2:$B$722,20,Данные!$C$2:$C$722,2,Данные!$A$2:$A$722,"&gt;="&amp;7725750000,Данные!$A$2:$A$722,"&lt;="&amp;7725750399)</f>
        <v>0</v>
      </c>
      <c r="BK43" s="63" t="n">
        <f aca="false">COUNTIFS(Данные!$B$2:$B$722,20,Данные!$C$2:$C$722,2,Данные!$A$2:$A$722,"&gt;="&amp;7723620000,Данные!$A$2:$A$722,"&lt;="&amp;7723621299)</f>
        <v>0</v>
      </c>
      <c r="BL43" s="63" t="n">
        <f aca="false">COUNTIFS(Данные!$B$2:$B$722,20,Данные!$C$2:$C$722,2,Данные!$A$2:$A$722,"&gt;="&amp;7723621600,Данные!$A$2:$A$722,"&lt;="&amp;7723623399)</f>
        <v>0</v>
      </c>
      <c r="BM43" s="63" t="n">
        <f aca="false">COUNTIFS(Данные!$B$2:$B$722,20,Данные!$C$2:$C$722,2,Данные!$A$2:$A$722,"&gt;="&amp;7725127000,Данные!$A$2:$A$722,"&lt;="&amp;7725127999)</f>
        <v>0</v>
      </c>
      <c r="BN43" s="63" t="n">
        <f aca="false">COUNTIFS(Данные!$B$2:$B$722,20,Данные!$C$2:$C$722,2,Данные!$A$2:$A$722,"&gt;="&amp;7723772000,Данные!$A$2:$A$722,"&lt;="&amp;7723724999)</f>
        <v>0</v>
      </c>
      <c r="BO43" s="62" t="n">
        <f aca="false">COUNTIFS(Данные!$B$2:$B$722,20,Данные!$C$2:$C$722,2,Данные!$A$2:$A$722,"&gt;="&amp;7723765000,Данные!$A$2:$A$722,"&lt;="&amp;7723765499)</f>
        <v>0</v>
      </c>
      <c r="BP43" s="63" t="n">
        <f aca="false">COUNTIFS(Данные!$B$2:$B$722,20,Данные!$C$2:$C$722,2,Данные!$A$2:$A$722,"&gt;="&amp;7723948000,Данные!$A$2:$A$722,"&lt;="&amp;7723948999)</f>
        <v>0</v>
      </c>
      <c r="BQ43" s="63" t="n">
        <f aca="false">COUNTIFS(Данные!$B$2:$B$722,20,Данные!$C$2:$C$722,2,Данные!$A$2:$A$722,"&gt;="&amp;7723950000,Данные!$A$2:$A$722,"&lt;="&amp;7723951099)</f>
        <v>0</v>
      </c>
      <c r="BR43" s="63" t="n">
        <f aca="false">COUNTIFS(Данные!$B$2:$B$722,20,Данные!$C$2:$C$722,2,Данные!$A$2:$A$722,"&gt;="&amp;7723020000,Данные!$A$2:$A$722,"&lt;="&amp;7723020999)</f>
        <v>0</v>
      </c>
      <c r="BS43" s="63" t="n">
        <f aca="false">COUNTIFS(Данные!$B$2:$B$722,20,Данные!$C$2:$C$722,2,Данные!$A$2:$A$722,"&gt;="&amp;7723029000,Данные!$A$2:$A$722,"&lt;="&amp;7723029999)</f>
        <v>0</v>
      </c>
      <c r="BT43" s="63" t="n">
        <f aca="false">COUNTIFS(Данные!$B$2:$B$722,20,Данные!$C$2:$C$722,2,Данные!$A$2:$A$722,"&gt;="&amp;7723055000,Данные!$A$2:$A$722,"&lt;="&amp;7723056549)</f>
        <v>0</v>
      </c>
      <c r="BU43" s="62" t="n">
        <f aca="false">COUNTIFS(Данные!$B$2:$B$722,20,Данные!$C$2:$C$722,2,Данные!$A$2:$A$722,"&gt;="&amp;7725250000,Данные!$A$2:$A$722,"&lt;="&amp;7725250499)</f>
        <v>0</v>
      </c>
      <c r="BV43" s="63" t="n">
        <f aca="false">COUNTIFS(Данные!$B$2:$B$722,20,Данные!$C$2:$C$722,2,Данные!$A$2:$A$722,"&gt;="&amp;7183841400,Данные!$A$2:$A$722,"&lt;="&amp;7183841499)</f>
        <v>0</v>
      </c>
      <c r="BW43" s="40" t="n">
        <v>300</v>
      </c>
      <c r="BX43" s="64" t="n">
        <f aca="false">F43-BW43</f>
        <v>-296</v>
      </c>
    </row>
    <row r="44" s="15" customFormat="true" ht="12" hidden="false" customHeight="true" outlineLevel="0" collapsed="false">
      <c r="A44" s="47" t="n">
        <v>21</v>
      </c>
      <c r="B44" s="48" t="s">
        <v>74</v>
      </c>
      <c r="C44" s="50" t="n">
        <v>0</v>
      </c>
      <c r="D44" s="50" t="n">
        <v>210</v>
      </c>
      <c r="E44" s="51" t="n">
        <f aca="false">SUM(F44:F46)</f>
        <v>71</v>
      </c>
      <c r="F44" s="65" t="n">
        <f aca="false">COUNTIFS(Данные!$B$2:$B$722,21,Данные!$C$2:$C$722,0)</f>
        <v>23</v>
      </c>
      <c r="G44" s="65" t="n">
        <f aca="false">COUNTIFS(Данные!$B$2:$B$722,21,Данные!$C$2:$C$722,0,Данные!$A$2:$A$722,"&gt;="&amp;77232210840,Данные!$A$2:$A$722,"&lt;="&amp;77232216999)</f>
        <v>0</v>
      </c>
      <c r="H44" s="65" t="n">
        <f aca="false">COUNTIFS(Данные!$B$2:$B$722,21,Данные!$C$2:$C$722,0,Данные!$A$2:$A$722,"&gt;="&amp;77232510512,Данные!$A$2:$A$722,"&lt;="&amp;77232519487)</f>
        <v>0</v>
      </c>
      <c r="I44" s="65" t="n">
        <f aca="false">COUNTIFS(Данные!$B$2:$B$722,21,Данные!$C$2:$C$722,0,Данные!$A$2:$A$722,"&gt;="&amp;77232524160,Данные!$A$2:$A$722,"&lt;="&amp;77232529999)</f>
        <v>0</v>
      </c>
      <c r="J44" s="65" t="n">
        <f aca="false">COUNTIFS(Данные!$B$2:$B$722,21,Данные!$C$2:$C$722,0,Данные!$A$2:$A$722,"&gt;="&amp;77232544000,Данные!$A$2:$A$722,"&lt;="&amp;77232544999)</f>
        <v>0</v>
      </c>
      <c r="K44" s="65" t="n">
        <f aca="false">COUNTIFS(Данные!$B$2:$B$722,21,Данные!$C$2:$C$722,0,Данные!$A$2:$A$722,"&gt;="&amp;77232295504,Данные!$A$2:$A$722,"&lt;="&amp;77232296999)</f>
        <v>0</v>
      </c>
      <c r="L44" s="65" t="n">
        <f aca="false">COUNTIFS(Данные!$B$2:$B$722,21,Данные!$C$2:$C$722,0,Данные!$A$2:$A$722,"&gt;="&amp;77232785000,Данные!$A$2:$A$722,"&lt;="&amp;77232789999)</f>
        <v>0</v>
      </c>
      <c r="M44" s="65" t="n">
        <f aca="false">COUNTIFS(Данные!$B$2:$B$722,21,Данные!$C$2:$C$722,0,Данные!$A$2:$A$722,"&gt;="&amp;77233150000,Данные!$A$2:$A$722,"&lt;="&amp;77233155999)</f>
        <v>0</v>
      </c>
      <c r="N44" s="65" t="n">
        <f aca="false">COUNTIFS(Данные!$B$2:$B$722,21,Данные!$C$2:$C$722,0,Данные!$A$2:$A$722,"&gt;="&amp;77233235000,Данные!$A$2:$A$722,"&lt;="&amp;77233235999)</f>
        <v>0</v>
      </c>
      <c r="O44" s="65" t="n">
        <f aca="false">COUNTIFS(Данные!$B$2:$B$722,21,Данные!$C$2:$C$722,0,Данные!$A$2:$A$722,"&gt;="&amp;77233239000,Данные!$A$2:$A$722,"&lt;="&amp;77233239999)</f>
        <v>0</v>
      </c>
      <c r="P44" s="65" t="n">
        <f aca="false">COUNTIFS(Данные!$B$2:$B$722,21,Данные!$C$2:$C$722,0,Данные!$A$2:$A$722,"&gt;="&amp;77233272000,Данные!$A$2:$A$722,"&lt;="&amp;77233272999)</f>
        <v>0</v>
      </c>
      <c r="Q44" s="65" t="n">
        <f aca="false">COUNTIFS(Данные!$B$2:$B$722,21,Данные!$C$2:$C$722,0,Данные!$A$2:$A$722,"&gt;="&amp;77233291100,Данные!$A$2:$A$722,"&lt;="&amp;77233292999)</f>
        <v>0</v>
      </c>
      <c r="R44" s="65" t="n">
        <f aca="false">COUNTIFS(Данные!$B$2:$B$722,21,Данные!$C$2:$C$722,0,Данные!$A$2:$A$722,"&gt;="&amp;77233297000,Данные!$A$2:$A$722,"&lt;="&amp;77233298399)</f>
        <v>0</v>
      </c>
      <c r="S44" s="65" t="n">
        <f aca="false">COUNTIFS(Данные!$B$2:$B$722,21,Данные!$C$2:$C$722,0,Данные!$A$2:$A$722,"&gt;="&amp;77235124000,Данные!$A$2:$A$722,"&lt;="&amp;77235128499)</f>
        <v>23</v>
      </c>
      <c r="T44" s="65" t="n">
        <f aca="false">COUNTIFS(Данные!$B$2:$B$722,21,Данные!$C$2:$C$722,0,Данные!$A$2:$A$722,"&gt;="&amp;77235320000,Данные!$A$2:$A$722,"&lt;="&amp;77235320999)</f>
        <v>0</v>
      </c>
      <c r="U44" s="65" t="n">
        <f aca="false">COUNTIFS(Данные!$B$2:$B$722,21,Данные!$C$2:$C$722,0,Данные!$A$2:$A$722,"&gt;="&amp;77233620000,Данные!$A$2:$A$722,"&lt;="&amp;77233623339)</f>
        <v>0</v>
      </c>
      <c r="V44" s="65" t="n">
        <f aca="false">COUNTIFS(Данные!$B$2:$B$722,21,Данные!$C$2:$C$722,0,Данные!$A$2:$A$722,"&gt;="&amp;77233630000,Данные!$A$2:$A$722,"&lt;="&amp;77233630999)</f>
        <v>0</v>
      </c>
      <c r="W44" s="65" t="n">
        <f aca="false">COUNTIFS(Данные!$B$2:$B$722,21,Данные!$C$2:$C$722,0,Данные!$A$2:$A$722,"&gt;="&amp;77233637000,Данные!$A$2:$A$722,"&lt;="&amp;77233637599)</f>
        <v>0</v>
      </c>
      <c r="X44" s="65" t="n">
        <f aca="false">COUNTIFS(Данные!$B$2:$B$722,21,Данные!$C$2:$C$722,0,Данные!$A$2:$A$722,"&gt;="&amp;77233550000,Данные!$A$2:$A$722,"&lt;="&amp;77233550999)</f>
        <v>0</v>
      </c>
      <c r="Y44" s="65" t="n">
        <f aca="false">COUNTIFS(Данные!$B$2:$B$722,21,Данные!$C$2:$C$722,0,Данные!$A$2:$A$722,"&gt;="&amp;77233554000,Данные!$A$2:$A$722,"&lt;="&amp;77233554999)</f>
        <v>0</v>
      </c>
      <c r="Z44" s="65" t="n">
        <f aca="false">COUNTIFS(Данные!$B$2:$B$722,21,Данные!$C$2:$C$722,0,Данные!$A$2:$A$722,"&gt;="&amp;77233555000,Данные!$A$2:$A$722,"&lt;="&amp;77233556999)</f>
        <v>0</v>
      </c>
      <c r="AA44" s="65" t="n">
        <f aca="false">COUNTIFS(Данные!$B$2:$B$722,21,Данные!$C$2:$C$722,0,Данные!$A$2:$A$722,"&gt;="&amp;77233726000,Данные!$A$2:$A$722,"&lt;="&amp;77233726999)</f>
        <v>0</v>
      </c>
      <c r="AB44" s="65" t="n">
        <f aca="false">COUNTIFS(Данные!$B$2:$B$722,21,Данные!$C$2:$C$722,0,Данные!$A$2:$A$722,"&gt;="&amp;77233820000,Данные!$A$2:$A$722,"&lt;="&amp;77233820999)</f>
        <v>0</v>
      </c>
      <c r="AC44" s="65" t="n">
        <f aca="false">COUNTIFS(Данные!$B$2:$B$722,21,Данные!$C$2:$C$722,0,Данные!$A$2:$A$722,"&gt;="&amp;77233850000,Данные!$A$2:$A$722,"&lt;="&amp;77233850999)</f>
        <v>0</v>
      </c>
      <c r="AD44" s="65" t="n">
        <f aca="false">COUNTIFS(Данные!$B$2:$B$722,21,Данные!$C$2:$C$722,0,Данные!$A$2:$A$722,"&gt;="&amp;77233420000,Данные!$A$2:$A$722,"&lt;="&amp;77233420999)</f>
        <v>0</v>
      </c>
      <c r="AE44" s="65" t="n">
        <f aca="false">COUNTIFS(Данные!$B$2:$B$722,21,Данные!$C$2:$C$722,0,Данные!$A$2:$A$722,"&gt;="&amp;77234740000,Данные!$A$2:$A$722,"&lt;="&amp;77234742999)</f>
        <v>0</v>
      </c>
      <c r="AF44" s="65" t="n">
        <f aca="false">COUNTIFS(Данные!$B$2:$B$722,21,Данные!$C$2:$C$722,0,Данные!$A$2:$A$722,"&gt;="&amp;77234767000,Данные!$A$2:$A$722,"&lt;="&amp;77234767999)</f>
        <v>0</v>
      </c>
      <c r="AG44" s="65" t="n">
        <f aca="false">COUNTIFS(Данные!$B$2:$B$722,21,Данные!$C$2:$C$722,0,Данные!$A$2:$A$722,"&gt;="&amp;77234120000,Данные!$A$2:$A$722,"&lt;="&amp;77234120999)</f>
        <v>0</v>
      </c>
      <c r="AH44" s="65" t="n">
        <f aca="false">COUNTIFS(Данные!$B$2:$B$722,21,Данные!$C$2:$C$722,0,Данные!$A$2:$A$722,"&gt;="&amp;77234127000,Данные!$A$2:$A$722,"&lt;="&amp;77234127999)</f>
        <v>0</v>
      </c>
      <c r="AI44" s="65" t="n">
        <f aca="false">COUNTIFS(Данные!$B$2:$B$722,21,Данные!$C$2:$C$722,0,Данные!$A$2:$A$722,"&gt;="&amp;77234220000,Данные!$A$2:$A$722,"&lt;="&amp;77234220999)</f>
        <v>0</v>
      </c>
      <c r="AJ44" s="65" t="n">
        <f aca="false">COUNTIFS(Данные!$B$2:$B$722,21,Данные!$C$2:$C$722,0,Данные!$A$2:$A$722,"&gt;="&amp;77234250000,Данные!$A$2:$A$722,"&lt;="&amp;77234250999)</f>
        <v>0</v>
      </c>
      <c r="AK44" s="65" t="n">
        <f aca="false">COUNTIFS(Данные!$B$2:$B$722,21,Данные!$C$2:$C$722,0,Данные!$A$2:$A$722,"&gt;="&amp;77233922950,Данные!$A$2:$A$722,"&lt;="&amp;77233924999)</f>
        <v>0</v>
      </c>
      <c r="AL44" s="65" t="n">
        <f aca="false">COUNTIFS(Данные!$B$2:$B$722,21,Данные!$C$2:$C$722,0,Данные!$A$2:$A$722,"&gt;="&amp;77234320000,Данные!$A$2:$A$722,"&lt;="&amp;77234320999)</f>
        <v>0</v>
      </c>
      <c r="AM44" s="65" t="n">
        <f aca="false">COUNTIFS(Данные!$B$2:$B$722,21,Данные!$C$2:$C$722,0,Данные!$A$2:$A$722,"&gt;="&amp;77234350000,Данные!$A$2:$A$722,"&lt;="&amp;77234350999)</f>
        <v>0</v>
      </c>
      <c r="AN44" s="65" t="n">
        <f aca="false">COUNTIFS(Данные!$B$2:$B$722,21,Данные!$C$2:$C$722,0,Данные!$A$2:$A$722,"&gt;="&amp;77234020000,Данные!$A$2:$A$722,"&lt;="&amp;77234020999)</f>
        <v>0</v>
      </c>
      <c r="AO44" s="65" t="n">
        <f aca="false">COUNTIFS(Данные!$B$2:$B$722,21,Данные!$C$2:$C$722,0,Данные!$A$2:$A$722,"&gt;="&amp;77234029000,Данные!$A$2:$A$722,"&lt;="&amp;77234029999)</f>
        <v>0</v>
      </c>
      <c r="AP44" s="65" t="n">
        <f aca="false">COUNTIFS(Данные!$B$2:$B$722,21,Данные!$C$2:$C$722,0,Данные!$A$2:$A$722,"&gt;="&amp;77234050000,Данные!$A$2:$A$722,"&lt;="&amp;77234050999)</f>
        <v>0</v>
      </c>
      <c r="AQ44" s="65" t="n">
        <f aca="false">COUNTIFS(Данные!$B$2:$B$722,21,Данные!$C$2:$C$722,0,Данные!$A$2:$A$722,"&gt;="&amp;77234427000,Данные!$A$2:$A$722,"&lt;="&amp;77234428999)</f>
        <v>0</v>
      </c>
      <c r="AR44" s="65" t="n">
        <f aca="false">COUNTIFS(Данные!$B$2:$B$722,21,Данные!$C$2:$C$722,0,Данные!$A$2:$A$722,"&gt;="&amp;77234450000,Данные!$A$2:$A$722,"&lt;="&amp;77234450999)</f>
        <v>0</v>
      </c>
      <c r="AS44" s="65" t="n">
        <f aca="false">COUNTIFS(Данные!$B$2:$B$722,21,Данные!$C$2:$C$722,0,Данные!$A$2:$A$722,"&gt;="&amp;77234620000,Данные!$A$2:$A$722,"&lt;="&amp;77234620999)</f>
        <v>0</v>
      </c>
      <c r="AT44" s="65" t="n">
        <f aca="false">COUNTIFS(Данные!$B$2:$B$722,21,Данные!$C$2:$C$722,0,Данные!$A$2:$A$722,"&gt;="&amp;77234650000,Данные!$A$2:$A$722,"&lt;="&amp;77234650999)</f>
        <v>0</v>
      </c>
      <c r="AU44" s="65" t="n">
        <f aca="false">COUNTIFS(Данные!$B$2:$B$722,21,Данные!$C$2:$C$722,0,Данные!$A$2:$A$722,"&gt;="&amp;77234820000,Данные!$A$2:$A$722,"&lt;="&amp;77234820999)</f>
        <v>0</v>
      </c>
      <c r="AV44" s="65" t="n">
        <f aca="false">COUNTIFS(Данные!$B$2:$B$722,21,Данные!$C$2:$C$722,0,Данные!$A$2:$A$722,"&gt;="&amp;77234850000,Данные!$A$2:$A$722,"&lt;="&amp;77234850999)</f>
        <v>0</v>
      </c>
      <c r="AW44" s="65" t="n">
        <f aca="false">COUNTIFS(Данные!$B$2:$B$722,21,Данные!$C$2:$C$722,0,Данные!$A$2:$A$722,"&gt;="&amp;77233327000,Данные!$A$2:$A$722,"&lt;="&amp;77233327999)</f>
        <v>0</v>
      </c>
      <c r="AX44" s="65" t="n">
        <f aca="false">COUNTIFS(Данные!$B$2:$B$722,21,Данные!$C$2:$C$722,0,Данные!$A$2:$A$722,"&gt;="&amp;77233350000,Данные!$A$2:$A$722,"&lt;="&amp;77233350599)</f>
        <v>0</v>
      </c>
      <c r="AY44" s="65" t="n">
        <f aca="false">COUNTIFS(Данные!$B$2:$B$722,21,Данные!$C$2:$C$722,0,Данные!$A$2:$A$722,"&gt;="&amp;77233351000,Данные!$A$2:$A$722,"&lt;="&amp;77233351999)</f>
        <v>0</v>
      </c>
      <c r="AZ44" s="66" t="n">
        <f aca="false">COUNTIFS(Данные!$B$2:$B$722,21,Данные!$C$2:$C$722,0,Данные!$A$2:$A$722,"&gt;="&amp;7722440000,Данные!$A$2:$A$722,"&lt;="&amp;7722440999)</f>
        <v>0</v>
      </c>
      <c r="BA44" s="66" t="n">
        <f aca="false">COUNTIFS(Данные!$B$2:$B$722,21,Данные!$C$2:$C$722,0,Данные!$A$2:$A$722,"&gt;="&amp;7722442000,Данные!$A$2:$A$722,"&lt;="&amp;7722445659)</f>
        <v>0</v>
      </c>
      <c r="BB44" s="66" t="n">
        <f aca="false">COUNTIFS(Данные!$B$2:$B$722,21,Данные!$C$2:$C$722,0,Данные!$A$2:$A$722,"&gt;="&amp;7722450000,Данные!$A$2:$A$722,"&lt;="&amp;7722450199)</f>
        <v>0</v>
      </c>
      <c r="BC44" s="66" t="n">
        <f aca="false">COUNTIFS(Данные!$B$2:$B$722,21,Данные!$C$2:$C$722,0,Данные!$A$2:$A$722,"&gt;="&amp;7722451000,Данные!$A$2:$A$722,"&lt;="&amp;7722451374)</f>
        <v>0</v>
      </c>
      <c r="BD44" s="66" t="n">
        <f aca="false">COUNTIFS(Данные!$B$2:$B$722,21,Данные!$C$2:$C$722,0,Данные!$A$2:$A$722,"&gt;="&amp;7722452000,Данные!$A$2:$A$722,"&lt;="&amp;7722452299)</f>
        <v>0</v>
      </c>
      <c r="BE44" s="66" t="n">
        <f aca="false">COUNTIFS(Данные!$B$2:$B$722,21,Данные!$C$2:$C$722,0,Данные!$A$2:$A$722,"&gt;="&amp;7722453000,Данные!$A$2:$A$722,"&lt;="&amp;7722453816)</f>
        <v>0</v>
      </c>
      <c r="BF44" s="66" t="n">
        <f aca="false">COUNTIFS(Данные!$B$2:$B$722,21,Данные!$C$2:$C$722,0,Данные!$A$2:$A$722,"&gt;="&amp;7722454000,Данные!$A$2:$A$722,"&lt;="&amp;7722454099)</f>
        <v>0</v>
      </c>
      <c r="BG44" s="66" t="n">
        <f aca="false">COUNTIFS(Данные!$B$2:$B$722,21,Данные!$C$2:$C$722,0,Данные!$A$2:$A$722,"&gt;="&amp;7722458000,Данные!$A$2:$A$722,"&lt;="&amp;7722458999)</f>
        <v>0</v>
      </c>
      <c r="BH44" s="66" t="n">
        <f aca="false">COUNTIFS(Данные!$B$2:$B$722,21,Данные!$C$2:$C$722,0,Данные!$A$2:$A$722,"&gt;="&amp;7722630000,Данные!$A$2:$A$722,"&lt;="&amp;7722638549)</f>
        <v>0</v>
      </c>
      <c r="BI44" s="66" t="n">
        <f aca="false">COUNTIFS(Данные!$B$2:$B$722,21,Данные!$C$2:$C$722,0,Данные!$A$2:$A$722,"&gt;="&amp;7722639400,Данные!$A$2:$A$722,"&lt;="&amp;7722639899)</f>
        <v>0</v>
      </c>
      <c r="BJ44" s="66" t="n">
        <f aca="false">COUNTIFS(Данные!$B$2:$B$722,21,Данные!$C$2:$C$722,0,Данные!$A$2:$A$722,"&gt;="&amp;7725750000,Данные!$A$2:$A$722,"&lt;="&amp;7725750399)</f>
        <v>0</v>
      </c>
      <c r="BK44" s="66" t="n">
        <f aca="false">COUNTIFS(Данные!$B$2:$B$722,21,Данные!$C$2:$C$722,0,Данные!$A$2:$A$722,"&gt;="&amp;7723620000,Данные!$A$2:$A$722,"&lt;="&amp;7723621299)</f>
        <v>0</v>
      </c>
      <c r="BL44" s="66" t="n">
        <f aca="false">COUNTIFS(Данные!$B$2:$B$722,21,Данные!$C$2:$C$722,0,Данные!$A$2:$A$722,"&gt;="&amp;7723621600,Данные!$A$2:$A$722,"&lt;="&amp;7723623399)</f>
        <v>0</v>
      </c>
      <c r="BM44" s="66" t="n">
        <f aca="false">COUNTIFS(Данные!$B$2:$B$722,21,Данные!$C$2:$C$722,0,Данные!$A$2:$A$722,"&gt;="&amp;7725127000,Данные!$A$2:$A$722,"&lt;="&amp;7725127999)</f>
        <v>0</v>
      </c>
      <c r="BN44" s="66" t="n">
        <f aca="false">COUNTIFS(Данные!$B$2:$B$722,21,Данные!$C$2:$C$722,0,Данные!$A$2:$A$722,"&gt;="&amp;7723772000,Данные!$A$2:$A$722,"&lt;="&amp;7723724999)</f>
        <v>0</v>
      </c>
      <c r="BO44" s="65" t="n">
        <f aca="false">COUNTIFS(Данные!$B$2:$B$722,21,Данные!$C$2:$C$722,0,Данные!$A$2:$A$722,"&gt;="&amp;7723765000,Данные!$A$2:$A$722,"&lt;="&amp;7723765499)</f>
        <v>0</v>
      </c>
      <c r="BP44" s="66" t="n">
        <f aca="false">COUNTIFS(Данные!$B$2:$B$722,21,Данные!$C$2:$C$722,0,Данные!$A$2:$A$722,"&gt;="&amp;7723948000,Данные!$A$2:$A$722,"&lt;="&amp;7723948999)</f>
        <v>0</v>
      </c>
      <c r="BQ44" s="66" t="n">
        <f aca="false">COUNTIFS(Данные!$B$2:$B$722,21,Данные!$C$2:$C$722,0,Данные!$A$2:$A$722,"&gt;="&amp;7723950000,Данные!$A$2:$A$722,"&lt;="&amp;7723951099)</f>
        <v>0</v>
      </c>
      <c r="BR44" s="66" t="n">
        <f aca="false">COUNTIFS(Данные!$B$2:$B$722,21,Данные!$C$2:$C$722,0,Данные!$A$2:$A$722,"&gt;="&amp;7723020000,Данные!$A$2:$A$722,"&lt;="&amp;7723020999)</f>
        <v>0</v>
      </c>
      <c r="BS44" s="66" t="n">
        <f aca="false">COUNTIFS(Данные!$B$2:$B$722,21,Данные!$C$2:$C$722,0,Данные!$A$2:$A$722,"&gt;="&amp;7723029000,Данные!$A$2:$A$722,"&lt;="&amp;7723029999)</f>
        <v>0</v>
      </c>
      <c r="BT44" s="66" t="n">
        <f aca="false">COUNTIFS(Данные!$B$2:$B$722,21,Данные!$C$2:$C$722,0,Данные!$A$2:$A$722,"&gt;="&amp;7723055000,Данные!$A$2:$A$722,"&lt;="&amp;7723056549)</f>
        <v>0</v>
      </c>
      <c r="BU44" s="65" t="n">
        <f aca="false">COUNTIFS(Данные!$B$2:$B$722,21,Данные!$C$2:$C$722,0,Данные!$A$2:$A$722,"&gt;="&amp;7725250000,Данные!$A$2:$A$722,"&lt;="&amp;7725250499)</f>
        <v>0</v>
      </c>
      <c r="BV44" s="66" t="n">
        <f aca="false">COUNTIFS(Данные!$B$2:$B$722,21,Данные!$C$2:$C$722,0,Данные!$A$2:$A$722,"&gt;="&amp;7183841400,Данные!$A$2:$A$722,"&lt;="&amp;7183841499)</f>
        <v>0</v>
      </c>
      <c r="BW44" s="49" t="n">
        <v>300</v>
      </c>
      <c r="BX44" s="67" t="n">
        <f aca="false">F44-BW44</f>
        <v>-277</v>
      </c>
    </row>
    <row r="45" s="15" customFormat="true" ht="12" hidden="false" customHeight="true" outlineLevel="0" collapsed="false">
      <c r="A45" s="47"/>
      <c r="B45" s="48"/>
      <c r="C45" s="50" t="n">
        <v>1</v>
      </c>
      <c r="D45" s="50" t="n">
        <v>211</v>
      </c>
      <c r="E45" s="51"/>
      <c r="F45" s="65" t="n">
        <f aca="false">COUNTIFS(Данные!$B$2:$B$722,21,Данные!$C$2:$C$722,1)</f>
        <v>40</v>
      </c>
      <c r="G45" s="65" t="n">
        <f aca="false">COUNTIFS(Данные!$B$2:$B$722,21,Данные!$C$2:$C$722,1,Данные!$A$2:$A$722,"&gt;="&amp;77232210840,Данные!$A$2:$A$722,"&lt;="&amp;77232216999)</f>
        <v>0</v>
      </c>
      <c r="H45" s="65" t="n">
        <f aca="false">COUNTIFS(Данные!$B$2:$B$722,21,Данные!$C$2:$C$722,1,Данные!$A$2:$A$722,"&gt;="&amp;77232510512,Данные!$A$2:$A$722,"&lt;="&amp;77232519487)</f>
        <v>0</v>
      </c>
      <c r="I45" s="65" t="n">
        <f aca="false">COUNTIFS(Данные!$B$2:$B$722,21,Данные!$C$2:$C$722,1,Данные!$A$2:$A$722,"&gt;="&amp;77232524160,Данные!$A$2:$A$722,"&lt;="&amp;77232529999)</f>
        <v>0</v>
      </c>
      <c r="J45" s="65" t="n">
        <f aca="false">COUNTIFS(Данные!$B$2:$B$722,21,Данные!$C$2:$C$722,1,Данные!$A$2:$A$722,"&gt;="&amp;77232544000,Данные!$A$2:$A$722,"&lt;="&amp;77232544999)</f>
        <v>0</v>
      </c>
      <c r="K45" s="65" t="n">
        <f aca="false">COUNTIFS(Данные!$B$2:$B$722,21,Данные!$C$2:$C$722,1,Данные!$A$2:$A$722,"&gt;="&amp;77232295504,Данные!$A$2:$A$722,"&lt;="&amp;77232296999)</f>
        <v>0</v>
      </c>
      <c r="L45" s="65" t="n">
        <f aca="false">COUNTIFS(Данные!$B$2:$B$722,21,Данные!$C$2:$C$722,1,Данные!$A$2:$A$722,"&gt;="&amp;77232785000,Данные!$A$2:$A$722,"&lt;="&amp;77232789999)</f>
        <v>0</v>
      </c>
      <c r="M45" s="65" t="n">
        <f aca="false">COUNTIFS(Данные!$B$2:$B$722,21,Данные!$C$2:$C$722,1,Данные!$A$2:$A$722,"&gt;="&amp;77233150000,Данные!$A$2:$A$722,"&lt;="&amp;77233155999)</f>
        <v>0</v>
      </c>
      <c r="N45" s="65" t="n">
        <f aca="false">COUNTIFS(Данные!$B$2:$B$722,21,Данные!$C$2:$C$722,1,Данные!$A$2:$A$722,"&gt;="&amp;77233235000,Данные!$A$2:$A$722,"&lt;="&amp;77233235999)</f>
        <v>0</v>
      </c>
      <c r="O45" s="65" t="n">
        <f aca="false">COUNTIFS(Данные!$B$2:$B$722,21,Данные!$C$2:$C$722,1,Данные!$A$2:$A$722,"&gt;="&amp;77233239000,Данные!$A$2:$A$722,"&lt;="&amp;77233239999)</f>
        <v>0</v>
      </c>
      <c r="P45" s="65" t="n">
        <f aca="false">COUNTIFS(Данные!$B$2:$B$722,21,Данные!$C$2:$C$722,1,Данные!$A$2:$A$722,"&gt;="&amp;77233272000,Данные!$A$2:$A$722,"&lt;="&amp;77233272999)</f>
        <v>0</v>
      </c>
      <c r="Q45" s="65" t="n">
        <f aca="false">COUNTIFS(Данные!$B$2:$B$722,21,Данные!$C$2:$C$722,1,Данные!$A$2:$A$722,"&gt;="&amp;77233291100,Данные!$A$2:$A$722,"&lt;="&amp;77233292999)</f>
        <v>0</v>
      </c>
      <c r="R45" s="65" t="n">
        <f aca="false">COUNTIFS(Данные!$B$2:$B$722,21,Данные!$C$2:$C$722,1,Данные!$A$2:$A$722,"&gt;="&amp;77233297000,Данные!$A$2:$A$722,"&lt;="&amp;77233298399)</f>
        <v>0</v>
      </c>
      <c r="S45" s="65" t="n">
        <f aca="false">COUNTIFS(Данные!$B$2:$B$722,21,Данные!$C$2:$C$722,1,Данные!$A$2:$A$722,"&gt;="&amp;77235124000,Данные!$A$2:$A$722,"&lt;="&amp;77235128499)</f>
        <v>39</v>
      </c>
      <c r="T45" s="65" t="n">
        <f aca="false">COUNTIFS(Данные!$B$2:$B$722,21,Данные!$C$2:$C$722,1,Данные!$A$2:$A$722,"&gt;="&amp;77235320000,Данные!$A$2:$A$722,"&lt;="&amp;77235320999)</f>
        <v>1</v>
      </c>
      <c r="U45" s="65" t="n">
        <f aca="false">COUNTIFS(Данные!$B$2:$B$722,21,Данные!$C$2:$C$722,1,Данные!$A$2:$A$722,"&gt;="&amp;77233620000,Данные!$A$2:$A$722,"&lt;="&amp;77233623339)</f>
        <v>0</v>
      </c>
      <c r="V45" s="65" t="n">
        <f aca="false">COUNTIFS(Данные!$B$2:$B$722,21,Данные!$C$2:$C$722,1,Данные!$A$2:$A$722,"&gt;="&amp;77233630000,Данные!$A$2:$A$722,"&lt;="&amp;77233630999)</f>
        <v>0</v>
      </c>
      <c r="W45" s="65" t="n">
        <f aca="false">COUNTIFS(Данные!$B$2:$B$722,21,Данные!$C$2:$C$722,1,Данные!$A$2:$A$722,"&gt;="&amp;77233637000,Данные!$A$2:$A$722,"&lt;="&amp;77233637599)</f>
        <v>0</v>
      </c>
      <c r="X45" s="65" t="n">
        <f aca="false">COUNTIFS(Данные!$B$2:$B$722,21,Данные!$C$2:$C$722,1,Данные!$A$2:$A$722,"&gt;="&amp;77233550000,Данные!$A$2:$A$722,"&lt;="&amp;77233550999)</f>
        <v>0</v>
      </c>
      <c r="Y45" s="65" t="n">
        <f aca="false">COUNTIFS(Данные!$B$2:$B$722,21,Данные!$C$2:$C$722,1,Данные!$A$2:$A$722,"&gt;="&amp;77233554000,Данные!$A$2:$A$722,"&lt;="&amp;77233554999)</f>
        <v>0</v>
      </c>
      <c r="Z45" s="65" t="n">
        <f aca="false">COUNTIFS(Данные!$B$2:$B$722,21,Данные!$C$2:$C$722,1,Данные!$A$2:$A$722,"&gt;="&amp;77233555000,Данные!$A$2:$A$722,"&lt;="&amp;77233556999)</f>
        <v>0</v>
      </c>
      <c r="AA45" s="65" t="n">
        <f aca="false">COUNTIFS(Данные!$B$2:$B$722,21,Данные!$C$2:$C$722,1,Данные!$A$2:$A$722,"&gt;="&amp;77233726000,Данные!$A$2:$A$722,"&lt;="&amp;77233726999)</f>
        <v>0</v>
      </c>
      <c r="AB45" s="65" t="n">
        <f aca="false">COUNTIFS(Данные!$B$2:$B$722,21,Данные!$C$2:$C$722,1,Данные!$A$2:$A$722,"&gt;="&amp;77233820000,Данные!$A$2:$A$722,"&lt;="&amp;77233820999)</f>
        <v>0</v>
      </c>
      <c r="AC45" s="65" t="n">
        <f aca="false">COUNTIFS(Данные!$B$2:$B$722,21,Данные!$C$2:$C$722,1,Данные!$A$2:$A$722,"&gt;="&amp;77233850000,Данные!$A$2:$A$722,"&lt;="&amp;77233850999)</f>
        <v>0</v>
      </c>
      <c r="AD45" s="65" t="n">
        <f aca="false">COUNTIFS(Данные!$B$2:$B$722,21,Данные!$C$2:$C$722,1,Данные!$A$2:$A$722,"&gt;="&amp;77233420000,Данные!$A$2:$A$722,"&lt;="&amp;77233420999)</f>
        <v>0</v>
      </c>
      <c r="AE45" s="65" t="n">
        <f aca="false">COUNTIFS(Данные!$B$2:$B$722,21,Данные!$C$2:$C$722,1,Данные!$A$2:$A$722,"&gt;="&amp;77234740000,Данные!$A$2:$A$722,"&lt;="&amp;77234742999)</f>
        <v>0</v>
      </c>
      <c r="AF45" s="65" t="n">
        <f aca="false">COUNTIFS(Данные!$B$2:$B$722,21,Данные!$C$2:$C$722,1,Данные!$A$2:$A$722,"&gt;="&amp;77234767000,Данные!$A$2:$A$722,"&lt;="&amp;77234767999)</f>
        <v>0</v>
      </c>
      <c r="AG45" s="65" t="n">
        <f aca="false">COUNTIFS(Данные!$B$2:$B$722,21,Данные!$C$2:$C$722,1,Данные!$A$2:$A$722,"&gt;="&amp;77234120000,Данные!$A$2:$A$722,"&lt;="&amp;77234120999)</f>
        <v>0</v>
      </c>
      <c r="AH45" s="65" t="n">
        <f aca="false">COUNTIFS(Данные!$B$2:$B$722,21,Данные!$C$2:$C$722,1,Данные!$A$2:$A$722,"&gt;="&amp;77234127000,Данные!$A$2:$A$722,"&lt;="&amp;77234127999)</f>
        <v>0</v>
      </c>
      <c r="AI45" s="65" t="n">
        <f aca="false">COUNTIFS(Данные!$B$2:$B$722,21,Данные!$C$2:$C$722,1,Данные!$A$2:$A$722,"&gt;="&amp;77234220000,Данные!$A$2:$A$722,"&lt;="&amp;77234220999)</f>
        <v>0</v>
      </c>
      <c r="AJ45" s="65" t="n">
        <f aca="false">COUNTIFS(Данные!$B$2:$B$722,21,Данные!$C$2:$C$722,1,Данные!$A$2:$A$722,"&gt;="&amp;77234250000,Данные!$A$2:$A$722,"&lt;="&amp;77234250999)</f>
        <v>0</v>
      </c>
      <c r="AK45" s="65" t="n">
        <f aca="false">COUNTIFS(Данные!$B$2:$B$722,21,Данные!$C$2:$C$722,1,Данные!$A$2:$A$722,"&gt;="&amp;77233922950,Данные!$A$2:$A$722,"&lt;="&amp;77233924999)</f>
        <v>0</v>
      </c>
      <c r="AL45" s="65" t="n">
        <f aca="false">COUNTIFS(Данные!$B$2:$B$722,21,Данные!$C$2:$C$722,1,Данные!$A$2:$A$722,"&gt;="&amp;77234320000,Данные!$A$2:$A$722,"&lt;="&amp;77234320999)</f>
        <v>0</v>
      </c>
      <c r="AM45" s="65" t="n">
        <f aca="false">COUNTIFS(Данные!$B$2:$B$722,21,Данные!$C$2:$C$722,1,Данные!$A$2:$A$722,"&gt;="&amp;77234350000,Данные!$A$2:$A$722,"&lt;="&amp;77234350999)</f>
        <v>0</v>
      </c>
      <c r="AN45" s="65" t="n">
        <f aca="false">COUNTIFS(Данные!$B$2:$B$722,21,Данные!$C$2:$C$722,1,Данные!$A$2:$A$722,"&gt;="&amp;77234020000,Данные!$A$2:$A$722,"&lt;="&amp;77234020999)</f>
        <v>0</v>
      </c>
      <c r="AO45" s="65" t="n">
        <f aca="false">COUNTIFS(Данные!$B$2:$B$722,21,Данные!$C$2:$C$722,1,Данные!$A$2:$A$722,"&gt;="&amp;77234029000,Данные!$A$2:$A$722,"&lt;="&amp;77234029999)</f>
        <v>0</v>
      </c>
      <c r="AP45" s="65" t="n">
        <f aca="false">COUNTIFS(Данные!$B$2:$B$722,21,Данные!$C$2:$C$722,1,Данные!$A$2:$A$722,"&gt;="&amp;77234050000,Данные!$A$2:$A$722,"&lt;="&amp;77234050999)</f>
        <v>0</v>
      </c>
      <c r="AQ45" s="65" t="n">
        <f aca="false">COUNTIFS(Данные!$B$2:$B$722,21,Данные!$C$2:$C$722,1,Данные!$A$2:$A$722,"&gt;="&amp;77234427000,Данные!$A$2:$A$722,"&lt;="&amp;77234428999)</f>
        <v>0</v>
      </c>
      <c r="AR45" s="65" t="n">
        <f aca="false">COUNTIFS(Данные!$B$2:$B$722,21,Данные!$C$2:$C$722,1,Данные!$A$2:$A$722,"&gt;="&amp;77234450000,Данные!$A$2:$A$722,"&lt;="&amp;77234450999)</f>
        <v>0</v>
      </c>
      <c r="AS45" s="65" t="n">
        <f aca="false">COUNTIFS(Данные!$B$2:$B$722,21,Данные!$C$2:$C$722,1,Данные!$A$2:$A$722,"&gt;="&amp;77234620000,Данные!$A$2:$A$722,"&lt;="&amp;77234620999)</f>
        <v>0</v>
      </c>
      <c r="AT45" s="65" t="n">
        <f aca="false">COUNTIFS(Данные!$B$2:$B$722,21,Данные!$C$2:$C$722,1,Данные!$A$2:$A$722,"&gt;="&amp;77234650000,Данные!$A$2:$A$722,"&lt;="&amp;77234650999)</f>
        <v>0</v>
      </c>
      <c r="AU45" s="65" t="n">
        <f aca="false">COUNTIFS(Данные!$B$2:$B$722,21,Данные!$C$2:$C$722,1,Данные!$A$2:$A$722,"&gt;="&amp;77234820000,Данные!$A$2:$A$722,"&lt;="&amp;77234820999)</f>
        <v>0</v>
      </c>
      <c r="AV45" s="65" t="n">
        <f aca="false">COUNTIFS(Данные!$B$2:$B$722,21,Данные!$C$2:$C$722,1,Данные!$A$2:$A$722,"&gt;="&amp;77234850000,Данные!$A$2:$A$722,"&lt;="&amp;77234850999)</f>
        <v>0</v>
      </c>
      <c r="AW45" s="65" t="n">
        <f aca="false">COUNTIFS(Данные!$B$2:$B$722,21,Данные!$C$2:$C$722,1,Данные!$A$2:$A$722,"&gt;="&amp;77233327000,Данные!$A$2:$A$722,"&lt;="&amp;77233327999)</f>
        <v>0</v>
      </c>
      <c r="AX45" s="65" t="n">
        <f aca="false">COUNTIFS(Данные!$B$2:$B$722,21,Данные!$C$2:$C$722,1,Данные!$A$2:$A$722,"&gt;="&amp;77233350000,Данные!$A$2:$A$722,"&lt;="&amp;77233350599)</f>
        <v>0</v>
      </c>
      <c r="AY45" s="65" t="n">
        <f aca="false">COUNTIFS(Данные!$B$2:$B$722,21,Данные!$C$2:$C$722,1,Данные!$A$2:$A$722,"&gt;="&amp;77233351000,Данные!$A$2:$A$722,"&lt;="&amp;77233351999)</f>
        <v>0</v>
      </c>
      <c r="AZ45" s="66" t="n">
        <f aca="false">COUNTIFS(Данные!$B$2:$B$722,21,Данные!$C$2:$C$722,1,Данные!$A$2:$A$722,"&gt;="&amp;7722440000,Данные!$A$2:$A$722,"&lt;="&amp;7722440999)</f>
        <v>0</v>
      </c>
      <c r="BA45" s="66" t="n">
        <f aca="false">COUNTIFS(Данные!$B$2:$B$722,21,Данные!$C$2:$C$722,1,Данные!$A$2:$A$722,"&gt;="&amp;7722442000,Данные!$A$2:$A$722,"&lt;="&amp;7722445659)</f>
        <v>0</v>
      </c>
      <c r="BB45" s="66" t="n">
        <f aca="false">COUNTIFS(Данные!$B$2:$B$722,21,Данные!$C$2:$C$722,1,Данные!$A$2:$A$722,"&gt;="&amp;7722450000,Данные!$A$2:$A$722,"&lt;="&amp;7722450199)</f>
        <v>0</v>
      </c>
      <c r="BC45" s="66" t="n">
        <f aca="false">COUNTIFS(Данные!$B$2:$B$722,21,Данные!$C$2:$C$722,1,Данные!$A$2:$A$722,"&gt;="&amp;7722451000,Данные!$A$2:$A$722,"&lt;="&amp;7722451374)</f>
        <v>0</v>
      </c>
      <c r="BD45" s="66" t="n">
        <f aca="false">COUNTIFS(Данные!$B$2:$B$722,21,Данные!$C$2:$C$722,1,Данные!$A$2:$A$722,"&gt;="&amp;7722452000,Данные!$A$2:$A$722,"&lt;="&amp;7722452299)</f>
        <v>0</v>
      </c>
      <c r="BE45" s="66" t="n">
        <f aca="false">COUNTIFS(Данные!$B$2:$B$722,21,Данные!$C$2:$C$722,1,Данные!$A$2:$A$722,"&gt;="&amp;7722453000,Данные!$A$2:$A$722,"&lt;="&amp;7722453816)</f>
        <v>0</v>
      </c>
      <c r="BF45" s="66" t="n">
        <f aca="false">COUNTIFS(Данные!$B$2:$B$722,21,Данные!$C$2:$C$722,1,Данные!$A$2:$A$722,"&gt;="&amp;7722454000,Данные!$A$2:$A$722,"&lt;="&amp;7722454099)</f>
        <v>0</v>
      </c>
      <c r="BG45" s="66" t="n">
        <f aca="false">COUNTIFS(Данные!$B$2:$B$722,21,Данные!$C$2:$C$722,1,Данные!$A$2:$A$722,"&gt;="&amp;7722458000,Данные!$A$2:$A$722,"&lt;="&amp;7722458999)</f>
        <v>0</v>
      </c>
      <c r="BH45" s="66" t="n">
        <f aca="false">COUNTIFS(Данные!$B$2:$B$722,21,Данные!$C$2:$C$722,1,Данные!$A$2:$A$722,"&gt;="&amp;7722630000,Данные!$A$2:$A$722,"&lt;="&amp;7722638549)</f>
        <v>0</v>
      </c>
      <c r="BI45" s="66" t="n">
        <f aca="false">COUNTIFS(Данные!$B$2:$B$722,21,Данные!$C$2:$C$722,1,Данные!$A$2:$A$722,"&gt;="&amp;7722639400,Данные!$A$2:$A$722,"&lt;="&amp;7722639899)</f>
        <v>0</v>
      </c>
      <c r="BJ45" s="66" t="n">
        <f aca="false">COUNTIFS(Данные!$B$2:$B$722,21,Данные!$C$2:$C$722,1,Данные!$A$2:$A$722,"&gt;="&amp;7725750000,Данные!$A$2:$A$722,"&lt;="&amp;7725750399)</f>
        <v>0</v>
      </c>
      <c r="BK45" s="66" t="n">
        <f aca="false">COUNTIFS(Данные!$B$2:$B$722,21,Данные!$C$2:$C$722,1,Данные!$A$2:$A$722,"&gt;="&amp;7723620000,Данные!$A$2:$A$722,"&lt;="&amp;7723621299)</f>
        <v>0</v>
      </c>
      <c r="BL45" s="66" t="n">
        <f aca="false">COUNTIFS(Данные!$B$2:$B$722,21,Данные!$C$2:$C$722,1,Данные!$A$2:$A$722,"&gt;="&amp;7723621600,Данные!$A$2:$A$722,"&lt;="&amp;7723623399)</f>
        <v>0</v>
      </c>
      <c r="BM45" s="66" t="n">
        <f aca="false">COUNTIFS(Данные!$B$2:$B$722,21,Данные!$C$2:$C$722,1,Данные!$A$2:$A$722,"&gt;="&amp;7725127000,Данные!$A$2:$A$722,"&lt;="&amp;7725127999)</f>
        <v>0</v>
      </c>
      <c r="BN45" s="66" t="n">
        <f aca="false">COUNTIFS(Данные!$B$2:$B$722,21,Данные!$C$2:$C$722,1,Данные!$A$2:$A$722,"&gt;="&amp;7723772000,Данные!$A$2:$A$722,"&lt;="&amp;7723724999)</f>
        <v>0</v>
      </c>
      <c r="BO45" s="65" t="n">
        <f aca="false">COUNTIFS(Данные!$B$2:$B$722,21,Данные!$C$2:$C$722,1,Данные!$A$2:$A$722,"&gt;="&amp;7723765000,Данные!$A$2:$A$722,"&lt;="&amp;7723765499)</f>
        <v>0</v>
      </c>
      <c r="BP45" s="66" t="n">
        <f aca="false">COUNTIFS(Данные!$B$2:$B$722,21,Данные!$C$2:$C$722,1,Данные!$A$2:$A$722,"&gt;="&amp;7723948000,Данные!$A$2:$A$722,"&lt;="&amp;7723948999)</f>
        <v>0</v>
      </c>
      <c r="BQ45" s="66" t="n">
        <f aca="false">COUNTIFS(Данные!$B$2:$B$722,21,Данные!$C$2:$C$722,1,Данные!$A$2:$A$722,"&gt;="&amp;7723950000,Данные!$A$2:$A$722,"&lt;="&amp;7723951099)</f>
        <v>0</v>
      </c>
      <c r="BR45" s="66" t="n">
        <f aca="false">COUNTIFS(Данные!$B$2:$B$722,21,Данные!$C$2:$C$722,1,Данные!$A$2:$A$722,"&gt;="&amp;7723020000,Данные!$A$2:$A$722,"&lt;="&amp;7723020999)</f>
        <v>0</v>
      </c>
      <c r="BS45" s="66" t="n">
        <f aca="false">COUNTIFS(Данные!$B$2:$B$722,21,Данные!$C$2:$C$722,1,Данные!$A$2:$A$722,"&gt;="&amp;7723029000,Данные!$A$2:$A$722,"&lt;="&amp;7723029999)</f>
        <v>0</v>
      </c>
      <c r="BT45" s="66" t="n">
        <f aca="false">COUNTIFS(Данные!$B$2:$B$722,21,Данные!$C$2:$C$722,1,Данные!$A$2:$A$722,"&gt;="&amp;7723055000,Данные!$A$2:$A$722,"&lt;="&amp;7723056549)</f>
        <v>0</v>
      </c>
      <c r="BU45" s="65" t="n">
        <f aca="false">COUNTIFS(Данные!$B$2:$B$722,21,Данные!$C$2:$C$722,1,Данные!$A$2:$A$722,"&gt;="&amp;7725250000,Данные!$A$2:$A$722,"&lt;="&amp;7725250499)</f>
        <v>0</v>
      </c>
      <c r="BV45" s="66" t="n">
        <f aca="false">COUNTIFS(Данные!$B$2:$B$722,21,Данные!$C$2:$C$722,1,Данные!$A$2:$A$722,"&gt;="&amp;7183841400,Данные!$A$2:$A$722,"&lt;="&amp;7183841499)</f>
        <v>0</v>
      </c>
      <c r="BW45" s="49" t="n">
        <v>300</v>
      </c>
      <c r="BX45" s="67" t="n">
        <f aca="false">F45-BW45</f>
        <v>-260</v>
      </c>
    </row>
    <row r="46" s="15" customFormat="true" ht="12" hidden="false" customHeight="true" outlineLevel="0" collapsed="false">
      <c r="A46" s="47"/>
      <c r="B46" s="48"/>
      <c r="C46" s="50" t="n">
        <v>2</v>
      </c>
      <c r="D46" s="50" t="n">
        <v>212</v>
      </c>
      <c r="E46" s="51"/>
      <c r="F46" s="65" t="n">
        <f aca="false">COUNTIFS(Данные!$B$2:$B$722,21,Данные!$C$2:$C$722,2)</f>
        <v>8</v>
      </c>
      <c r="G46" s="65" t="n">
        <f aca="false">COUNTIFS(Данные!$B$2:$B$722,21,Данные!$C$2:$C$722,2,Данные!$A$2:$A$722,"&gt;="&amp;77232210840,Данные!$A$2:$A$722,"&lt;="&amp;77232216999)</f>
        <v>0</v>
      </c>
      <c r="H46" s="65" t="n">
        <f aca="false">COUNTIFS(Данные!$B$2:$B$722,21,Данные!$C$2:$C$722,2,Данные!$A$2:$A$722,"&gt;="&amp;77232510512,Данные!$A$2:$A$722,"&lt;="&amp;77232519487)</f>
        <v>0</v>
      </c>
      <c r="I46" s="65" t="n">
        <f aca="false">COUNTIFS(Данные!$B$2:$B$722,21,Данные!$C$2:$C$722,2,Данные!$A$2:$A$722,"&gt;="&amp;77232524160,Данные!$A$2:$A$722,"&lt;="&amp;77232529999)</f>
        <v>0</v>
      </c>
      <c r="J46" s="65" t="n">
        <f aca="false">COUNTIFS(Данные!$B$2:$B$722,21,Данные!$C$2:$C$722,2,Данные!$A$2:$A$722,"&gt;="&amp;77232544000,Данные!$A$2:$A$722,"&lt;="&amp;77232544999)</f>
        <v>0</v>
      </c>
      <c r="K46" s="65" t="n">
        <f aca="false">COUNTIFS(Данные!$B$2:$B$722,21,Данные!$C$2:$C$722,2,Данные!$A$2:$A$722,"&gt;="&amp;77232295504,Данные!$A$2:$A$722,"&lt;="&amp;77232296999)</f>
        <v>0</v>
      </c>
      <c r="L46" s="65" t="n">
        <f aca="false">COUNTIFS(Данные!$B$2:$B$722,21,Данные!$C$2:$C$722,2,Данные!$A$2:$A$722,"&gt;="&amp;77232785000,Данные!$A$2:$A$722,"&lt;="&amp;77232789999)</f>
        <v>0</v>
      </c>
      <c r="M46" s="65" t="n">
        <f aca="false">COUNTIFS(Данные!$B$2:$B$722,21,Данные!$C$2:$C$722,2,Данные!$A$2:$A$722,"&gt;="&amp;77233150000,Данные!$A$2:$A$722,"&lt;="&amp;77233155999)</f>
        <v>0</v>
      </c>
      <c r="N46" s="65" t="n">
        <f aca="false">COUNTIFS(Данные!$B$2:$B$722,21,Данные!$C$2:$C$722,2,Данные!$A$2:$A$722,"&gt;="&amp;77233235000,Данные!$A$2:$A$722,"&lt;="&amp;77233235999)</f>
        <v>0</v>
      </c>
      <c r="O46" s="65" t="n">
        <f aca="false">COUNTIFS(Данные!$B$2:$B$722,21,Данные!$C$2:$C$722,2,Данные!$A$2:$A$722,"&gt;="&amp;77233239000,Данные!$A$2:$A$722,"&lt;="&amp;77233239999)</f>
        <v>0</v>
      </c>
      <c r="P46" s="65" t="n">
        <f aca="false">COUNTIFS(Данные!$B$2:$B$722,21,Данные!$C$2:$C$722,2,Данные!$A$2:$A$722,"&gt;="&amp;77233272000,Данные!$A$2:$A$722,"&lt;="&amp;77233272999)</f>
        <v>0</v>
      </c>
      <c r="Q46" s="65" t="n">
        <f aca="false">COUNTIFS(Данные!$B$2:$B$722,21,Данные!$C$2:$C$722,2,Данные!$A$2:$A$722,"&gt;="&amp;77233291100,Данные!$A$2:$A$722,"&lt;="&amp;77233292999)</f>
        <v>0</v>
      </c>
      <c r="R46" s="65" t="n">
        <f aca="false">COUNTIFS(Данные!$B$2:$B$722,21,Данные!$C$2:$C$722,2,Данные!$A$2:$A$722,"&gt;="&amp;77233297000,Данные!$A$2:$A$722,"&lt;="&amp;77233298399)</f>
        <v>0</v>
      </c>
      <c r="S46" s="65" t="n">
        <f aca="false">COUNTIFS(Данные!$B$2:$B$722,21,Данные!$C$2:$C$722,2,Данные!$A$2:$A$722,"&gt;="&amp;77235124000,Данные!$A$2:$A$722,"&lt;="&amp;77235128499)</f>
        <v>8</v>
      </c>
      <c r="T46" s="65" t="n">
        <f aca="false">COUNTIFS(Данные!$B$2:$B$722,21,Данные!$C$2:$C$722,2,Данные!$A$2:$A$722,"&gt;="&amp;77235320000,Данные!$A$2:$A$722,"&lt;="&amp;77235320999)</f>
        <v>0</v>
      </c>
      <c r="U46" s="65" t="n">
        <f aca="false">COUNTIFS(Данные!$B$2:$B$722,21,Данные!$C$2:$C$722,2,Данные!$A$2:$A$722,"&gt;="&amp;77233620000,Данные!$A$2:$A$722,"&lt;="&amp;77233623339)</f>
        <v>0</v>
      </c>
      <c r="V46" s="65" t="n">
        <f aca="false">COUNTIFS(Данные!$B$2:$B$722,21,Данные!$C$2:$C$722,2,Данные!$A$2:$A$722,"&gt;="&amp;77233630000,Данные!$A$2:$A$722,"&lt;="&amp;77233630999)</f>
        <v>0</v>
      </c>
      <c r="W46" s="65" t="n">
        <f aca="false">COUNTIFS(Данные!$B$2:$B$722,21,Данные!$C$2:$C$722,2,Данные!$A$2:$A$722,"&gt;="&amp;77233637000,Данные!$A$2:$A$722,"&lt;="&amp;77233637599)</f>
        <v>0</v>
      </c>
      <c r="X46" s="65" t="n">
        <f aca="false">COUNTIFS(Данные!$B$2:$B$722,21,Данные!$C$2:$C$722,2,Данные!$A$2:$A$722,"&gt;="&amp;77233550000,Данные!$A$2:$A$722,"&lt;="&amp;77233550999)</f>
        <v>0</v>
      </c>
      <c r="Y46" s="65" t="n">
        <f aca="false">COUNTIFS(Данные!$B$2:$B$722,21,Данные!$C$2:$C$722,2,Данные!$A$2:$A$722,"&gt;="&amp;77233554000,Данные!$A$2:$A$722,"&lt;="&amp;77233554999)</f>
        <v>0</v>
      </c>
      <c r="Z46" s="65" t="n">
        <f aca="false">COUNTIFS(Данные!$B$2:$B$722,21,Данные!$C$2:$C$722,2,Данные!$A$2:$A$722,"&gt;="&amp;77233555000,Данные!$A$2:$A$722,"&lt;="&amp;77233556999)</f>
        <v>0</v>
      </c>
      <c r="AA46" s="65" t="n">
        <f aca="false">COUNTIFS(Данные!$B$2:$B$722,21,Данные!$C$2:$C$722,2,Данные!$A$2:$A$722,"&gt;="&amp;77233726000,Данные!$A$2:$A$722,"&lt;="&amp;77233726999)</f>
        <v>0</v>
      </c>
      <c r="AB46" s="65" t="n">
        <f aca="false">COUNTIFS(Данные!$B$2:$B$722,21,Данные!$C$2:$C$722,2,Данные!$A$2:$A$722,"&gt;="&amp;77233820000,Данные!$A$2:$A$722,"&lt;="&amp;77233820999)</f>
        <v>0</v>
      </c>
      <c r="AC46" s="65" t="n">
        <f aca="false">COUNTIFS(Данные!$B$2:$B$722,21,Данные!$C$2:$C$722,2,Данные!$A$2:$A$722,"&gt;="&amp;77233850000,Данные!$A$2:$A$722,"&lt;="&amp;77233850999)</f>
        <v>0</v>
      </c>
      <c r="AD46" s="65" t="n">
        <f aca="false">COUNTIFS(Данные!$B$2:$B$722,21,Данные!$C$2:$C$722,2,Данные!$A$2:$A$722,"&gt;="&amp;77233420000,Данные!$A$2:$A$722,"&lt;="&amp;77233420999)</f>
        <v>0</v>
      </c>
      <c r="AE46" s="65" t="n">
        <f aca="false">COUNTIFS(Данные!$B$2:$B$722,21,Данные!$C$2:$C$722,2,Данные!$A$2:$A$722,"&gt;="&amp;77234740000,Данные!$A$2:$A$722,"&lt;="&amp;77234742999)</f>
        <v>0</v>
      </c>
      <c r="AF46" s="65" t="n">
        <f aca="false">COUNTIFS(Данные!$B$2:$B$722,21,Данные!$C$2:$C$722,2,Данные!$A$2:$A$722,"&gt;="&amp;77234767000,Данные!$A$2:$A$722,"&lt;="&amp;77234767999)</f>
        <v>0</v>
      </c>
      <c r="AG46" s="65" t="n">
        <f aca="false">COUNTIFS(Данные!$B$2:$B$722,21,Данные!$C$2:$C$722,2,Данные!$A$2:$A$722,"&gt;="&amp;77234120000,Данные!$A$2:$A$722,"&lt;="&amp;77234120999)</f>
        <v>0</v>
      </c>
      <c r="AH46" s="65" t="n">
        <f aca="false">COUNTIFS(Данные!$B$2:$B$722,21,Данные!$C$2:$C$722,2,Данные!$A$2:$A$722,"&gt;="&amp;77234127000,Данные!$A$2:$A$722,"&lt;="&amp;77234127999)</f>
        <v>0</v>
      </c>
      <c r="AI46" s="65" t="n">
        <f aca="false">COUNTIFS(Данные!$B$2:$B$722,21,Данные!$C$2:$C$722,2,Данные!$A$2:$A$722,"&gt;="&amp;77234220000,Данные!$A$2:$A$722,"&lt;="&amp;77234220999)</f>
        <v>0</v>
      </c>
      <c r="AJ46" s="65" t="n">
        <f aca="false">COUNTIFS(Данные!$B$2:$B$722,21,Данные!$C$2:$C$722,2,Данные!$A$2:$A$722,"&gt;="&amp;77234250000,Данные!$A$2:$A$722,"&lt;="&amp;77234250999)</f>
        <v>0</v>
      </c>
      <c r="AK46" s="65" t="n">
        <f aca="false">COUNTIFS(Данные!$B$2:$B$722,21,Данные!$C$2:$C$722,2,Данные!$A$2:$A$722,"&gt;="&amp;77233922950,Данные!$A$2:$A$722,"&lt;="&amp;77233924999)</f>
        <v>0</v>
      </c>
      <c r="AL46" s="65" t="n">
        <f aca="false">COUNTIFS(Данные!$B$2:$B$722,21,Данные!$C$2:$C$722,2,Данные!$A$2:$A$722,"&gt;="&amp;77234320000,Данные!$A$2:$A$722,"&lt;="&amp;77234320999)</f>
        <v>0</v>
      </c>
      <c r="AM46" s="65" t="n">
        <f aca="false">COUNTIFS(Данные!$B$2:$B$722,21,Данные!$C$2:$C$722,2,Данные!$A$2:$A$722,"&gt;="&amp;77234350000,Данные!$A$2:$A$722,"&lt;="&amp;77234350999)</f>
        <v>0</v>
      </c>
      <c r="AN46" s="65" t="n">
        <f aca="false">COUNTIFS(Данные!$B$2:$B$722,21,Данные!$C$2:$C$722,2,Данные!$A$2:$A$722,"&gt;="&amp;77234020000,Данные!$A$2:$A$722,"&lt;="&amp;77234020999)</f>
        <v>0</v>
      </c>
      <c r="AO46" s="65" t="n">
        <f aca="false">COUNTIFS(Данные!$B$2:$B$722,21,Данные!$C$2:$C$722,2,Данные!$A$2:$A$722,"&gt;="&amp;77234029000,Данные!$A$2:$A$722,"&lt;="&amp;77234029999)</f>
        <v>0</v>
      </c>
      <c r="AP46" s="65" t="n">
        <f aca="false">COUNTIFS(Данные!$B$2:$B$722,21,Данные!$C$2:$C$722,2,Данные!$A$2:$A$722,"&gt;="&amp;77234050000,Данные!$A$2:$A$722,"&lt;="&amp;77234050999)</f>
        <v>0</v>
      </c>
      <c r="AQ46" s="65" t="n">
        <f aca="false">COUNTIFS(Данные!$B$2:$B$722,21,Данные!$C$2:$C$722,2,Данные!$A$2:$A$722,"&gt;="&amp;77234427000,Данные!$A$2:$A$722,"&lt;="&amp;77234428999)</f>
        <v>0</v>
      </c>
      <c r="AR46" s="65" t="n">
        <f aca="false">COUNTIFS(Данные!$B$2:$B$722,21,Данные!$C$2:$C$722,2,Данные!$A$2:$A$722,"&gt;="&amp;77234450000,Данные!$A$2:$A$722,"&lt;="&amp;77234450999)</f>
        <v>0</v>
      </c>
      <c r="AS46" s="65" t="n">
        <f aca="false">COUNTIFS(Данные!$B$2:$B$722,21,Данные!$C$2:$C$722,2,Данные!$A$2:$A$722,"&gt;="&amp;77234620000,Данные!$A$2:$A$722,"&lt;="&amp;77234620999)</f>
        <v>0</v>
      </c>
      <c r="AT46" s="65" t="n">
        <f aca="false">COUNTIFS(Данные!$B$2:$B$722,21,Данные!$C$2:$C$722,2,Данные!$A$2:$A$722,"&gt;="&amp;77234650000,Данные!$A$2:$A$722,"&lt;="&amp;77234650999)</f>
        <v>0</v>
      </c>
      <c r="AU46" s="65" t="n">
        <f aca="false">COUNTIFS(Данные!$B$2:$B$722,21,Данные!$C$2:$C$722,2,Данные!$A$2:$A$722,"&gt;="&amp;77234820000,Данные!$A$2:$A$722,"&lt;="&amp;77234820999)</f>
        <v>0</v>
      </c>
      <c r="AV46" s="65" t="n">
        <f aca="false">COUNTIFS(Данные!$B$2:$B$722,21,Данные!$C$2:$C$722,2,Данные!$A$2:$A$722,"&gt;="&amp;77234850000,Данные!$A$2:$A$722,"&lt;="&amp;77234850999)</f>
        <v>0</v>
      </c>
      <c r="AW46" s="65" t="n">
        <f aca="false">COUNTIFS(Данные!$B$2:$B$722,21,Данные!$C$2:$C$722,2,Данные!$A$2:$A$722,"&gt;="&amp;77233327000,Данные!$A$2:$A$722,"&lt;="&amp;77233327999)</f>
        <v>0</v>
      </c>
      <c r="AX46" s="65" t="n">
        <f aca="false">COUNTIFS(Данные!$B$2:$B$722,21,Данные!$C$2:$C$722,2,Данные!$A$2:$A$722,"&gt;="&amp;77233350000,Данные!$A$2:$A$722,"&lt;="&amp;77233350599)</f>
        <v>0</v>
      </c>
      <c r="AY46" s="65" t="n">
        <f aca="false">COUNTIFS(Данные!$B$2:$B$722,21,Данные!$C$2:$C$722,2,Данные!$A$2:$A$722,"&gt;="&amp;77233351000,Данные!$A$2:$A$722,"&lt;="&amp;77233351999)</f>
        <v>0</v>
      </c>
      <c r="AZ46" s="66" t="n">
        <f aca="false">COUNTIFS(Данные!$B$2:$B$722,21,Данные!$C$2:$C$722,2,Данные!$A$2:$A$722,"&gt;="&amp;7722440000,Данные!$A$2:$A$722,"&lt;="&amp;7722440999)</f>
        <v>0</v>
      </c>
      <c r="BA46" s="66" t="n">
        <f aca="false">COUNTIFS(Данные!$B$2:$B$722,21,Данные!$C$2:$C$722,2,Данные!$A$2:$A$722,"&gt;="&amp;7722442000,Данные!$A$2:$A$722,"&lt;="&amp;7722445659)</f>
        <v>0</v>
      </c>
      <c r="BB46" s="66" t="n">
        <f aca="false">COUNTIFS(Данные!$B$2:$B$722,21,Данные!$C$2:$C$722,2,Данные!$A$2:$A$722,"&gt;="&amp;7722450000,Данные!$A$2:$A$722,"&lt;="&amp;7722450199)</f>
        <v>0</v>
      </c>
      <c r="BC46" s="66" t="n">
        <f aca="false">COUNTIFS(Данные!$B$2:$B$722,21,Данные!$C$2:$C$722,2,Данные!$A$2:$A$722,"&gt;="&amp;7722451000,Данные!$A$2:$A$722,"&lt;="&amp;7722451374)</f>
        <v>0</v>
      </c>
      <c r="BD46" s="66" t="n">
        <f aca="false">COUNTIFS(Данные!$B$2:$B$722,21,Данные!$C$2:$C$722,2,Данные!$A$2:$A$722,"&gt;="&amp;7722452000,Данные!$A$2:$A$722,"&lt;="&amp;7722452299)</f>
        <v>0</v>
      </c>
      <c r="BE46" s="66" t="n">
        <f aca="false">COUNTIFS(Данные!$B$2:$B$722,21,Данные!$C$2:$C$722,2,Данные!$A$2:$A$722,"&gt;="&amp;7722453000,Данные!$A$2:$A$722,"&lt;="&amp;7722453816)</f>
        <v>0</v>
      </c>
      <c r="BF46" s="66" t="n">
        <f aca="false">COUNTIFS(Данные!$B$2:$B$722,21,Данные!$C$2:$C$722,2,Данные!$A$2:$A$722,"&gt;="&amp;7722454000,Данные!$A$2:$A$722,"&lt;="&amp;7722454099)</f>
        <v>0</v>
      </c>
      <c r="BG46" s="66" t="n">
        <f aca="false">COUNTIFS(Данные!$B$2:$B$722,21,Данные!$C$2:$C$722,2,Данные!$A$2:$A$722,"&gt;="&amp;7722458000,Данные!$A$2:$A$722,"&lt;="&amp;7722458999)</f>
        <v>0</v>
      </c>
      <c r="BH46" s="66" t="n">
        <f aca="false">COUNTIFS(Данные!$B$2:$B$722,21,Данные!$C$2:$C$722,2,Данные!$A$2:$A$722,"&gt;="&amp;7722630000,Данные!$A$2:$A$722,"&lt;="&amp;7722638549)</f>
        <v>0</v>
      </c>
      <c r="BI46" s="66" t="n">
        <f aca="false">COUNTIFS(Данные!$B$2:$B$722,21,Данные!$C$2:$C$722,2,Данные!$A$2:$A$722,"&gt;="&amp;7722639400,Данные!$A$2:$A$722,"&lt;="&amp;7722639899)</f>
        <v>0</v>
      </c>
      <c r="BJ46" s="66" t="n">
        <f aca="false">COUNTIFS(Данные!$B$2:$B$722,21,Данные!$C$2:$C$722,2,Данные!$A$2:$A$722,"&gt;="&amp;7725750000,Данные!$A$2:$A$722,"&lt;="&amp;7725750399)</f>
        <v>0</v>
      </c>
      <c r="BK46" s="66" t="n">
        <f aca="false">COUNTIFS(Данные!$B$2:$B$722,21,Данные!$C$2:$C$722,2,Данные!$A$2:$A$722,"&gt;="&amp;7723620000,Данные!$A$2:$A$722,"&lt;="&amp;7723621299)</f>
        <v>0</v>
      </c>
      <c r="BL46" s="66" t="n">
        <f aca="false">COUNTIFS(Данные!$B$2:$B$722,21,Данные!$C$2:$C$722,2,Данные!$A$2:$A$722,"&gt;="&amp;7723621600,Данные!$A$2:$A$722,"&lt;="&amp;7723623399)</f>
        <v>0</v>
      </c>
      <c r="BM46" s="66" t="n">
        <f aca="false">COUNTIFS(Данные!$B$2:$B$722,21,Данные!$C$2:$C$722,2,Данные!$A$2:$A$722,"&gt;="&amp;7725127000,Данные!$A$2:$A$722,"&lt;="&amp;7725127999)</f>
        <v>0</v>
      </c>
      <c r="BN46" s="66" t="n">
        <f aca="false">COUNTIFS(Данные!$B$2:$B$722,21,Данные!$C$2:$C$722,2,Данные!$A$2:$A$722,"&gt;="&amp;7723772000,Данные!$A$2:$A$722,"&lt;="&amp;7723724999)</f>
        <v>0</v>
      </c>
      <c r="BO46" s="65" t="n">
        <f aca="false">COUNTIFS(Данные!$B$2:$B$722,21,Данные!$C$2:$C$722,2,Данные!$A$2:$A$722,"&gt;="&amp;7723765000,Данные!$A$2:$A$722,"&lt;="&amp;7723765499)</f>
        <v>0</v>
      </c>
      <c r="BP46" s="66" t="n">
        <f aca="false">COUNTIFS(Данные!$B$2:$B$722,21,Данные!$C$2:$C$722,2,Данные!$A$2:$A$722,"&gt;="&amp;7723948000,Данные!$A$2:$A$722,"&lt;="&amp;7723948999)</f>
        <v>0</v>
      </c>
      <c r="BQ46" s="66" t="n">
        <f aca="false">COUNTIFS(Данные!$B$2:$B$722,21,Данные!$C$2:$C$722,2,Данные!$A$2:$A$722,"&gt;="&amp;7723950000,Данные!$A$2:$A$722,"&lt;="&amp;7723951099)</f>
        <v>0</v>
      </c>
      <c r="BR46" s="66" t="n">
        <f aca="false">COUNTIFS(Данные!$B$2:$B$722,21,Данные!$C$2:$C$722,2,Данные!$A$2:$A$722,"&gt;="&amp;7723020000,Данные!$A$2:$A$722,"&lt;="&amp;7723020999)</f>
        <v>0</v>
      </c>
      <c r="BS46" s="66" t="n">
        <f aca="false">COUNTIFS(Данные!$B$2:$B$722,21,Данные!$C$2:$C$722,2,Данные!$A$2:$A$722,"&gt;="&amp;7723029000,Данные!$A$2:$A$722,"&lt;="&amp;7723029999)</f>
        <v>0</v>
      </c>
      <c r="BT46" s="66" t="n">
        <f aca="false">COUNTIFS(Данные!$B$2:$B$722,21,Данные!$C$2:$C$722,2,Данные!$A$2:$A$722,"&gt;="&amp;7723055000,Данные!$A$2:$A$722,"&lt;="&amp;7723056549)</f>
        <v>0</v>
      </c>
      <c r="BU46" s="65" t="n">
        <f aca="false">COUNTIFS(Данные!$B$2:$B$722,21,Данные!$C$2:$C$722,2,Данные!$A$2:$A$722,"&gt;="&amp;7725250000,Данные!$A$2:$A$722,"&lt;="&amp;7725250499)</f>
        <v>0</v>
      </c>
      <c r="BV46" s="66" t="n">
        <f aca="false">COUNTIFS(Данные!$B$2:$B$722,21,Данные!$C$2:$C$722,2,Данные!$A$2:$A$722,"&gt;="&amp;7183841400,Данные!$A$2:$A$722,"&lt;="&amp;7183841499)</f>
        <v>0</v>
      </c>
      <c r="BW46" s="49" t="n">
        <v>300</v>
      </c>
      <c r="BX46" s="67" t="n">
        <f aca="false">F46-BW46</f>
        <v>-292</v>
      </c>
    </row>
    <row r="47" s="15" customFormat="true" ht="12" hidden="false" customHeight="true" outlineLevel="0" collapsed="false">
      <c r="A47" s="38" t="n">
        <v>22</v>
      </c>
      <c r="B47" s="39" t="s">
        <v>75</v>
      </c>
      <c r="C47" s="41" t="n">
        <v>0</v>
      </c>
      <c r="D47" s="41" t="n">
        <v>220</v>
      </c>
      <c r="E47" s="42" t="n">
        <f aca="false">SUM(F47:F49)</f>
        <v>74</v>
      </c>
      <c r="F47" s="62" t="n">
        <f aca="false">COUNTIFS(Данные!$B$2:$B$722,22,Данные!$C$2:$C$722,0)</f>
        <v>40</v>
      </c>
      <c r="G47" s="62" t="n">
        <f aca="false">COUNTIFS(Данные!$B$2:$B$722,22,Данные!$C$2:$C$722,0,Данные!$A$2:$A$722,"&gt;="&amp;77232210840,Данные!$A$2:$A$722,"&lt;="&amp;77232216999)</f>
        <v>0</v>
      </c>
      <c r="H47" s="62" t="n">
        <f aca="false">COUNTIFS(Данные!$B$2:$B$722,22,Данные!$C$2:$C$722,0,Данные!$A$2:$A$722,"&gt;="&amp;77232510512,Данные!$A$2:$A$722,"&lt;="&amp;77232519487)</f>
        <v>0</v>
      </c>
      <c r="I47" s="62" t="n">
        <f aca="false">COUNTIFS(Данные!$B$2:$B$722,22,Данные!$C$2:$C$722,0,Данные!$A$2:$A$722,"&gt;="&amp;77232524160,Данные!$A$2:$A$722,"&lt;="&amp;77232529999)</f>
        <v>0</v>
      </c>
      <c r="J47" s="62" t="n">
        <f aca="false">COUNTIFS(Данные!$B$2:$B$722,22,Данные!$C$2:$C$722,0,Данные!$A$2:$A$722,"&gt;="&amp;77232544000,Данные!$A$2:$A$722,"&lt;="&amp;77232544999)</f>
        <v>0</v>
      </c>
      <c r="K47" s="62" t="n">
        <f aca="false">COUNTIFS(Данные!$B$2:$B$722,22,Данные!$C$2:$C$722,0,Данные!$A$2:$A$722,"&gt;="&amp;77232295504,Данные!$A$2:$A$722,"&lt;="&amp;77232296999)</f>
        <v>0</v>
      </c>
      <c r="L47" s="62" t="n">
        <f aca="false">COUNTIFS(Данные!$B$2:$B$722,22,Данные!$C$2:$C$722,0,Данные!$A$2:$A$722,"&gt;="&amp;77232785000,Данные!$A$2:$A$722,"&lt;="&amp;77232789999)</f>
        <v>0</v>
      </c>
      <c r="M47" s="62" t="n">
        <f aca="false">COUNTIFS(Данные!$B$2:$B$722,22,Данные!$C$2:$C$722,0,Данные!$A$2:$A$722,"&gt;="&amp;77233150000,Данные!$A$2:$A$722,"&lt;="&amp;77233155999)</f>
        <v>0</v>
      </c>
      <c r="N47" s="62" t="n">
        <f aca="false">COUNTIFS(Данные!$B$2:$B$722,22,Данные!$C$2:$C$722,0,Данные!$A$2:$A$722,"&gt;="&amp;77233235000,Данные!$A$2:$A$722,"&lt;="&amp;77233235999)</f>
        <v>0</v>
      </c>
      <c r="O47" s="62" t="n">
        <f aca="false">COUNTIFS(Данные!$B$2:$B$722,22,Данные!$C$2:$C$722,0,Данные!$A$2:$A$722,"&gt;="&amp;77233239000,Данные!$A$2:$A$722,"&lt;="&amp;77233239999)</f>
        <v>0</v>
      </c>
      <c r="P47" s="62" t="n">
        <f aca="false">COUNTIFS(Данные!$B$2:$B$722,22,Данные!$C$2:$C$722,0,Данные!$A$2:$A$722,"&gt;="&amp;77233272000,Данные!$A$2:$A$722,"&lt;="&amp;77233272999)</f>
        <v>0</v>
      </c>
      <c r="Q47" s="62" t="n">
        <f aca="false">COUNTIFS(Данные!$B$2:$B$722,22,Данные!$C$2:$C$722,0,Данные!$A$2:$A$722,"&gt;="&amp;77233291100,Данные!$A$2:$A$722,"&lt;="&amp;77233292999)</f>
        <v>0</v>
      </c>
      <c r="R47" s="62" t="n">
        <f aca="false">COUNTIFS(Данные!$B$2:$B$722,22,Данные!$C$2:$C$722,0,Данные!$A$2:$A$722,"&gt;="&amp;77233297000,Данные!$A$2:$A$722,"&lt;="&amp;77233298399)</f>
        <v>0</v>
      </c>
      <c r="S47" s="62" t="n">
        <f aca="false">COUNTIFS(Данные!$B$2:$B$722,22,Данные!$C$2:$C$722,0,Данные!$A$2:$A$722,"&gt;="&amp;77235124000,Данные!$A$2:$A$722,"&lt;="&amp;77235128499)</f>
        <v>0</v>
      </c>
      <c r="T47" s="62" t="n">
        <f aca="false">COUNTIFS(Данные!$B$2:$B$722,22,Данные!$C$2:$C$722,0,Данные!$A$2:$A$722,"&gt;="&amp;77235320000,Данные!$A$2:$A$722,"&lt;="&amp;77235320999)</f>
        <v>0</v>
      </c>
      <c r="U47" s="62" t="n">
        <f aca="false">COUNTIFS(Данные!$B$2:$B$722,22,Данные!$C$2:$C$722,0,Данные!$A$2:$A$722,"&gt;="&amp;77233620000,Данные!$A$2:$A$722,"&lt;="&amp;77233623339)</f>
        <v>0</v>
      </c>
      <c r="V47" s="62" t="n">
        <f aca="false">COUNTIFS(Данные!$B$2:$B$722,22,Данные!$C$2:$C$722,0,Данные!$A$2:$A$722,"&gt;="&amp;77233630000,Данные!$A$2:$A$722,"&lt;="&amp;77233630999)</f>
        <v>0</v>
      </c>
      <c r="W47" s="62" t="n">
        <f aca="false">COUNTIFS(Данные!$B$2:$B$722,22,Данные!$C$2:$C$722,0,Данные!$A$2:$A$722,"&gt;="&amp;77233637000,Данные!$A$2:$A$722,"&lt;="&amp;77233637599)</f>
        <v>0</v>
      </c>
      <c r="X47" s="62" t="n">
        <f aca="false">COUNTIFS(Данные!$B$2:$B$722,22,Данные!$C$2:$C$722,0,Данные!$A$2:$A$722,"&gt;="&amp;77233550000,Данные!$A$2:$A$722,"&lt;="&amp;77233550999)</f>
        <v>0</v>
      </c>
      <c r="Y47" s="62" t="n">
        <f aca="false">COUNTIFS(Данные!$B$2:$B$722,22,Данные!$C$2:$C$722,0,Данные!$A$2:$A$722,"&gt;="&amp;77233554000,Данные!$A$2:$A$722,"&lt;="&amp;77233554999)</f>
        <v>0</v>
      </c>
      <c r="Z47" s="62" t="n">
        <f aca="false">COUNTIFS(Данные!$B$2:$B$722,22,Данные!$C$2:$C$722,0,Данные!$A$2:$A$722,"&gt;="&amp;77233555000,Данные!$A$2:$A$722,"&lt;="&amp;77233556999)</f>
        <v>0</v>
      </c>
      <c r="AA47" s="62" t="n">
        <f aca="false">COUNTIFS(Данные!$B$2:$B$722,22,Данные!$C$2:$C$722,0,Данные!$A$2:$A$722,"&gt;="&amp;77233726000,Данные!$A$2:$A$722,"&lt;="&amp;77233726999)</f>
        <v>0</v>
      </c>
      <c r="AB47" s="62" t="n">
        <f aca="false">COUNTIFS(Данные!$B$2:$B$722,22,Данные!$C$2:$C$722,0,Данные!$A$2:$A$722,"&gt;="&amp;77233820000,Данные!$A$2:$A$722,"&lt;="&amp;77233820999)</f>
        <v>0</v>
      </c>
      <c r="AC47" s="62" t="n">
        <f aca="false">COUNTIFS(Данные!$B$2:$B$722,22,Данные!$C$2:$C$722,0,Данные!$A$2:$A$722,"&gt;="&amp;77233850000,Данные!$A$2:$A$722,"&lt;="&amp;77233850999)</f>
        <v>0</v>
      </c>
      <c r="AD47" s="62" t="n">
        <f aca="false">COUNTIFS(Данные!$B$2:$B$722,22,Данные!$C$2:$C$722,0,Данные!$A$2:$A$722,"&gt;="&amp;77233420000,Данные!$A$2:$A$722,"&lt;="&amp;77233420999)</f>
        <v>0</v>
      </c>
      <c r="AE47" s="62" t="n">
        <f aca="false">COUNTIFS(Данные!$B$2:$B$722,22,Данные!$C$2:$C$722,0,Данные!$A$2:$A$722,"&gt;="&amp;77234740000,Данные!$A$2:$A$722,"&lt;="&amp;77234742999)</f>
        <v>23</v>
      </c>
      <c r="AF47" s="62" t="n">
        <f aca="false">COUNTIFS(Данные!$B$2:$B$722,22,Данные!$C$2:$C$722,0,Данные!$A$2:$A$722,"&gt;="&amp;77234767000,Данные!$A$2:$A$722,"&lt;="&amp;77234767999)</f>
        <v>17</v>
      </c>
      <c r="AG47" s="62" t="n">
        <f aca="false">COUNTIFS(Данные!$B$2:$B$722,22,Данные!$C$2:$C$722,0,Данные!$A$2:$A$722,"&gt;="&amp;77234120000,Данные!$A$2:$A$722,"&lt;="&amp;77234120999)</f>
        <v>0</v>
      </c>
      <c r="AH47" s="62" t="n">
        <f aca="false">COUNTIFS(Данные!$B$2:$B$722,22,Данные!$C$2:$C$722,0,Данные!$A$2:$A$722,"&gt;="&amp;77234127000,Данные!$A$2:$A$722,"&lt;="&amp;77234127999)</f>
        <v>0</v>
      </c>
      <c r="AI47" s="62" t="n">
        <f aca="false">COUNTIFS(Данные!$B$2:$B$722,22,Данные!$C$2:$C$722,0,Данные!$A$2:$A$722,"&gt;="&amp;77234220000,Данные!$A$2:$A$722,"&lt;="&amp;77234220999)</f>
        <v>0</v>
      </c>
      <c r="AJ47" s="62" t="n">
        <f aca="false">COUNTIFS(Данные!$B$2:$B$722,22,Данные!$C$2:$C$722,0,Данные!$A$2:$A$722,"&gt;="&amp;77234250000,Данные!$A$2:$A$722,"&lt;="&amp;77234250999)</f>
        <v>0</v>
      </c>
      <c r="AK47" s="62" t="n">
        <f aca="false">COUNTIFS(Данные!$B$2:$B$722,22,Данные!$C$2:$C$722,0,Данные!$A$2:$A$722,"&gt;="&amp;77233922950,Данные!$A$2:$A$722,"&lt;="&amp;77233924999)</f>
        <v>0</v>
      </c>
      <c r="AL47" s="62" t="n">
        <f aca="false">COUNTIFS(Данные!$B$2:$B$722,22,Данные!$C$2:$C$722,0,Данные!$A$2:$A$722,"&gt;="&amp;77234320000,Данные!$A$2:$A$722,"&lt;="&amp;77234320999)</f>
        <v>0</v>
      </c>
      <c r="AM47" s="62" t="n">
        <f aca="false">COUNTIFS(Данные!$B$2:$B$722,22,Данные!$C$2:$C$722,0,Данные!$A$2:$A$722,"&gt;="&amp;77234350000,Данные!$A$2:$A$722,"&lt;="&amp;77234350999)</f>
        <v>0</v>
      </c>
      <c r="AN47" s="62" t="n">
        <f aca="false">COUNTIFS(Данные!$B$2:$B$722,22,Данные!$C$2:$C$722,0,Данные!$A$2:$A$722,"&gt;="&amp;77234020000,Данные!$A$2:$A$722,"&lt;="&amp;77234020999)</f>
        <v>0</v>
      </c>
      <c r="AO47" s="62" t="n">
        <f aca="false">COUNTIFS(Данные!$B$2:$B$722,22,Данные!$C$2:$C$722,0,Данные!$A$2:$A$722,"&gt;="&amp;77234029000,Данные!$A$2:$A$722,"&lt;="&amp;77234029999)</f>
        <v>0</v>
      </c>
      <c r="AP47" s="62" t="n">
        <f aca="false">COUNTIFS(Данные!$B$2:$B$722,22,Данные!$C$2:$C$722,0,Данные!$A$2:$A$722,"&gt;="&amp;77234050000,Данные!$A$2:$A$722,"&lt;="&amp;77234050999)</f>
        <v>0</v>
      </c>
      <c r="AQ47" s="62" t="n">
        <f aca="false">COUNTIFS(Данные!$B$2:$B$722,22,Данные!$C$2:$C$722,0,Данные!$A$2:$A$722,"&gt;="&amp;77234427000,Данные!$A$2:$A$722,"&lt;="&amp;77234428999)</f>
        <v>0</v>
      </c>
      <c r="AR47" s="62" t="n">
        <f aca="false">COUNTIFS(Данные!$B$2:$B$722,22,Данные!$C$2:$C$722,0,Данные!$A$2:$A$722,"&gt;="&amp;77234450000,Данные!$A$2:$A$722,"&lt;="&amp;77234450999)</f>
        <v>0</v>
      </c>
      <c r="AS47" s="62" t="n">
        <f aca="false">COUNTIFS(Данные!$B$2:$B$722,22,Данные!$C$2:$C$722,0,Данные!$A$2:$A$722,"&gt;="&amp;77234620000,Данные!$A$2:$A$722,"&lt;="&amp;77234620999)</f>
        <v>0</v>
      </c>
      <c r="AT47" s="62" t="n">
        <f aca="false">COUNTIFS(Данные!$B$2:$B$722,22,Данные!$C$2:$C$722,0,Данные!$A$2:$A$722,"&gt;="&amp;77234650000,Данные!$A$2:$A$722,"&lt;="&amp;77234650999)</f>
        <v>0</v>
      </c>
      <c r="AU47" s="62" t="n">
        <f aca="false">COUNTIFS(Данные!$B$2:$B$722,22,Данные!$C$2:$C$722,0,Данные!$A$2:$A$722,"&gt;="&amp;77234820000,Данные!$A$2:$A$722,"&lt;="&amp;77234820999)</f>
        <v>0</v>
      </c>
      <c r="AV47" s="62" t="n">
        <f aca="false">COUNTIFS(Данные!$B$2:$B$722,22,Данные!$C$2:$C$722,0,Данные!$A$2:$A$722,"&gt;="&amp;77234850000,Данные!$A$2:$A$722,"&lt;="&amp;77234850999)</f>
        <v>0</v>
      </c>
      <c r="AW47" s="62" t="n">
        <f aca="false">COUNTIFS(Данные!$B$2:$B$722,22,Данные!$C$2:$C$722,0,Данные!$A$2:$A$722,"&gt;="&amp;77233327000,Данные!$A$2:$A$722,"&lt;="&amp;77233327999)</f>
        <v>0</v>
      </c>
      <c r="AX47" s="62" t="n">
        <f aca="false">COUNTIFS(Данные!$B$2:$B$722,22,Данные!$C$2:$C$722,0,Данные!$A$2:$A$722,"&gt;="&amp;77233350000,Данные!$A$2:$A$722,"&lt;="&amp;77233350599)</f>
        <v>0</v>
      </c>
      <c r="AY47" s="62" t="n">
        <f aca="false">COUNTIFS(Данные!$B$2:$B$722,22,Данные!$C$2:$C$722,0,Данные!$A$2:$A$722,"&gt;="&amp;77233351000,Данные!$A$2:$A$722,"&lt;="&amp;77233351999)</f>
        <v>0</v>
      </c>
      <c r="AZ47" s="62" t="n">
        <f aca="false">COUNTIFS(Данные!$B$2:$B$722,22,Данные!$C$2:$C$722,0,Данные!$A$2:$A$722,"&gt;="&amp;7722440000,Данные!$A$2:$A$722,"&lt;="&amp;7722440999)</f>
        <v>0</v>
      </c>
      <c r="BA47" s="63" t="n">
        <f aca="false">COUNTIFS(Данные!$B$2:$B$722,22,Данные!$C$2:$C$722,0,Данные!$A$2:$A$722,"&gt;="&amp;7722442000,Данные!$A$2:$A$722,"&lt;="&amp;7722445659)</f>
        <v>0</v>
      </c>
      <c r="BB47" s="63" t="n">
        <f aca="false">COUNTIFS(Данные!$B$2:$B$722,22,Данные!$C$2:$C$722,0,Данные!$A$2:$A$722,"&gt;="&amp;7722450000,Данные!$A$2:$A$722,"&lt;="&amp;7722450199)</f>
        <v>0</v>
      </c>
      <c r="BC47" s="63" t="n">
        <f aca="false">COUNTIFS(Данные!$B$2:$B$722,22,Данные!$C$2:$C$722,0,Данные!$A$2:$A$722,"&gt;="&amp;7722451000,Данные!$A$2:$A$722,"&lt;="&amp;7722451374)</f>
        <v>0</v>
      </c>
      <c r="BD47" s="63" t="n">
        <f aca="false">COUNTIFS(Данные!$B$2:$B$722,22,Данные!$C$2:$C$722,0,Данные!$A$2:$A$722,"&gt;="&amp;7722452000,Данные!$A$2:$A$722,"&lt;="&amp;7722452299)</f>
        <v>0</v>
      </c>
      <c r="BE47" s="63" t="n">
        <f aca="false">COUNTIFS(Данные!$B$2:$B$722,22,Данные!$C$2:$C$722,0,Данные!$A$2:$A$722,"&gt;="&amp;7722453000,Данные!$A$2:$A$722,"&lt;="&amp;7722453816)</f>
        <v>0</v>
      </c>
      <c r="BF47" s="63" t="n">
        <f aca="false">COUNTIFS(Данные!$B$2:$B$722,22,Данные!$C$2:$C$722,0,Данные!$A$2:$A$722,"&gt;="&amp;7722454000,Данные!$A$2:$A$722,"&lt;="&amp;7722454099)</f>
        <v>0</v>
      </c>
      <c r="BG47" s="63" t="n">
        <f aca="false">COUNTIFS(Данные!$B$2:$B$722,22,Данные!$C$2:$C$722,0,Данные!$A$2:$A$722,"&gt;="&amp;7722458000,Данные!$A$2:$A$722,"&lt;="&amp;7722458999)</f>
        <v>0</v>
      </c>
      <c r="BH47" s="63" t="n">
        <f aca="false">COUNTIFS(Данные!$B$2:$B$722,22,Данные!$C$2:$C$722,0,Данные!$A$2:$A$722,"&gt;="&amp;7722630000,Данные!$A$2:$A$722,"&lt;="&amp;7722638549)</f>
        <v>0</v>
      </c>
      <c r="BI47" s="63" t="n">
        <f aca="false">COUNTIFS(Данные!$B$2:$B$722,22,Данные!$C$2:$C$722,0,Данные!$A$2:$A$722,"&gt;="&amp;7722639400,Данные!$A$2:$A$722,"&lt;="&amp;7722639899)</f>
        <v>0</v>
      </c>
      <c r="BJ47" s="63" t="n">
        <f aca="false">COUNTIFS(Данные!$B$2:$B$722,22,Данные!$C$2:$C$722,0,Данные!$A$2:$A$722,"&gt;="&amp;7725750000,Данные!$A$2:$A$722,"&lt;="&amp;7725750399)</f>
        <v>0</v>
      </c>
      <c r="BK47" s="63" t="n">
        <f aca="false">COUNTIFS(Данные!$B$2:$B$722,22,Данные!$C$2:$C$722,0,Данные!$A$2:$A$722,"&gt;="&amp;7723620000,Данные!$A$2:$A$722,"&lt;="&amp;7723621299)</f>
        <v>0</v>
      </c>
      <c r="BL47" s="63" t="n">
        <f aca="false">COUNTIFS(Данные!$B$2:$B$722,22,Данные!$C$2:$C$722,0,Данные!$A$2:$A$722,"&gt;="&amp;7723621600,Данные!$A$2:$A$722,"&lt;="&amp;7723623399)</f>
        <v>0</v>
      </c>
      <c r="BM47" s="63" t="n">
        <f aca="false">COUNTIFS(Данные!$B$2:$B$722,22,Данные!$C$2:$C$722,0,Данные!$A$2:$A$722,"&gt;="&amp;7725127000,Данные!$A$2:$A$722,"&lt;="&amp;7725127999)</f>
        <v>0</v>
      </c>
      <c r="BN47" s="63" t="n">
        <f aca="false">COUNTIFS(Данные!$B$2:$B$722,22,Данные!$C$2:$C$722,0,Данные!$A$2:$A$722,"&gt;="&amp;7723772000,Данные!$A$2:$A$722,"&lt;="&amp;7723724999)</f>
        <v>0</v>
      </c>
      <c r="BO47" s="62" t="n">
        <f aca="false">COUNTIFS(Данные!$B$2:$B$722,22,Данные!$C$2:$C$722,0,Данные!$A$2:$A$722,"&gt;="&amp;7723765000,Данные!$A$2:$A$722,"&lt;="&amp;7723765499)</f>
        <v>0</v>
      </c>
      <c r="BP47" s="63" t="n">
        <f aca="false">COUNTIFS(Данные!$B$2:$B$722,22,Данные!$C$2:$C$722,0,Данные!$A$2:$A$722,"&gt;="&amp;7723948000,Данные!$A$2:$A$722,"&lt;="&amp;7723948999)</f>
        <v>0</v>
      </c>
      <c r="BQ47" s="63" t="n">
        <f aca="false">COUNTIFS(Данные!$B$2:$B$722,22,Данные!$C$2:$C$722,0,Данные!$A$2:$A$722,"&gt;="&amp;7723950000,Данные!$A$2:$A$722,"&lt;="&amp;7723951099)</f>
        <v>0</v>
      </c>
      <c r="BR47" s="63" t="n">
        <f aca="false">COUNTIFS(Данные!$B$2:$B$722,22,Данные!$C$2:$C$722,0,Данные!$A$2:$A$722,"&gt;="&amp;7723020000,Данные!$A$2:$A$722,"&lt;="&amp;7723020999)</f>
        <v>0</v>
      </c>
      <c r="BS47" s="63" t="n">
        <f aca="false">COUNTIFS(Данные!$B$2:$B$722,22,Данные!$C$2:$C$722,0,Данные!$A$2:$A$722,"&gt;="&amp;7723029000,Данные!$A$2:$A$722,"&lt;="&amp;7723029999)</f>
        <v>0</v>
      </c>
      <c r="BT47" s="63" t="n">
        <f aca="false">COUNTIFS(Данные!$B$2:$B$722,22,Данные!$C$2:$C$722,0,Данные!$A$2:$A$722,"&gt;="&amp;7723055000,Данные!$A$2:$A$722,"&lt;="&amp;7723056549)</f>
        <v>0</v>
      </c>
      <c r="BU47" s="62" t="n">
        <f aca="false">COUNTIFS(Данные!$B$2:$B$722,22,Данные!$C$2:$C$722,0,Данные!$A$2:$A$722,"&gt;="&amp;7725250000,Данные!$A$2:$A$722,"&lt;="&amp;7725250499)</f>
        <v>0</v>
      </c>
      <c r="BV47" s="63" t="n">
        <f aca="false">COUNTIFS(Данные!$B$2:$B$722,22,Данные!$C$2:$C$722,0,Данные!$A$2:$A$722,"&gt;="&amp;7183841400,Данные!$A$2:$A$722,"&lt;="&amp;7183841499)</f>
        <v>0</v>
      </c>
      <c r="BW47" s="40" t="n">
        <v>300</v>
      </c>
      <c r="BX47" s="64" t="n">
        <f aca="false">F47-BW47</f>
        <v>-260</v>
      </c>
    </row>
    <row r="48" s="15" customFormat="true" ht="12" hidden="false" customHeight="true" outlineLevel="0" collapsed="false">
      <c r="A48" s="38"/>
      <c r="B48" s="39"/>
      <c r="C48" s="41" t="n">
        <v>1</v>
      </c>
      <c r="D48" s="41" t="n">
        <v>221</v>
      </c>
      <c r="E48" s="42"/>
      <c r="F48" s="62" t="n">
        <f aca="false">COUNTIFS(Данные!$B$2:$B$722,22,Данные!$C$2:$C$722,1)</f>
        <v>20</v>
      </c>
      <c r="G48" s="62" t="n">
        <f aca="false">COUNTIFS(Данные!$B$2:$B$722,22,Данные!$C$2:$C$722,1,Данные!$A$2:$A$722,"&gt;="&amp;77232210840,Данные!$A$2:$A$722,"&lt;="&amp;77232216999)</f>
        <v>0</v>
      </c>
      <c r="H48" s="62" t="n">
        <f aca="false">COUNTIFS(Данные!$B$2:$B$722,22,Данные!$C$2:$C$722,1,Данные!$A$2:$A$722,"&gt;="&amp;77232510512,Данные!$A$2:$A$722,"&lt;="&amp;77232519487)</f>
        <v>0</v>
      </c>
      <c r="I48" s="62" t="n">
        <f aca="false">COUNTIFS(Данные!$B$2:$B$722,22,Данные!$C$2:$C$722,1,Данные!$A$2:$A$722,"&gt;="&amp;77232524160,Данные!$A$2:$A$722,"&lt;="&amp;77232529999)</f>
        <v>0</v>
      </c>
      <c r="J48" s="62" t="n">
        <f aca="false">COUNTIFS(Данные!$B$2:$B$722,22,Данные!$C$2:$C$722,1,Данные!$A$2:$A$722,"&gt;="&amp;77232544000,Данные!$A$2:$A$722,"&lt;="&amp;77232544999)</f>
        <v>0</v>
      </c>
      <c r="K48" s="62" t="n">
        <f aca="false">COUNTIFS(Данные!$B$2:$B$722,22,Данные!$C$2:$C$722,1,Данные!$A$2:$A$722,"&gt;="&amp;77232295504,Данные!$A$2:$A$722,"&lt;="&amp;77232296999)</f>
        <v>0</v>
      </c>
      <c r="L48" s="62" t="n">
        <f aca="false">COUNTIFS(Данные!$B$2:$B$722,22,Данные!$C$2:$C$722,1,Данные!$A$2:$A$722,"&gt;="&amp;77232785000,Данные!$A$2:$A$722,"&lt;="&amp;77232789999)</f>
        <v>0</v>
      </c>
      <c r="M48" s="62" t="n">
        <f aca="false">COUNTIFS(Данные!$B$2:$B$722,22,Данные!$C$2:$C$722,1,Данные!$A$2:$A$722,"&gt;="&amp;77233150000,Данные!$A$2:$A$722,"&lt;="&amp;77233155999)</f>
        <v>0</v>
      </c>
      <c r="N48" s="62" t="n">
        <f aca="false">COUNTIFS(Данные!$B$2:$B$722,22,Данные!$C$2:$C$722,1,Данные!$A$2:$A$722,"&gt;="&amp;77233235000,Данные!$A$2:$A$722,"&lt;="&amp;77233235999)</f>
        <v>0</v>
      </c>
      <c r="O48" s="62" t="n">
        <f aca="false">COUNTIFS(Данные!$B$2:$B$722,22,Данные!$C$2:$C$722,1,Данные!$A$2:$A$722,"&gt;="&amp;77233239000,Данные!$A$2:$A$722,"&lt;="&amp;77233239999)</f>
        <v>0</v>
      </c>
      <c r="P48" s="62" t="n">
        <f aca="false">COUNTIFS(Данные!$B$2:$B$722,22,Данные!$C$2:$C$722,1,Данные!$A$2:$A$722,"&gt;="&amp;77233272000,Данные!$A$2:$A$722,"&lt;="&amp;77233272999)</f>
        <v>0</v>
      </c>
      <c r="Q48" s="62" t="n">
        <f aca="false">COUNTIFS(Данные!$B$2:$B$722,22,Данные!$C$2:$C$722,1,Данные!$A$2:$A$722,"&gt;="&amp;77233291100,Данные!$A$2:$A$722,"&lt;="&amp;77233292999)</f>
        <v>0</v>
      </c>
      <c r="R48" s="62" t="n">
        <f aca="false">COUNTIFS(Данные!$B$2:$B$722,22,Данные!$C$2:$C$722,1,Данные!$A$2:$A$722,"&gt;="&amp;77233297000,Данные!$A$2:$A$722,"&lt;="&amp;77233298399)</f>
        <v>0</v>
      </c>
      <c r="S48" s="62" t="n">
        <f aca="false">COUNTIFS(Данные!$B$2:$B$722,22,Данные!$C$2:$C$722,1,Данные!$A$2:$A$722,"&gt;="&amp;77235124000,Данные!$A$2:$A$722,"&lt;="&amp;77235128499)</f>
        <v>0</v>
      </c>
      <c r="T48" s="62" t="n">
        <f aca="false">COUNTIFS(Данные!$B$2:$B$722,22,Данные!$C$2:$C$722,1,Данные!$A$2:$A$722,"&gt;="&amp;77235320000,Данные!$A$2:$A$722,"&lt;="&amp;77235320999)</f>
        <v>0</v>
      </c>
      <c r="U48" s="62" t="n">
        <f aca="false">COUNTIFS(Данные!$B$2:$B$722,22,Данные!$C$2:$C$722,1,Данные!$A$2:$A$722,"&gt;="&amp;77233620000,Данные!$A$2:$A$722,"&lt;="&amp;77233623339)</f>
        <v>0</v>
      </c>
      <c r="V48" s="62" t="n">
        <f aca="false">COUNTIFS(Данные!$B$2:$B$722,22,Данные!$C$2:$C$722,1,Данные!$A$2:$A$722,"&gt;="&amp;77233630000,Данные!$A$2:$A$722,"&lt;="&amp;77233630999)</f>
        <v>0</v>
      </c>
      <c r="W48" s="62" t="n">
        <f aca="false">COUNTIFS(Данные!$B$2:$B$722,22,Данные!$C$2:$C$722,1,Данные!$A$2:$A$722,"&gt;="&amp;77233637000,Данные!$A$2:$A$722,"&lt;="&amp;77233637599)</f>
        <v>0</v>
      </c>
      <c r="X48" s="62" t="n">
        <f aca="false">COUNTIFS(Данные!$B$2:$B$722,22,Данные!$C$2:$C$722,1,Данные!$A$2:$A$722,"&gt;="&amp;77233550000,Данные!$A$2:$A$722,"&lt;="&amp;77233550999)</f>
        <v>0</v>
      </c>
      <c r="Y48" s="62" t="n">
        <f aca="false">COUNTIFS(Данные!$B$2:$B$722,22,Данные!$C$2:$C$722,1,Данные!$A$2:$A$722,"&gt;="&amp;77233554000,Данные!$A$2:$A$722,"&lt;="&amp;77233554999)</f>
        <v>0</v>
      </c>
      <c r="Z48" s="62" t="n">
        <f aca="false">COUNTIFS(Данные!$B$2:$B$722,22,Данные!$C$2:$C$722,1,Данные!$A$2:$A$722,"&gt;="&amp;77233555000,Данные!$A$2:$A$722,"&lt;="&amp;77233556999)</f>
        <v>0</v>
      </c>
      <c r="AA48" s="62" t="n">
        <f aca="false">COUNTIFS(Данные!$B$2:$B$722,22,Данные!$C$2:$C$722,1,Данные!$A$2:$A$722,"&gt;="&amp;77233726000,Данные!$A$2:$A$722,"&lt;="&amp;77233726999)</f>
        <v>0</v>
      </c>
      <c r="AB48" s="62" t="n">
        <f aca="false">COUNTIFS(Данные!$B$2:$B$722,22,Данные!$C$2:$C$722,1,Данные!$A$2:$A$722,"&gt;="&amp;77233820000,Данные!$A$2:$A$722,"&lt;="&amp;77233820999)</f>
        <v>0</v>
      </c>
      <c r="AC48" s="62" t="n">
        <f aca="false">COUNTIFS(Данные!$B$2:$B$722,22,Данные!$C$2:$C$722,1,Данные!$A$2:$A$722,"&gt;="&amp;77233850000,Данные!$A$2:$A$722,"&lt;="&amp;77233850999)</f>
        <v>0</v>
      </c>
      <c r="AD48" s="62" t="n">
        <f aca="false">COUNTIFS(Данные!$B$2:$B$722,22,Данные!$C$2:$C$722,1,Данные!$A$2:$A$722,"&gt;="&amp;77233420000,Данные!$A$2:$A$722,"&lt;="&amp;77233420999)</f>
        <v>0</v>
      </c>
      <c r="AE48" s="62" t="n">
        <f aca="false">COUNTIFS(Данные!$B$2:$B$722,22,Данные!$C$2:$C$722,1,Данные!$A$2:$A$722,"&gt;="&amp;77234740000,Данные!$A$2:$A$722,"&lt;="&amp;77234742999)</f>
        <v>11</v>
      </c>
      <c r="AF48" s="62" t="n">
        <f aca="false">COUNTIFS(Данные!$B$2:$B$722,22,Данные!$C$2:$C$722,1,Данные!$A$2:$A$722,"&gt;="&amp;77234767000,Данные!$A$2:$A$722,"&lt;="&amp;77234767999)</f>
        <v>6</v>
      </c>
      <c r="AG48" s="62" t="n">
        <f aca="false">COUNTIFS(Данные!$B$2:$B$722,22,Данные!$C$2:$C$722,1,Данные!$A$2:$A$722,"&gt;="&amp;77234120000,Данные!$A$2:$A$722,"&lt;="&amp;77234120999)</f>
        <v>0</v>
      </c>
      <c r="AH48" s="62" t="n">
        <f aca="false">COUNTIFS(Данные!$B$2:$B$722,22,Данные!$C$2:$C$722,1,Данные!$A$2:$A$722,"&gt;="&amp;77234127000,Данные!$A$2:$A$722,"&lt;="&amp;77234127999)</f>
        <v>0</v>
      </c>
      <c r="AI48" s="62" t="n">
        <f aca="false">COUNTIFS(Данные!$B$2:$B$722,22,Данные!$C$2:$C$722,1,Данные!$A$2:$A$722,"&gt;="&amp;77234220000,Данные!$A$2:$A$722,"&lt;="&amp;77234220999)</f>
        <v>0</v>
      </c>
      <c r="AJ48" s="62" t="n">
        <f aca="false">COUNTIFS(Данные!$B$2:$B$722,22,Данные!$C$2:$C$722,1,Данные!$A$2:$A$722,"&gt;="&amp;77234250000,Данные!$A$2:$A$722,"&lt;="&amp;77234250999)</f>
        <v>0</v>
      </c>
      <c r="AK48" s="62" t="n">
        <f aca="false">COUNTIFS(Данные!$B$2:$B$722,22,Данные!$C$2:$C$722,1,Данные!$A$2:$A$722,"&gt;="&amp;77233922950,Данные!$A$2:$A$722,"&lt;="&amp;77233924999)</f>
        <v>0</v>
      </c>
      <c r="AL48" s="62" t="n">
        <f aca="false">COUNTIFS(Данные!$B$2:$B$722,22,Данные!$C$2:$C$722,1,Данные!$A$2:$A$722,"&gt;="&amp;77234320000,Данные!$A$2:$A$722,"&lt;="&amp;77234320999)</f>
        <v>0</v>
      </c>
      <c r="AM48" s="62" t="n">
        <f aca="false">COUNTIFS(Данные!$B$2:$B$722,22,Данные!$C$2:$C$722,1,Данные!$A$2:$A$722,"&gt;="&amp;77234350000,Данные!$A$2:$A$722,"&lt;="&amp;77234350999)</f>
        <v>0</v>
      </c>
      <c r="AN48" s="62" t="n">
        <f aca="false">COUNTIFS(Данные!$B$2:$B$722,22,Данные!$C$2:$C$722,1,Данные!$A$2:$A$722,"&gt;="&amp;77234020000,Данные!$A$2:$A$722,"&lt;="&amp;77234020999)</f>
        <v>0</v>
      </c>
      <c r="AO48" s="62" t="n">
        <f aca="false">COUNTIFS(Данные!$B$2:$B$722,22,Данные!$C$2:$C$722,1,Данные!$A$2:$A$722,"&gt;="&amp;77234029000,Данные!$A$2:$A$722,"&lt;="&amp;77234029999)</f>
        <v>0</v>
      </c>
      <c r="AP48" s="62" t="n">
        <f aca="false">COUNTIFS(Данные!$B$2:$B$722,22,Данные!$C$2:$C$722,1,Данные!$A$2:$A$722,"&gt;="&amp;77234050000,Данные!$A$2:$A$722,"&lt;="&amp;77234050999)</f>
        <v>0</v>
      </c>
      <c r="AQ48" s="62" t="n">
        <f aca="false">COUNTIFS(Данные!$B$2:$B$722,22,Данные!$C$2:$C$722,1,Данные!$A$2:$A$722,"&gt;="&amp;77234427000,Данные!$A$2:$A$722,"&lt;="&amp;77234428999)</f>
        <v>0</v>
      </c>
      <c r="AR48" s="62" t="n">
        <f aca="false">COUNTIFS(Данные!$B$2:$B$722,22,Данные!$C$2:$C$722,1,Данные!$A$2:$A$722,"&gt;="&amp;77234450000,Данные!$A$2:$A$722,"&lt;="&amp;77234450999)</f>
        <v>0</v>
      </c>
      <c r="AS48" s="62" t="n">
        <f aca="false">COUNTIFS(Данные!$B$2:$B$722,22,Данные!$C$2:$C$722,1,Данные!$A$2:$A$722,"&gt;="&amp;77234620000,Данные!$A$2:$A$722,"&lt;="&amp;77234620999)</f>
        <v>0</v>
      </c>
      <c r="AT48" s="62" t="n">
        <f aca="false">COUNTIFS(Данные!$B$2:$B$722,22,Данные!$C$2:$C$722,1,Данные!$A$2:$A$722,"&gt;="&amp;77234650000,Данные!$A$2:$A$722,"&lt;="&amp;77234650999)</f>
        <v>0</v>
      </c>
      <c r="AU48" s="62" t="n">
        <f aca="false">COUNTIFS(Данные!$B$2:$B$722,22,Данные!$C$2:$C$722,1,Данные!$A$2:$A$722,"&gt;="&amp;77234820000,Данные!$A$2:$A$722,"&lt;="&amp;77234820999)</f>
        <v>0</v>
      </c>
      <c r="AV48" s="62" t="n">
        <f aca="false">COUNTIFS(Данные!$B$2:$B$722,22,Данные!$C$2:$C$722,1,Данные!$A$2:$A$722,"&gt;="&amp;77234850000,Данные!$A$2:$A$722,"&lt;="&amp;77234850999)</f>
        <v>0</v>
      </c>
      <c r="AW48" s="62" t="n">
        <f aca="false">COUNTIFS(Данные!$B$2:$B$722,22,Данные!$C$2:$C$722,1,Данные!$A$2:$A$722,"&gt;="&amp;77233327000,Данные!$A$2:$A$722,"&lt;="&amp;77233327999)</f>
        <v>0</v>
      </c>
      <c r="AX48" s="62" t="n">
        <f aca="false">COUNTIFS(Данные!$B$2:$B$722,22,Данные!$C$2:$C$722,1,Данные!$A$2:$A$722,"&gt;="&amp;77233350000,Данные!$A$2:$A$722,"&lt;="&amp;77233350599)</f>
        <v>0</v>
      </c>
      <c r="AY48" s="62" t="n">
        <f aca="false">COUNTIFS(Данные!$B$2:$B$722,22,Данные!$C$2:$C$722,1,Данные!$A$2:$A$722,"&gt;="&amp;77233351000,Данные!$A$2:$A$722,"&lt;="&amp;77233351999)</f>
        <v>0</v>
      </c>
      <c r="AZ48" s="63" t="n">
        <f aca="false">COUNTIFS(Данные!$B$2:$B$722,22,Данные!$C$2:$C$722,1,Данные!$A$2:$A$722,"&gt;="&amp;7722440000,Данные!$A$2:$A$722,"&lt;="&amp;7722440999)</f>
        <v>0</v>
      </c>
      <c r="BA48" s="63" t="n">
        <f aca="false">COUNTIFS(Данные!$B$2:$B$722,22,Данные!$C$2:$C$722,1,Данные!$A$2:$A$722,"&gt;="&amp;7722442000,Данные!$A$2:$A$722,"&lt;="&amp;7722445659)</f>
        <v>0</v>
      </c>
      <c r="BB48" s="63" t="n">
        <f aca="false">COUNTIFS(Данные!$B$2:$B$722,22,Данные!$C$2:$C$722,1,Данные!$A$2:$A$722,"&gt;="&amp;7722450000,Данные!$A$2:$A$722,"&lt;="&amp;7722450199)</f>
        <v>0</v>
      </c>
      <c r="BC48" s="63" t="n">
        <f aca="false">COUNTIFS(Данные!$B$2:$B$722,22,Данные!$C$2:$C$722,1,Данные!$A$2:$A$722,"&gt;="&amp;7722451000,Данные!$A$2:$A$722,"&lt;="&amp;7722451374)</f>
        <v>0</v>
      </c>
      <c r="BD48" s="63" t="n">
        <f aca="false">COUNTIFS(Данные!$B$2:$B$722,22,Данные!$C$2:$C$722,1,Данные!$A$2:$A$722,"&gt;="&amp;7722452000,Данные!$A$2:$A$722,"&lt;="&amp;7722452299)</f>
        <v>0</v>
      </c>
      <c r="BE48" s="63" t="n">
        <f aca="false">COUNTIFS(Данные!$B$2:$B$722,22,Данные!$C$2:$C$722,1,Данные!$A$2:$A$722,"&gt;="&amp;7722453000,Данные!$A$2:$A$722,"&lt;="&amp;7722453816)</f>
        <v>0</v>
      </c>
      <c r="BF48" s="63" t="n">
        <f aca="false">COUNTIFS(Данные!$B$2:$B$722,22,Данные!$C$2:$C$722,1,Данные!$A$2:$A$722,"&gt;="&amp;7722454000,Данные!$A$2:$A$722,"&lt;="&amp;7722454099)</f>
        <v>0</v>
      </c>
      <c r="BG48" s="63" t="n">
        <f aca="false">COUNTIFS(Данные!$B$2:$B$722,22,Данные!$C$2:$C$722,1,Данные!$A$2:$A$722,"&gt;="&amp;7722458000,Данные!$A$2:$A$722,"&lt;="&amp;7722458999)</f>
        <v>0</v>
      </c>
      <c r="BH48" s="63" t="n">
        <f aca="false">COUNTIFS(Данные!$B$2:$B$722,22,Данные!$C$2:$C$722,1,Данные!$A$2:$A$722,"&gt;="&amp;7722630000,Данные!$A$2:$A$722,"&lt;="&amp;7722638549)</f>
        <v>0</v>
      </c>
      <c r="BI48" s="63" t="n">
        <f aca="false">COUNTIFS(Данные!$B$2:$B$722,22,Данные!$C$2:$C$722,1,Данные!$A$2:$A$722,"&gt;="&amp;7722639400,Данные!$A$2:$A$722,"&lt;="&amp;7722639899)</f>
        <v>0</v>
      </c>
      <c r="BJ48" s="63" t="n">
        <f aca="false">COUNTIFS(Данные!$B$2:$B$722,22,Данные!$C$2:$C$722,1,Данные!$A$2:$A$722,"&gt;="&amp;7725750000,Данные!$A$2:$A$722,"&lt;="&amp;7725750399)</f>
        <v>0</v>
      </c>
      <c r="BK48" s="63" t="n">
        <f aca="false">COUNTIFS(Данные!$B$2:$B$722,22,Данные!$C$2:$C$722,1,Данные!$A$2:$A$722,"&gt;="&amp;7723620000,Данные!$A$2:$A$722,"&lt;="&amp;7723621299)</f>
        <v>0</v>
      </c>
      <c r="BL48" s="63" t="n">
        <f aca="false">COUNTIFS(Данные!$B$2:$B$722,22,Данные!$C$2:$C$722,1,Данные!$A$2:$A$722,"&gt;="&amp;7723621600,Данные!$A$2:$A$722,"&lt;="&amp;7723623399)</f>
        <v>0</v>
      </c>
      <c r="BM48" s="63" t="n">
        <f aca="false">COUNTIFS(Данные!$B$2:$B$722,22,Данные!$C$2:$C$722,1,Данные!$A$2:$A$722,"&gt;="&amp;7725127000,Данные!$A$2:$A$722,"&lt;="&amp;7725127999)</f>
        <v>0</v>
      </c>
      <c r="BN48" s="63" t="n">
        <f aca="false">COUNTIFS(Данные!$B$2:$B$722,22,Данные!$C$2:$C$722,1,Данные!$A$2:$A$722,"&gt;="&amp;7723772000,Данные!$A$2:$A$722,"&lt;="&amp;7723724999)</f>
        <v>0</v>
      </c>
      <c r="BO48" s="62" t="n">
        <f aca="false">COUNTIFS(Данные!$B$2:$B$722,22,Данные!$C$2:$C$722,1,Данные!$A$2:$A$722,"&gt;="&amp;7723765000,Данные!$A$2:$A$722,"&lt;="&amp;7723765499)</f>
        <v>0</v>
      </c>
      <c r="BP48" s="63" t="n">
        <f aca="false">COUNTIFS(Данные!$B$2:$B$722,22,Данные!$C$2:$C$722,1,Данные!$A$2:$A$722,"&gt;="&amp;7723948000,Данные!$A$2:$A$722,"&lt;="&amp;7723948999)</f>
        <v>0</v>
      </c>
      <c r="BQ48" s="63" t="n">
        <f aca="false">COUNTIFS(Данные!$B$2:$B$722,22,Данные!$C$2:$C$722,1,Данные!$A$2:$A$722,"&gt;="&amp;7723950000,Данные!$A$2:$A$722,"&lt;="&amp;7723951099)</f>
        <v>0</v>
      </c>
      <c r="BR48" s="63" t="n">
        <f aca="false">COUNTIFS(Данные!$B$2:$B$722,22,Данные!$C$2:$C$722,1,Данные!$A$2:$A$722,"&gt;="&amp;7723020000,Данные!$A$2:$A$722,"&lt;="&amp;7723020999)</f>
        <v>0</v>
      </c>
      <c r="BS48" s="63" t="n">
        <f aca="false">COUNTIFS(Данные!$B$2:$B$722,22,Данные!$C$2:$C$722,1,Данные!$A$2:$A$722,"&gt;="&amp;7723029000,Данные!$A$2:$A$722,"&lt;="&amp;7723029999)</f>
        <v>0</v>
      </c>
      <c r="BT48" s="63" t="n">
        <f aca="false">COUNTIFS(Данные!$B$2:$B$722,22,Данные!$C$2:$C$722,1,Данные!$A$2:$A$722,"&gt;="&amp;7723055000,Данные!$A$2:$A$722,"&lt;="&amp;7723056549)</f>
        <v>0</v>
      </c>
      <c r="BU48" s="62" t="n">
        <f aca="false">COUNTIFS(Данные!$B$2:$B$722,22,Данные!$C$2:$C$722,1,Данные!$A$2:$A$722,"&gt;="&amp;7725250000,Данные!$A$2:$A$722,"&lt;="&amp;7725250499)</f>
        <v>0</v>
      </c>
      <c r="BV48" s="63" t="n">
        <f aca="false">COUNTIFS(Данные!$B$2:$B$722,22,Данные!$C$2:$C$722,1,Данные!$A$2:$A$722,"&gt;="&amp;7183841400,Данные!$A$2:$A$722,"&lt;="&amp;7183841499)</f>
        <v>0</v>
      </c>
      <c r="BW48" s="40" t="n">
        <v>300</v>
      </c>
      <c r="BX48" s="64" t="n">
        <f aca="false">F48-BW48</f>
        <v>-280</v>
      </c>
    </row>
    <row r="49" s="15" customFormat="true" ht="12" hidden="false" customHeight="true" outlineLevel="0" collapsed="false">
      <c r="A49" s="38"/>
      <c r="B49" s="39"/>
      <c r="C49" s="41" t="n">
        <v>2</v>
      </c>
      <c r="D49" s="41" t="n">
        <v>222</v>
      </c>
      <c r="E49" s="42"/>
      <c r="F49" s="62" t="n">
        <f aca="false">COUNTIFS(Данные!$B$2:$B$722,22,Данные!$C$2:$C$722,2)</f>
        <v>14</v>
      </c>
      <c r="G49" s="62" t="n">
        <f aca="false">COUNTIFS(Данные!$B$2:$B$722,22,Данные!$C$2:$C$722,2,Данные!$A$2:$A$722,"&gt;="&amp;77232210840,Данные!$A$2:$A$722,"&lt;="&amp;77232216999)</f>
        <v>0</v>
      </c>
      <c r="H49" s="62" t="n">
        <f aca="false">COUNTIFS(Данные!$B$2:$B$722,22,Данные!$C$2:$C$722,2,Данные!$A$2:$A$722,"&gt;="&amp;77232510512,Данные!$A$2:$A$722,"&lt;="&amp;77232519487)</f>
        <v>0</v>
      </c>
      <c r="I49" s="62" t="n">
        <f aca="false">COUNTIFS(Данные!$B$2:$B$722,22,Данные!$C$2:$C$722,2,Данные!$A$2:$A$722,"&gt;="&amp;77232524160,Данные!$A$2:$A$722,"&lt;="&amp;77232529999)</f>
        <v>0</v>
      </c>
      <c r="J49" s="62" t="n">
        <f aca="false">COUNTIFS(Данные!$B$2:$B$722,22,Данные!$C$2:$C$722,2,Данные!$A$2:$A$722,"&gt;="&amp;77232544000,Данные!$A$2:$A$722,"&lt;="&amp;77232544999)</f>
        <v>0</v>
      </c>
      <c r="K49" s="62" t="n">
        <f aca="false">COUNTIFS(Данные!$B$2:$B$722,22,Данные!$C$2:$C$722,2,Данные!$A$2:$A$722,"&gt;="&amp;77232295504,Данные!$A$2:$A$722,"&lt;="&amp;77232296999)</f>
        <v>0</v>
      </c>
      <c r="L49" s="62" t="n">
        <f aca="false">COUNTIFS(Данные!$B$2:$B$722,22,Данные!$C$2:$C$722,2,Данные!$A$2:$A$722,"&gt;="&amp;77232785000,Данные!$A$2:$A$722,"&lt;="&amp;77232789999)</f>
        <v>0</v>
      </c>
      <c r="M49" s="62" t="n">
        <f aca="false">COUNTIFS(Данные!$B$2:$B$722,22,Данные!$C$2:$C$722,2,Данные!$A$2:$A$722,"&gt;="&amp;77233150000,Данные!$A$2:$A$722,"&lt;="&amp;77233155999)</f>
        <v>0</v>
      </c>
      <c r="N49" s="62" t="n">
        <f aca="false">COUNTIFS(Данные!$B$2:$B$722,22,Данные!$C$2:$C$722,2,Данные!$A$2:$A$722,"&gt;="&amp;77233235000,Данные!$A$2:$A$722,"&lt;="&amp;77233235999)</f>
        <v>0</v>
      </c>
      <c r="O49" s="62" t="n">
        <f aca="false">COUNTIFS(Данные!$B$2:$B$722,22,Данные!$C$2:$C$722,2,Данные!$A$2:$A$722,"&gt;="&amp;77233239000,Данные!$A$2:$A$722,"&lt;="&amp;77233239999)</f>
        <v>0</v>
      </c>
      <c r="P49" s="62" t="n">
        <f aca="false">COUNTIFS(Данные!$B$2:$B$722,22,Данные!$C$2:$C$722,2,Данные!$A$2:$A$722,"&gt;="&amp;77233272000,Данные!$A$2:$A$722,"&lt;="&amp;77233272999)</f>
        <v>0</v>
      </c>
      <c r="Q49" s="62" t="n">
        <f aca="false">COUNTIFS(Данные!$B$2:$B$722,22,Данные!$C$2:$C$722,2,Данные!$A$2:$A$722,"&gt;="&amp;77233291100,Данные!$A$2:$A$722,"&lt;="&amp;77233292999)</f>
        <v>0</v>
      </c>
      <c r="R49" s="62" t="n">
        <f aca="false">COUNTIFS(Данные!$B$2:$B$722,22,Данные!$C$2:$C$722,2,Данные!$A$2:$A$722,"&gt;="&amp;77233297000,Данные!$A$2:$A$722,"&lt;="&amp;77233298399)</f>
        <v>0</v>
      </c>
      <c r="S49" s="62" t="n">
        <f aca="false">COUNTIFS(Данные!$B$2:$B$722,22,Данные!$C$2:$C$722,2,Данные!$A$2:$A$722,"&gt;="&amp;77235124000,Данные!$A$2:$A$722,"&lt;="&amp;77235128499)</f>
        <v>0</v>
      </c>
      <c r="T49" s="62" t="n">
        <f aca="false">COUNTIFS(Данные!$B$2:$B$722,22,Данные!$C$2:$C$722,2,Данные!$A$2:$A$722,"&gt;="&amp;77235320000,Данные!$A$2:$A$722,"&lt;="&amp;77235320999)</f>
        <v>0</v>
      </c>
      <c r="U49" s="62" t="n">
        <f aca="false">COUNTIFS(Данные!$B$2:$B$722,22,Данные!$C$2:$C$722,2,Данные!$A$2:$A$722,"&gt;="&amp;77233620000,Данные!$A$2:$A$722,"&lt;="&amp;77233623339)</f>
        <v>0</v>
      </c>
      <c r="V49" s="62" t="n">
        <f aca="false">COUNTIFS(Данные!$B$2:$B$722,22,Данные!$C$2:$C$722,2,Данные!$A$2:$A$722,"&gt;="&amp;77233630000,Данные!$A$2:$A$722,"&lt;="&amp;77233630999)</f>
        <v>0</v>
      </c>
      <c r="W49" s="62" t="n">
        <f aca="false">COUNTIFS(Данные!$B$2:$B$722,22,Данные!$C$2:$C$722,2,Данные!$A$2:$A$722,"&gt;="&amp;77233637000,Данные!$A$2:$A$722,"&lt;="&amp;77233637599)</f>
        <v>0</v>
      </c>
      <c r="X49" s="62" t="n">
        <f aca="false">COUNTIFS(Данные!$B$2:$B$722,22,Данные!$C$2:$C$722,2,Данные!$A$2:$A$722,"&gt;="&amp;77233550000,Данные!$A$2:$A$722,"&lt;="&amp;77233550999)</f>
        <v>0</v>
      </c>
      <c r="Y49" s="62" t="n">
        <f aca="false">COUNTIFS(Данные!$B$2:$B$722,22,Данные!$C$2:$C$722,2,Данные!$A$2:$A$722,"&gt;="&amp;77233554000,Данные!$A$2:$A$722,"&lt;="&amp;77233554999)</f>
        <v>0</v>
      </c>
      <c r="Z49" s="62" t="n">
        <f aca="false">COUNTIFS(Данные!$B$2:$B$722,22,Данные!$C$2:$C$722,2,Данные!$A$2:$A$722,"&gt;="&amp;77233555000,Данные!$A$2:$A$722,"&lt;="&amp;77233556999)</f>
        <v>0</v>
      </c>
      <c r="AA49" s="62" t="n">
        <f aca="false">COUNTIFS(Данные!$B$2:$B$722,22,Данные!$C$2:$C$722,2,Данные!$A$2:$A$722,"&gt;="&amp;77233726000,Данные!$A$2:$A$722,"&lt;="&amp;77233726999)</f>
        <v>0</v>
      </c>
      <c r="AB49" s="62" t="n">
        <f aca="false">COUNTIFS(Данные!$B$2:$B$722,22,Данные!$C$2:$C$722,2,Данные!$A$2:$A$722,"&gt;="&amp;77233820000,Данные!$A$2:$A$722,"&lt;="&amp;77233820999)</f>
        <v>0</v>
      </c>
      <c r="AC49" s="62" t="n">
        <f aca="false">COUNTIFS(Данные!$B$2:$B$722,22,Данные!$C$2:$C$722,2,Данные!$A$2:$A$722,"&gt;="&amp;77233850000,Данные!$A$2:$A$722,"&lt;="&amp;77233850999)</f>
        <v>0</v>
      </c>
      <c r="AD49" s="62" t="n">
        <f aca="false">COUNTIFS(Данные!$B$2:$B$722,22,Данные!$C$2:$C$722,2,Данные!$A$2:$A$722,"&gt;="&amp;77233420000,Данные!$A$2:$A$722,"&lt;="&amp;77233420999)</f>
        <v>0</v>
      </c>
      <c r="AE49" s="62" t="n">
        <f aca="false">COUNTIFS(Данные!$B$2:$B$722,22,Данные!$C$2:$C$722,2,Данные!$A$2:$A$722,"&gt;="&amp;77234740000,Данные!$A$2:$A$722,"&lt;="&amp;77234742999)</f>
        <v>8</v>
      </c>
      <c r="AF49" s="62" t="n">
        <f aca="false">COUNTIFS(Данные!$B$2:$B$722,22,Данные!$C$2:$C$722,2,Данные!$A$2:$A$722,"&gt;="&amp;77234767000,Данные!$A$2:$A$722,"&lt;="&amp;77234767999)</f>
        <v>6</v>
      </c>
      <c r="AG49" s="62" t="n">
        <f aca="false">COUNTIFS(Данные!$B$2:$B$722,22,Данные!$C$2:$C$722,2,Данные!$A$2:$A$722,"&gt;="&amp;77234120000,Данные!$A$2:$A$722,"&lt;="&amp;77234120999)</f>
        <v>0</v>
      </c>
      <c r="AH49" s="62" t="n">
        <f aca="false">COUNTIFS(Данные!$B$2:$B$722,22,Данные!$C$2:$C$722,2,Данные!$A$2:$A$722,"&gt;="&amp;77234127000,Данные!$A$2:$A$722,"&lt;="&amp;77234127999)</f>
        <v>0</v>
      </c>
      <c r="AI49" s="62" t="n">
        <f aca="false">COUNTIFS(Данные!$B$2:$B$722,22,Данные!$C$2:$C$722,2,Данные!$A$2:$A$722,"&gt;="&amp;77234220000,Данные!$A$2:$A$722,"&lt;="&amp;77234220999)</f>
        <v>0</v>
      </c>
      <c r="AJ49" s="62" t="n">
        <f aca="false">COUNTIFS(Данные!$B$2:$B$722,22,Данные!$C$2:$C$722,2,Данные!$A$2:$A$722,"&gt;="&amp;77234250000,Данные!$A$2:$A$722,"&lt;="&amp;77234250999)</f>
        <v>0</v>
      </c>
      <c r="AK49" s="62" t="n">
        <f aca="false">COUNTIFS(Данные!$B$2:$B$722,22,Данные!$C$2:$C$722,2,Данные!$A$2:$A$722,"&gt;="&amp;77233922950,Данные!$A$2:$A$722,"&lt;="&amp;77233924999)</f>
        <v>0</v>
      </c>
      <c r="AL49" s="62" t="n">
        <f aca="false">COUNTIFS(Данные!$B$2:$B$722,22,Данные!$C$2:$C$722,2,Данные!$A$2:$A$722,"&gt;="&amp;77234320000,Данные!$A$2:$A$722,"&lt;="&amp;77234320999)</f>
        <v>0</v>
      </c>
      <c r="AM49" s="62" t="n">
        <f aca="false">COUNTIFS(Данные!$B$2:$B$722,22,Данные!$C$2:$C$722,2,Данные!$A$2:$A$722,"&gt;="&amp;77234350000,Данные!$A$2:$A$722,"&lt;="&amp;77234350999)</f>
        <v>0</v>
      </c>
      <c r="AN49" s="62" t="n">
        <f aca="false">COUNTIFS(Данные!$B$2:$B$722,22,Данные!$C$2:$C$722,2,Данные!$A$2:$A$722,"&gt;="&amp;77234020000,Данные!$A$2:$A$722,"&lt;="&amp;77234020999)</f>
        <v>0</v>
      </c>
      <c r="AO49" s="62" t="n">
        <f aca="false">COUNTIFS(Данные!$B$2:$B$722,22,Данные!$C$2:$C$722,2,Данные!$A$2:$A$722,"&gt;="&amp;77234029000,Данные!$A$2:$A$722,"&lt;="&amp;77234029999)</f>
        <v>0</v>
      </c>
      <c r="AP49" s="62" t="n">
        <f aca="false">COUNTIFS(Данные!$B$2:$B$722,22,Данные!$C$2:$C$722,2,Данные!$A$2:$A$722,"&gt;="&amp;77234050000,Данные!$A$2:$A$722,"&lt;="&amp;77234050999)</f>
        <v>0</v>
      </c>
      <c r="AQ49" s="62" t="n">
        <f aca="false">COUNTIFS(Данные!$B$2:$B$722,22,Данные!$C$2:$C$722,2,Данные!$A$2:$A$722,"&gt;="&amp;77234427000,Данные!$A$2:$A$722,"&lt;="&amp;77234428999)</f>
        <v>0</v>
      </c>
      <c r="AR49" s="62" t="n">
        <f aca="false">COUNTIFS(Данные!$B$2:$B$722,22,Данные!$C$2:$C$722,2,Данные!$A$2:$A$722,"&gt;="&amp;77234450000,Данные!$A$2:$A$722,"&lt;="&amp;77234450999)</f>
        <v>0</v>
      </c>
      <c r="AS49" s="62" t="n">
        <f aca="false">COUNTIFS(Данные!$B$2:$B$722,22,Данные!$C$2:$C$722,2,Данные!$A$2:$A$722,"&gt;="&amp;77234620000,Данные!$A$2:$A$722,"&lt;="&amp;77234620999)</f>
        <v>0</v>
      </c>
      <c r="AT49" s="62" t="n">
        <f aca="false">COUNTIFS(Данные!$B$2:$B$722,22,Данные!$C$2:$C$722,2,Данные!$A$2:$A$722,"&gt;="&amp;77234650000,Данные!$A$2:$A$722,"&lt;="&amp;77234650999)</f>
        <v>0</v>
      </c>
      <c r="AU49" s="62" t="n">
        <f aca="false">COUNTIFS(Данные!$B$2:$B$722,22,Данные!$C$2:$C$722,2,Данные!$A$2:$A$722,"&gt;="&amp;77234820000,Данные!$A$2:$A$722,"&lt;="&amp;77234820999)</f>
        <v>0</v>
      </c>
      <c r="AV49" s="62" t="n">
        <f aca="false">COUNTIFS(Данные!$B$2:$B$722,22,Данные!$C$2:$C$722,2,Данные!$A$2:$A$722,"&gt;="&amp;77234850000,Данные!$A$2:$A$722,"&lt;="&amp;77234850999)</f>
        <v>0</v>
      </c>
      <c r="AW49" s="62" t="n">
        <f aca="false">COUNTIFS(Данные!$B$2:$B$722,22,Данные!$C$2:$C$722,2,Данные!$A$2:$A$722,"&gt;="&amp;77233327000,Данные!$A$2:$A$722,"&lt;="&amp;77233327999)</f>
        <v>0</v>
      </c>
      <c r="AX49" s="62" t="n">
        <f aca="false">COUNTIFS(Данные!$B$2:$B$722,22,Данные!$C$2:$C$722,2,Данные!$A$2:$A$722,"&gt;="&amp;77233350000,Данные!$A$2:$A$722,"&lt;="&amp;77233350599)</f>
        <v>0</v>
      </c>
      <c r="AY49" s="62" t="n">
        <f aca="false">COUNTIFS(Данные!$B$2:$B$722,22,Данные!$C$2:$C$722,2,Данные!$A$2:$A$722,"&gt;="&amp;77233351000,Данные!$A$2:$A$722,"&lt;="&amp;77233351999)</f>
        <v>0</v>
      </c>
      <c r="AZ49" s="63" t="n">
        <f aca="false">COUNTIFS(Данные!$B$2:$B$722,22,Данные!$C$2:$C$722,2,Данные!$A$2:$A$722,"&gt;="&amp;7722440000,Данные!$A$2:$A$722,"&lt;="&amp;7722440999)</f>
        <v>0</v>
      </c>
      <c r="BA49" s="63" t="n">
        <f aca="false">COUNTIFS(Данные!$B$2:$B$722,22,Данные!$C$2:$C$722,2,Данные!$A$2:$A$722,"&gt;="&amp;7722442000,Данные!$A$2:$A$722,"&lt;="&amp;7722445659)</f>
        <v>0</v>
      </c>
      <c r="BB49" s="63" t="n">
        <f aca="false">COUNTIFS(Данные!$B$2:$B$722,22,Данные!$C$2:$C$722,2,Данные!$A$2:$A$722,"&gt;="&amp;7722450000,Данные!$A$2:$A$722,"&lt;="&amp;7722450199)</f>
        <v>0</v>
      </c>
      <c r="BC49" s="63" t="n">
        <f aca="false">COUNTIFS(Данные!$B$2:$B$722,22,Данные!$C$2:$C$722,2,Данные!$A$2:$A$722,"&gt;="&amp;7722451000,Данные!$A$2:$A$722,"&lt;="&amp;7722451374)</f>
        <v>0</v>
      </c>
      <c r="BD49" s="63" t="n">
        <f aca="false">COUNTIFS(Данные!$B$2:$B$722,22,Данные!$C$2:$C$722,2,Данные!$A$2:$A$722,"&gt;="&amp;7722452000,Данные!$A$2:$A$722,"&lt;="&amp;7722452299)</f>
        <v>0</v>
      </c>
      <c r="BE49" s="63" t="n">
        <f aca="false">COUNTIFS(Данные!$B$2:$B$722,22,Данные!$C$2:$C$722,2,Данные!$A$2:$A$722,"&gt;="&amp;7722453000,Данные!$A$2:$A$722,"&lt;="&amp;7722453816)</f>
        <v>0</v>
      </c>
      <c r="BF49" s="63" t="n">
        <f aca="false">COUNTIFS(Данные!$B$2:$B$722,22,Данные!$C$2:$C$722,2,Данные!$A$2:$A$722,"&gt;="&amp;7722454000,Данные!$A$2:$A$722,"&lt;="&amp;7722454099)</f>
        <v>0</v>
      </c>
      <c r="BG49" s="63" t="n">
        <f aca="false">COUNTIFS(Данные!$B$2:$B$722,22,Данные!$C$2:$C$722,2,Данные!$A$2:$A$722,"&gt;="&amp;7722458000,Данные!$A$2:$A$722,"&lt;="&amp;7722458999)</f>
        <v>0</v>
      </c>
      <c r="BH49" s="63" t="n">
        <f aca="false">COUNTIFS(Данные!$B$2:$B$722,22,Данные!$C$2:$C$722,2,Данные!$A$2:$A$722,"&gt;="&amp;7722630000,Данные!$A$2:$A$722,"&lt;="&amp;7722638549)</f>
        <v>0</v>
      </c>
      <c r="BI49" s="63" t="n">
        <f aca="false">COUNTIFS(Данные!$B$2:$B$722,22,Данные!$C$2:$C$722,2,Данные!$A$2:$A$722,"&gt;="&amp;7722639400,Данные!$A$2:$A$722,"&lt;="&amp;7722639899)</f>
        <v>0</v>
      </c>
      <c r="BJ49" s="63" t="n">
        <f aca="false">COUNTIFS(Данные!$B$2:$B$722,22,Данные!$C$2:$C$722,2,Данные!$A$2:$A$722,"&gt;="&amp;7725750000,Данные!$A$2:$A$722,"&lt;="&amp;7725750399)</f>
        <v>0</v>
      </c>
      <c r="BK49" s="63" t="n">
        <f aca="false">COUNTIFS(Данные!$B$2:$B$722,22,Данные!$C$2:$C$722,2,Данные!$A$2:$A$722,"&gt;="&amp;7723620000,Данные!$A$2:$A$722,"&lt;="&amp;7723621299)</f>
        <v>0</v>
      </c>
      <c r="BL49" s="63" t="n">
        <f aca="false">COUNTIFS(Данные!$B$2:$B$722,22,Данные!$C$2:$C$722,2,Данные!$A$2:$A$722,"&gt;="&amp;7723621600,Данные!$A$2:$A$722,"&lt;="&amp;7723623399)</f>
        <v>0</v>
      </c>
      <c r="BM49" s="63" t="n">
        <f aca="false">COUNTIFS(Данные!$B$2:$B$722,22,Данные!$C$2:$C$722,2,Данные!$A$2:$A$722,"&gt;="&amp;7725127000,Данные!$A$2:$A$722,"&lt;="&amp;7725127999)</f>
        <v>0</v>
      </c>
      <c r="BN49" s="63" t="n">
        <f aca="false">COUNTIFS(Данные!$B$2:$B$722,22,Данные!$C$2:$C$722,2,Данные!$A$2:$A$722,"&gt;="&amp;7723772000,Данные!$A$2:$A$722,"&lt;="&amp;7723724999)</f>
        <v>0</v>
      </c>
      <c r="BO49" s="62" t="n">
        <f aca="false">COUNTIFS(Данные!$B$2:$B$722,22,Данные!$C$2:$C$722,2,Данные!$A$2:$A$722,"&gt;="&amp;7723765000,Данные!$A$2:$A$722,"&lt;="&amp;7723765499)</f>
        <v>0</v>
      </c>
      <c r="BP49" s="63" t="n">
        <f aca="false">COUNTIFS(Данные!$B$2:$B$722,22,Данные!$C$2:$C$722,2,Данные!$A$2:$A$722,"&gt;="&amp;7723948000,Данные!$A$2:$A$722,"&lt;="&amp;7723948999)</f>
        <v>0</v>
      </c>
      <c r="BQ49" s="63" t="n">
        <f aca="false">COUNTIFS(Данные!$B$2:$B$722,22,Данные!$C$2:$C$722,2,Данные!$A$2:$A$722,"&gt;="&amp;7723950000,Данные!$A$2:$A$722,"&lt;="&amp;7723951099)</f>
        <v>0</v>
      </c>
      <c r="BR49" s="63" t="n">
        <f aca="false">COUNTIFS(Данные!$B$2:$B$722,22,Данные!$C$2:$C$722,2,Данные!$A$2:$A$722,"&gt;="&amp;7723020000,Данные!$A$2:$A$722,"&lt;="&amp;7723020999)</f>
        <v>0</v>
      </c>
      <c r="BS49" s="63" t="n">
        <f aca="false">COUNTIFS(Данные!$B$2:$B$722,22,Данные!$C$2:$C$722,2,Данные!$A$2:$A$722,"&gt;="&amp;7723029000,Данные!$A$2:$A$722,"&lt;="&amp;7723029999)</f>
        <v>0</v>
      </c>
      <c r="BT49" s="63" t="n">
        <f aca="false">COUNTIFS(Данные!$B$2:$B$722,22,Данные!$C$2:$C$722,2,Данные!$A$2:$A$722,"&gt;="&amp;7723055000,Данные!$A$2:$A$722,"&lt;="&amp;7723056549)</f>
        <v>0</v>
      </c>
      <c r="BU49" s="62" t="n">
        <f aca="false">COUNTIFS(Данные!$B$2:$B$722,22,Данные!$C$2:$C$722,2,Данные!$A$2:$A$722,"&gt;="&amp;7725250000,Данные!$A$2:$A$722,"&lt;="&amp;7725250499)</f>
        <v>0</v>
      </c>
      <c r="BV49" s="63" t="n">
        <f aca="false">COUNTIFS(Данные!$B$2:$B$722,22,Данные!$C$2:$C$722,2,Данные!$A$2:$A$722,"&gt;="&amp;7183841400,Данные!$A$2:$A$722,"&lt;="&amp;7183841499)</f>
        <v>0</v>
      </c>
      <c r="BW49" s="40" t="n">
        <v>300</v>
      </c>
      <c r="BX49" s="64" t="n">
        <f aca="false">F49-BW49</f>
        <v>-286</v>
      </c>
    </row>
    <row r="50" s="15" customFormat="true" ht="12" hidden="false" customHeight="true" outlineLevel="0" collapsed="false">
      <c r="A50" s="47" t="n">
        <v>23</v>
      </c>
      <c r="B50" s="48" t="s">
        <v>76</v>
      </c>
      <c r="C50" s="50" t="n">
        <v>0</v>
      </c>
      <c r="D50" s="50" t="n">
        <v>230</v>
      </c>
      <c r="E50" s="51" t="n">
        <f aca="false">SUM(F50:F52)</f>
        <v>44</v>
      </c>
      <c r="F50" s="65" t="n">
        <f aca="false">COUNTIFS(Данные!$B$2:$B$722,23,Данные!$C$2:$C$722,0)</f>
        <v>23</v>
      </c>
      <c r="G50" s="65" t="n">
        <f aca="false">COUNTIFS(Данные!$B$2:$B$722,23,Данные!$C$2:$C$722,0,Данные!$A$2:$A$722,"&gt;="&amp;77232210840,Данные!$A$2:$A$722,"&lt;="&amp;77232216999)</f>
        <v>0</v>
      </c>
      <c r="H50" s="65" t="n">
        <f aca="false">COUNTIFS(Данные!$B$2:$B$722,23,Данные!$C$2:$C$722,0,Данные!$A$2:$A$722,"&gt;="&amp;77232510512,Данные!$A$2:$A$722,"&lt;="&amp;77232519487)</f>
        <v>0</v>
      </c>
      <c r="I50" s="65" t="n">
        <f aca="false">COUNTIFS(Данные!$B$2:$B$722,23,Данные!$C$2:$C$722,0,Данные!$A$2:$A$722,"&gt;="&amp;77232524160,Данные!$A$2:$A$722,"&lt;="&amp;77232529999)</f>
        <v>0</v>
      </c>
      <c r="J50" s="65" t="n">
        <f aca="false">COUNTIFS(Данные!$B$2:$B$722,23,Данные!$C$2:$C$722,0,Данные!$A$2:$A$722,"&gt;="&amp;77232544000,Данные!$A$2:$A$722,"&lt;="&amp;77232544999)</f>
        <v>0</v>
      </c>
      <c r="K50" s="65" t="n">
        <f aca="false">COUNTIFS(Данные!$B$2:$B$722,23,Данные!$C$2:$C$722,0,Данные!$A$2:$A$722,"&gt;="&amp;77232295504,Данные!$A$2:$A$722,"&lt;="&amp;77232296999)</f>
        <v>0</v>
      </c>
      <c r="L50" s="65" t="n">
        <f aca="false">COUNTIFS(Данные!$B$2:$B$722,23,Данные!$C$2:$C$722,0,Данные!$A$2:$A$722,"&gt;="&amp;77232785000,Данные!$A$2:$A$722,"&lt;="&amp;77232789999)</f>
        <v>0</v>
      </c>
      <c r="M50" s="65" t="n">
        <f aca="false">COUNTIFS(Данные!$B$2:$B$722,23,Данные!$C$2:$C$722,0,Данные!$A$2:$A$722,"&gt;="&amp;77233150000,Данные!$A$2:$A$722,"&lt;="&amp;77233155999)</f>
        <v>0</v>
      </c>
      <c r="N50" s="65" t="n">
        <f aca="false">COUNTIFS(Данные!$B$2:$B$722,23,Данные!$C$2:$C$722,0,Данные!$A$2:$A$722,"&gt;="&amp;77233235000,Данные!$A$2:$A$722,"&lt;="&amp;77233235999)</f>
        <v>0</v>
      </c>
      <c r="O50" s="65" t="n">
        <f aca="false">COUNTIFS(Данные!$B$2:$B$722,23,Данные!$C$2:$C$722,0,Данные!$A$2:$A$722,"&gt;="&amp;77233239000,Данные!$A$2:$A$722,"&lt;="&amp;77233239999)</f>
        <v>0</v>
      </c>
      <c r="P50" s="65" t="n">
        <f aca="false">COUNTIFS(Данные!$B$2:$B$722,23,Данные!$C$2:$C$722,0,Данные!$A$2:$A$722,"&gt;="&amp;77233272000,Данные!$A$2:$A$722,"&lt;="&amp;77233272999)</f>
        <v>0</v>
      </c>
      <c r="Q50" s="65" t="n">
        <f aca="false">COUNTIFS(Данные!$B$2:$B$722,23,Данные!$C$2:$C$722,0,Данные!$A$2:$A$722,"&gt;="&amp;77233291100,Данные!$A$2:$A$722,"&lt;="&amp;77233292999)</f>
        <v>0</v>
      </c>
      <c r="R50" s="65" t="n">
        <f aca="false">COUNTIFS(Данные!$B$2:$B$722,23,Данные!$C$2:$C$722,0,Данные!$A$2:$A$722,"&gt;="&amp;77233297000,Данные!$A$2:$A$722,"&lt;="&amp;77233298399)</f>
        <v>0</v>
      </c>
      <c r="S50" s="65" t="n">
        <f aca="false">COUNTIFS(Данные!$B$2:$B$722,23,Данные!$C$2:$C$722,0,Данные!$A$2:$A$722,"&gt;="&amp;77235124000,Данные!$A$2:$A$722,"&lt;="&amp;77235128499)</f>
        <v>0</v>
      </c>
      <c r="T50" s="65" t="n">
        <f aca="false">COUNTIFS(Данные!$B$2:$B$722,23,Данные!$C$2:$C$722,0,Данные!$A$2:$A$722,"&gt;="&amp;77235320000,Данные!$A$2:$A$722,"&lt;="&amp;77235320999)</f>
        <v>0</v>
      </c>
      <c r="U50" s="65" t="n">
        <f aca="false">COUNTIFS(Данные!$B$2:$B$722,23,Данные!$C$2:$C$722,0,Данные!$A$2:$A$722,"&gt;="&amp;77233620000,Данные!$A$2:$A$722,"&lt;="&amp;77233623339)</f>
        <v>0</v>
      </c>
      <c r="V50" s="65" t="n">
        <f aca="false">COUNTIFS(Данные!$B$2:$B$722,23,Данные!$C$2:$C$722,0,Данные!$A$2:$A$722,"&gt;="&amp;77233630000,Данные!$A$2:$A$722,"&lt;="&amp;77233630999)</f>
        <v>0</v>
      </c>
      <c r="W50" s="65" t="n">
        <f aca="false">COUNTIFS(Данные!$B$2:$B$722,23,Данные!$C$2:$C$722,0,Данные!$A$2:$A$722,"&gt;="&amp;77233637000,Данные!$A$2:$A$722,"&lt;="&amp;77233637599)</f>
        <v>0</v>
      </c>
      <c r="X50" s="65" t="n">
        <f aca="false">COUNTIFS(Данные!$B$2:$B$722,23,Данные!$C$2:$C$722,0,Данные!$A$2:$A$722,"&gt;="&amp;77233550000,Данные!$A$2:$A$722,"&lt;="&amp;77233550999)</f>
        <v>0</v>
      </c>
      <c r="Y50" s="65" t="n">
        <f aca="false">COUNTIFS(Данные!$B$2:$B$722,23,Данные!$C$2:$C$722,0,Данные!$A$2:$A$722,"&gt;="&amp;77233554000,Данные!$A$2:$A$722,"&lt;="&amp;77233554999)</f>
        <v>0</v>
      </c>
      <c r="Z50" s="65" t="n">
        <f aca="false">COUNTIFS(Данные!$B$2:$B$722,23,Данные!$C$2:$C$722,0,Данные!$A$2:$A$722,"&gt;="&amp;77233555000,Данные!$A$2:$A$722,"&lt;="&amp;77233556999)</f>
        <v>0</v>
      </c>
      <c r="AA50" s="65" t="n">
        <f aca="false">COUNTIFS(Данные!$B$2:$B$722,23,Данные!$C$2:$C$722,0,Данные!$A$2:$A$722,"&gt;="&amp;77233726000,Данные!$A$2:$A$722,"&lt;="&amp;77233726999)</f>
        <v>0</v>
      </c>
      <c r="AB50" s="65" t="n">
        <f aca="false">COUNTIFS(Данные!$B$2:$B$722,23,Данные!$C$2:$C$722,0,Данные!$A$2:$A$722,"&gt;="&amp;77233820000,Данные!$A$2:$A$722,"&lt;="&amp;77233820999)</f>
        <v>0</v>
      </c>
      <c r="AC50" s="65" t="n">
        <f aca="false">COUNTIFS(Данные!$B$2:$B$722,23,Данные!$C$2:$C$722,0,Данные!$A$2:$A$722,"&gt;="&amp;77233850000,Данные!$A$2:$A$722,"&lt;="&amp;77233850999)</f>
        <v>0</v>
      </c>
      <c r="AD50" s="65" t="n">
        <f aca="false">COUNTIFS(Данные!$B$2:$B$722,23,Данные!$C$2:$C$722,0,Данные!$A$2:$A$722,"&gt;="&amp;77233420000,Данные!$A$2:$A$722,"&lt;="&amp;77233420999)</f>
        <v>0</v>
      </c>
      <c r="AE50" s="65" t="n">
        <f aca="false">COUNTIFS(Данные!$B$2:$B$722,23,Данные!$C$2:$C$722,0,Данные!$A$2:$A$722,"&gt;="&amp;77234740000,Данные!$A$2:$A$722,"&lt;="&amp;77234742999)</f>
        <v>10</v>
      </c>
      <c r="AF50" s="65" t="n">
        <f aca="false">COUNTIFS(Данные!$B$2:$B$722,23,Данные!$C$2:$C$722,0,Данные!$A$2:$A$722,"&gt;="&amp;77234767000,Данные!$A$2:$A$722,"&lt;="&amp;77234767999)</f>
        <v>13</v>
      </c>
      <c r="AG50" s="65" t="n">
        <f aca="false">COUNTIFS(Данные!$B$2:$B$722,23,Данные!$C$2:$C$722,0,Данные!$A$2:$A$722,"&gt;="&amp;77234120000,Данные!$A$2:$A$722,"&lt;="&amp;77234120999)</f>
        <v>0</v>
      </c>
      <c r="AH50" s="65" t="n">
        <f aca="false">COUNTIFS(Данные!$B$2:$B$722,23,Данные!$C$2:$C$722,0,Данные!$A$2:$A$722,"&gt;="&amp;77234127000,Данные!$A$2:$A$722,"&lt;="&amp;77234127999)</f>
        <v>0</v>
      </c>
      <c r="AI50" s="65" t="n">
        <f aca="false">COUNTIFS(Данные!$B$2:$B$722,23,Данные!$C$2:$C$722,0,Данные!$A$2:$A$722,"&gt;="&amp;77234220000,Данные!$A$2:$A$722,"&lt;="&amp;77234220999)</f>
        <v>0</v>
      </c>
      <c r="AJ50" s="65" t="n">
        <f aca="false">COUNTIFS(Данные!$B$2:$B$722,23,Данные!$C$2:$C$722,0,Данные!$A$2:$A$722,"&gt;="&amp;77234250000,Данные!$A$2:$A$722,"&lt;="&amp;77234250999)</f>
        <v>0</v>
      </c>
      <c r="AK50" s="65" t="n">
        <f aca="false">COUNTIFS(Данные!$B$2:$B$722,23,Данные!$C$2:$C$722,0,Данные!$A$2:$A$722,"&gt;="&amp;77233922950,Данные!$A$2:$A$722,"&lt;="&amp;77233924999)</f>
        <v>0</v>
      </c>
      <c r="AL50" s="65" t="n">
        <f aca="false">COUNTIFS(Данные!$B$2:$B$722,23,Данные!$C$2:$C$722,0,Данные!$A$2:$A$722,"&gt;="&amp;77234320000,Данные!$A$2:$A$722,"&lt;="&amp;77234320999)</f>
        <v>0</v>
      </c>
      <c r="AM50" s="65" t="n">
        <f aca="false">COUNTIFS(Данные!$B$2:$B$722,23,Данные!$C$2:$C$722,0,Данные!$A$2:$A$722,"&gt;="&amp;77234350000,Данные!$A$2:$A$722,"&lt;="&amp;77234350999)</f>
        <v>0</v>
      </c>
      <c r="AN50" s="65" t="n">
        <f aca="false">COUNTIFS(Данные!$B$2:$B$722,23,Данные!$C$2:$C$722,0,Данные!$A$2:$A$722,"&gt;="&amp;77234020000,Данные!$A$2:$A$722,"&lt;="&amp;77234020999)</f>
        <v>0</v>
      </c>
      <c r="AO50" s="65" t="n">
        <f aca="false">COUNTIFS(Данные!$B$2:$B$722,23,Данные!$C$2:$C$722,0,Данные!$A$2:$A$722,"&gt;="&amp;77234029000,Данные!$A$2:$A$722,"&lt;="&amp;77234029999)</f>
        <v>0</v>
      </c>
      <c r="AP50" s="65" t="n">
        <f aca="false">COUNTIFS(Данные!$B$2:$B$722,23,Данные!$C$2:$C$722,0,Данные!$A$2:$A$722,"&gt;="&amp;77234050000,Данные!$A$2:$A$722,"&lt;="&amp;77234050999)</f>
        <v>0</v>
      </c>
      <c r="AQ50" s="65" t="n">
        <f aca="false">COUNTIFS(Данные!$B$2:$B$722,23,Данные!$C$2:$C$722,0,Данные!$A$2:$A$722,"&gt;="&amp;77234427000,Данные!$A$2:$A$722,"&lt;="&amp;77234428999)</f>
        <v>0</v>
      </c>
      <c r="AR50" s="65" t="n">
        <f aca="false">COUNTIFS(Данные!$B$2:$B$722,23,Данные!$C$2:$C$722,0,Данные!$A$2:$A$722,"&gt;="&amp;77234450000,Данные!$A$2:$A$722,"&lt;="&amp;77234450999)</f>
        <v>0</v>
      </c>
      <c r="AS50" s="65" t="n">
        <f aca="false">COUNTIFS(Данные!$B$2:$B$722,23,Данные!$C$2:$C$722,0,Данные!$A$2:$A$722,"&gt;="&amp;77234620000,Данные!$A$2:$A$722,"&lt;="&amp;77234620999)</f>
        <v>0</v>
      </c>
      <c r="AT50" s="65" t="n">
        <f aca="false">COUNTIFS(Данные!$B$2:$B$722,23,Данные!$C$2:$C$722,0,Данные!$A$2:$A$722,"&gt;="&amp;77234650000,Данные!$A$2:$A$722,"&lt;="&amp;77234650999)</f>
        <v>0</v>
      </c>
      <c r="AU50" s="65" t="n">
        <f aca="false">COUNTIFS(Данные!$B$2:$B$722,23,Данные!$C$2:$C$722,0,Данные!$A$2:$A$722,"&gt;="&amp;77234820000,Данные!$A$2:$A$722,"&lt;="&amp;77234820999)</f>
        <v>0</v>
      </c>
      <c r="AV50" s="65" t="n">
        <f aca="false">COUNTIFS(Данные!$B$2:$B$722,23,Данные!$C$2:$C$722,0,Данные!$A$2:$A$722,"&gt;="&amp;77234850000,Данные!$A$2:$A$722,"&lt;="&amp;77234850999)</f>
        <v>0</v>
      </c>
      <c r="AW50" s="65" t="n">
        <f aca="false">COUNTIFS(Данные!$B$2:$B$722,23,Данные!$C$2:$C$722,0,Данные!$A$2:$A$722,"&gt;="&amp;77233327000,Данные!$A$2:$A$722,"&lt;="&amp;77233327999)</f>
        <v>0</v>
      </c>
      <c r="AX50" s="65" t="n">
        <f aca="false">COUNTIFS(Данные!$B$2:$B$722,23,Данные!$C$2:$C$722,0,Данные!$A$2:$A$722,"&gt;="&amp;77233350000,Данные!$A$2:$A$722,"&lt;="&amp;77233350599)</f>
        <v>0</v>
      </c>
      <c r="AY50" s="65" t="n">
        <f aca="false">COUNTIFS(Данные!$B$2:$B$722,23,Данные!$C$2:$C$722,0,Данные!$A$2:$A$722,"&gt;="&amp;77233351000,Данные!$A$2:$A$722,"&lt;="&amp;77233351999)</f>
        <v>0</v>
      </c>
      <c r="AZ50" s="66" t="n">
        <f aca="false">COUNTIFS(Данные!$B$2:$B$722,23,Данные!$C$2:$C$722,0,Данные!$A$2:$A$722,"&gt;="&amp;7722440000,Данные!$A$2:$A$722,"&lt;="&amp;7722440999)</f>
        <v>0</v>
      </c>
      <c r="BA50" s="66" t="n">
        <f aca="false">COUNTIFS(Данные!$B$2:$B$722,23,Данные!$C$2:$C$722,0,Данные!$A$2:$A$722,"&gt;="&amp;7722442000,Данные!$A$2:$A$722,"&lt;="&amp;7722445659)</f>
        <v>0</v>
      </c>
      <c r="BB50" s="66" t="n">
        <f aca="false">COUNTIFS(Данные!$B$2:$B$722,23,Данные!$C$2:$C$722,0,Данные!$A$2:$A$722,"&gt;="&amp;7722450000,Данные!$A$2:$A$722,"&lt;="&amp;7722450199)</f>
        <v>0</v>
      </c>
      <c r="BC50" s="66" t="n">
        <f aca="false">COUNTIFS(Данные!$B$2:$B$722,23,Данные!$C$2:$C$722,0,Данные!$A$2:$A$722,"&gt;="&amp;7722451000,Данные!$A$2:$A$722,"&lt;="&amp;7722451374)</f>
        <v>0</v>
      </c>
      <c r="BD50" s="66" t="n">
        <f aca="false">COUNTIFS(Данные!$B$2:$B$722,23,Данные!$C$2:$C$722,0,Данные!$A$2:$A$722,"&gt;="&amp;7722452000,Данные!$A$2:$A$722,"&lt;="&amp;7722452299)</f>
        <v>0</v>
      </c>
      <c r="BE50" s="66" t="n">
        <f aca="false">COUNTIFS(Данные!$B$2:$B$722,23,Данные!$C$2:$C$722,0,Данные!$A$2:$A$722,"&gt;="&amp;7722453000,Данные!$A$2:$A$722,"&lt;="&amp;7722453816)</f>
        <v>0</v>
      </c>
      <c r="BF50" s="66" t="n">
        <f aca="false">COUNTIFS(Данные!$B$2:$B$722,23,Данные!$C$2:$C$722,0,Данные!$A$2:$A$722,"&gt;="&amp;7722454000,Данные!$A$2:$A$722,"&lt;="&amp;7722454099)</f>
        <v>0</v>
      </c>
      <c r="BG50" s="66" t="n">
        <f aca="false">COUNTIFS(Данные!$B$2:$B$722,23,Данные!$C$2:$C$722,0,Данные!$A$2:$A$722,"&gt;="&amp;7722458000,Данные!$A$2:$A$722,"&lt;="&amp;7722458999)</f>
        <v>0</v>
      </c>
      <c r="BH50" s="66" t="n">
        <f aca="false">COUNTIFS(Данные!$B$2:$B$722,23,Данные!$C$2:$C$722,0,Данные!$A$2:$A$722,"&gt;="&amp;7722630000,Данные!$A$2:$A$722,"&lt;="&amp;7722638549)</f>
        <v>0</v>
      </c>
      <c r="BI50" s="66" t="n">
        <f aca="false">COUNTIFS(Данные!$B$2:$B$722,23,Данные!$C$2:$C$722,0,Данные!$A$2:$A$722,"&gt;="&amp;7722639400,Данные!$A$2:$A$722,"&lt;="&amp;7722639899)</f>
        <v>0</v>
      </c>
      <c r="BJ50" s="66" t="n">
        <f aca="false">COUNTIFS(Данные!$B$2:$B$722,23,Данные!$C$2:$C$722,0,Данные!$A$2:$A$722,"&gt;="&amp;7725750000,Данные!$A$2:$A$722,"&lt;="&amp;7725750399)</f>
        <v>0</v>
      </c>
      <c r="BK50" s="66" t="n">
        <f aca="false">COUNTIFS(Данные!$B$2:$B$722,23,Данные!$C$2:$C$722,0,Данные!$A$2:$A$722,"&gt;="&amp;7723620000,Данные!$A$2:$A$722,"&lt;="&amp;7723621299)</f>
        <v>0</v>
      </c>
      <c r="BL50" s="66" t="n">
        <f aca="false">COUNTIFS(Данные!$B$2:$B$722,23,Данные!$C$2:$C$722,0,Данные!$A$2:$A$722,"&gt;="&amp;7723621600,Данные!$A$2:$A$722,"&lt;="&amp;7723623399)</f>
        <v>0</v>
      </c>
      <c r="BM50" s="66" t="n">
        <f aca="false">COUNTIFS(Данные!$B$2:$B$722,23,Данные!$C$2:$C$722,0,Данные!$A$2:$A$722,"&gt;="&amp;7725127000,Данные!$A$2:$A$722,"&lt;="&amp;7725127999)</f>
        <v>0</v>
      </c>
      <c r="BN50" s="66" t="n">
        <f aca="false">COUNTIFS(Данные!$B$2:$B$722,23,Данные!$C$2:$C$722,0,Данные!$A$2:$A$722,"&gt;="&amp;7723772000,Данные!$A$2:$A$722,"&lt;="&amp;7723724999)</f>
        <v>0</v>
      </c>
      <c r="BO50" s="65" t="n">
        <f aca="false">COUNTIFS(Данные!$B$2:$B$722,23,Данные!$C$2:$C$722,0,Данные!$A$2:$A$722,"&gt;="&amp;7723765000,Данные!$A$2:$A$722,"&lt;="&amp;7723765499)</f>
        <v>0</v>
      </c>
      <c r="BP50" s="66" t="n">
        <f aca="false">COUNTIFS(Данные!$B$2:$B$722,23,Данные!$C$2:$C$722,0,Данные!$A$2:$A$722,"&gt;="&amp;7723948000,Данные!$A$2:$A$722,"&lt;="&amp;7723948999)</f>
        <v>0</v>
      </c>
      <c r="BQ50" s="66" t="n">
        <f aca="false">COUNTIFS(Данные!$B$2:$B$722,23,Данные!$C$2:$C$722,0,Данные!$A$2:$A$722,"&gt;="&amp;7723950000,Данные!$A$2:$A$722,"&lt;="&amp;7723951099)</f>
        <v>0</v>
      </c>
      <c r="BR50" s="66" t="n">
        <f aca="false">COUNTIFS(Данные!$B$2:$B$722,23,Данные!$C$2:$C$722,0,Данные!$A$2:$A$722,"&gt;="&amp;7723020000,Данные!$A$2:$A$722,"&lt;="&amp;7723020999)</f>
        <v>0</v>
      </c>
      <c r="BS50" s="66" t="n">
        <f aca="false">COUNTIFS(Данные!$B$2:$B$722,23,Данные!$C$2:$C$722,0,Данные!$A$2:$A$722,"&gt;="&amp;7723029000,Данные!$A$2:$A$722,"&lt;="&amp;7723029999)</f>
        <v>0</v>
      </c>
      <c r="BT50" s="66" t="n">
        <f aca="false">COUNTIFS(Данные!$B$2:$B$722,23,Данные!$C$2:$C$722,0,Данные!$A$2:$A$722,"&gt;="&amp;7723055000,Данные!$A$2:$A$722,"&lt;="&amp;7723056549)</f>
        <v>0</v>
      </c>
      <c r="BU50" s="65" t="n">
        <f aca="false">COUNTIFS(Данные!$B$2:$B$722,23,Данные!$C$2:$C$722,0,Данные!$A$2:$A$722,"&gt;="&amp;7725250000,Данные!$A$2:$A$722,"&lt;="&amp;7725250499)</f>
        <v>0</v>
      </c>
      <c r="BV50" s="66" t="n">
        <f aca="false">COUNTIFS(Данные!$B$2:$B$722,23,Данные!$C$2:$C$722,0,Данные!$A$2:$A$722,"&gt;="&amp;7183841400,Данные!$A$2:$A$722,"&lt;="&amp;7183841499)</f>
        <v>0</v>
      </c>
      <c r="BW50" s="49" t="n">
        <v>300</v>
      </c>
      <c r="BX50" s="67" t="n">
        <f aca="false">F50-BW50</f>
        <v>-277</v>
      </c>
    </row>
    <row r="51" s="15" customFormat="true" ht="12" hidden="false" customHeight="true" outlineLevel="0" collapsed="false">
      <c r="A51" s="47"/>
      <c r="B51" s="48"/>
      <c r="C51" s="50" t="n">
        <v>1</v>
      </c>
      <c r="D51" s="50" t="n">
        <v>231</v>
      </c>
      <c r="E51" s="51"/>
      <c r="F51" s="65" t="n">
        <f aca="false">COUNTIFS(Данные!$B$2:$B$722,23,Данные!$C$2:$C$722,1)</f>
        <v>8</v>
      </c>
      <c r="G51" s="65" t="n">
        <f aca="false">COUNTIFS(Данные!$B$2:$B$722,23,Данные!$C$2:$C$722,1,Данные!$A$2:$A$722,"&gt;="&amp;77232210840,Данные!$A$2:$A$722,"&lt;="&amp;77232216999)</f>
        <v>0</v>
      </c>
      <c r="H51" s="65" t="n">
        <f aca="false">COUNTIFS(Данные!$B$2:$B$722,23,Данные!$C$2:$C$722,1,Данные!$A$2:$A$722,"&gt;="&amp;77232510512,Данные!$A$2:$A$722,"&lt;="&amp;77232519487)</f>
        <v>0</v>
      </c>
      <c r="I51" s="65" t="n">
        <f aca="false">COUNTIFS(Данные!$B$2:$B$722,23,Данные!$C$2:$C$722,1,Данные!$A$2:$A$722,"&gt;="&amp;77232524160,Данные!$A$2:$A$722,"&lt;="&amp;77232529999)</f>
        <v>0</v>
      </c>
      <c r="J51" s="65" t="n">
        <f aca="false">COUNTIFS(Данные!$B$2:$B$722,23,Данные!$C$2:$C$722,1,Данные!$A$2:$A$722,"&gt;="&amp;77232544000,Данные!$A$2:$A$722,"&lt;="&amp;77232544999)</f>
        <v>0</v>
      </c>
      <c r="K51" s="65" t="n">
        <f aca="false">COUNTIFS(Данные!$B$2:$B$722,23,Данные!$C$2:$C$722,1,Данные!$A$2:$A$722,"&gt;="&amp;77232295504,Данные!$A$2:$A$722,"&lt;="&amp;77232296999)</f>
        <v>0</v>
      </c>
      <c r="L51" s="65" t="n">
        <f aca="false">COUNTIFS(Данные!$B$2:$B$722,23,Данные!$C$2:$C$722,1,Данные!$A$2:$A$722,"&gt;="&amp;77232785000,Данные!$A$2:$A$722,"&lt;="&amp;77232789999)</f>
        <v>0</v>
      </c>
      <c r="M51" s="65" t="n">
        <f aca="false">COUNTIFS(Данные!$B$2:$B$722,23,Данные!$C$2:$C$722,1,Данные!$A$2:$A$722,"&gt;="&amp;77233150000,Данные!$A$2:$A$722,"&lt;="&amp;77233155999)</f>
        <v>0</v>
      </c>
      <c r="N51" s="65" t="n">
        <f aca="false">COUNTIFS(Данные!$B$2:$B$722,23,Данные!$C$2:$C$722,1,Данные!$A$2:$A$722,"&gt;="&amp;77233235000,Данные!$A$2:$A$722,"&lt;="&amp;77233235999)</f>
        <v>0</v>
      </c>
      <c r="O51" s="65" t="n">
        <f aca="false">COUNTIFS(Данные!$B$2:$B$722,23,Данные!$C$2:$C$722,1,Данные!$A$2:$A$722,"&gt;="&amp;77233239000,Данные!$A$2:$A$722,"&lt;="&amp;77233239999)</f>
        <v>0</v>
      </c>
      <c r="P51" s="65" t="n">
        <f aca="false">COUNTIFS(Данные!$B$2:$B$722,23,Данные!$C$2:$C$722,1,Данные!$A$2:$A$722,"&gt;="&amp;77233272000,Данные!$A$2:$A$722,"&lt;="&amp;77233272999)</f>
        <v>0</v>
      </c>
      <c r="Q51" s="65" t="n">
        <f aca="false">COUNTIFS(Данные!$B$2:$B$722,23,Данные!$C$2:$C$722,1,Данные!$A$2:$A$722,"&gt;="&amp;77233291100,Данные!$A$2:$A$722,"&lt;="&amp;77233292999)</f>
        <v>0</v>
      </c>
      <c r="R51" s="65" t="n">
        <f aca="false">COUNTIFS(Данные!$B$2:$B$722,23,Данные!$C$2:$C$722,1,Данные!$A$2:$A$722,"&gt;="&amp;77233297000,Данные!$A$2:$A$722,"&lt;="&amp;77233298399)</f>
        <v>0</v>
      </c>
      <c r="S51" s="65" t="n">
        <f aca="false">COUNTIFS(Данные!$B$2:$B$722,23,Данные!$C$2:$C$722,1,Данные!$A$2:$A$722,"&gt;="&amp;77235124000,Данные!$A$2:$A$722,"&lt;="&amp;77235128499)</f>
        <v>0</v>
      </c>
      <c r="T51" s="65" t="n">
        <f aca="false">COUNTIFS(Данные!$B$2:$B$722,23,Данные!$C$2:$C$722,1,Данные!$A$2:$A$722,"&gt;="&amp;77235320000,Данные!$A$2:$A$722,"&lt;="&amp;77235320999)</f>
        <v>0</v>
      </c>
      <c r="U51" s="65" t="n">
        <f aca="false">COUNTIFS(Данные!$B$2:$B$722,23,Данные!$C$2:$C$722,1,Данные!$A$2:$A$722,"&gt;="&amp;77233620000,Данные!$A$2:$A$722,"&lt;="&amp;77233623339)</f>
        <v>0</v>
      </c>
      <c r="V51" s="65" t="n">
        <f aca="false">COUNTIFS(Данные!$B$2:$B$722,23,Данные!$C$2:$C$722,1,Данные!$A$2:$A$722,"&gt;="&amp;77233630000,Данные!$A$2:$A$722,"&lt;="&amp;77233630999)</f>
        <v>0</v>
      </c>
      <c r="W51" s="65" t="n">
        <f aca="false">COUNTIFS(Данные!$B$2:$B$722,23,Данные!$C$2:$C$722,1,Данные!$A$2:$A$722,"&gt;="&amp;77233637000,Данные!$A$2:$A$722,"&lt;="&amp;77233637599)</f>
        <v>0</v>
      </c>
      <c r="X51" s="65" t="n">
        <f aca="false">COUNTIFS(Данные!$B$2:$B$722,23,Данные!$C$2:$C$722,1,Данные!$A$2:$A$722,"&gt;="&amp;77233550000,Данные!$A$2:$A$722,"&lt;="&amp;77233550999)</f>
        <v>0</v>
      </c>
      <c r="Y51" s="65" t="n">
        <f aca="false">COUNTIFS(Данные!$B$2:$B$722,23,Данные!$C$2:$C$722,1,Данные!$A$2:$A$722,"&gt;="&amp;77233554000,Данные!$A$2:$A$722,"&lt;="&amp;77233554999)</f>
        <v>0</v>
      </c>
      <c r="Z51" s="65" t="n">
        <f aca="false">COUNTIFS(Данные!$B$2:$B$722,23,Данные!$C$2:$C$722,1,Данные!$A$2:$A$722,"&gt;="&amp;77233555000,Данные!$A$2:$A$722,"&lt;="&amp;77233556999)</f>
        <v>0</v>
      </c>
      <c r="AA51" s="65" t="n">
        <f aca="false">COUNTIFS(Данные!$B$2:$B$722,23,Данные!$C$2:$C$722,1,Данные!$A$2:$A$722,"&gt;="&amp;77233726000,Данные!$A$2:$A$722,"&lt;="&amp;77233726999)</f>
        <v>0</v>
      </c>
      <c r="AB51" s="65" t="n">
        <f aca="false">COUNTIFS(Данные!$B$2:$B$722,23,Данные!$C$2:$C$722,1,Данные!$A$2:$A$722,"&gt;="&amp;77233820000,Данные!$A$2:$A$722,"&lt;="&amp;77233820999)</f>
        <v>0</v>
      </c>
      <c r="AC51" s="65" t="n">
        <f aca="false">COUNTIFS(Данные!$B$2:$B$722,23,Данные!$C$2:$C$722,1,Данные!$A$2:$A$722,"&gt;="&amp;77233850000,Данные!$A$2:$A$722,"&lt;="&amp;77233850999)</f>
        <v>0</v>
      </c>
      <c r="AD51" s="65" t="n">
        <f aca="false">COUNTIFS(Данные!$B$2:$B$722,23,Данные!$C$2:$C$722,1,Данные!$A$2:$A$722,"&gt;="&amp;77233420000,Данные!$A$2:$A$722,"&lt;="&amp;77233420999)</f>
        <v>0</v>
      </c>
      <c r="AE51" s="65" t="n">
        <f aca="false">COUNTIFS(Данные!$B$2:$B$722,23,Данные!$C$2:$C$722,1,Данные!$A$2:$A$722,"&gt;="&amp;77234740000,Данные!$A$2:$A$722,"&lt;="&amp;77234742999)</f>
        <v>7</v>
      </c>
      <c r="AF51" s="65" t="n">
        <f aca="false">COUNTIFS(Данные!$B$2:$B$722,23,Данные!$C$2:$C$722,1,Данные!$A$2:$A$722,"&gt;="&amp;77234767000,Данные!$A$2:$A$722,"&lt;="&amp;77234767999)</f>
        <v>1</v>
      </c>
      <c r="AG51" s="65" t="n">
        <f aca="false">COUNTIFS(Данные!$B$2:$B$722,23,Данные!$C$2:$C$722,1,Данные!$A$2:$A$722,"&gt;="&amp;77234120000,Данные!$A$2:$A$722,"&lt;="&amp;77234120999)</f>
        <v>0</v>
      </c>
      <c r="AH51" s="65" t="n">
        <f aca="false">COUNTIFS(Данные!$B$2:$B$722,23,Данные!$C$2:$C$722,1,Данные!$A$2:$A$722,"&gt;="&amp;77234127000,Данные!$A$2:$A$722,"&lt;="&amp;77234127999)</f>
        <v>0</v>
      </c>
      <c r="AI51" s="65" t="n">
        <f aca="false">COUNTIFS(Данные!$B$2:$B$722,23,Данные!$C$2:$C$722,1,Данные!$A$2:$A$722,"&gt;="&amp;77234220000,Данные!$A$2:$A$722,"&lt;="&amp;77234220999)</f>
        <v>0</v>
      </c>
      <c r="AJ51" s="65" t="n">
        <f aca="false">COUNTIFS(Данные!$B$2:$B$722,23,Данные!$C$2:$C$722,1,Данные!$A$2:$A$722,"&gt;="&amp;77234250000,Данные!$A$2:$A$722,"&lt;="&amp;77234250999)</f>
        <v>0</v>
      </c>
      <c r="AK51" s="65" t="n">
        <f aca="false">COUNTIFS(Данные!$B$2:$B$722,23,Данные!$C$2:$C$722,1,Данные!$A$2:$A$722,"&gt;="&amp;77233922950,Данные!$A$2:$A$722,"&lt;="&amp;77233924999)</f>
        <v>0</v>
      </c>
      <c r="AL51" s="65" t="n">
        <f aca="false">COUNTIFS(Данные!$B$2:$B$722,23,Данные!$C$2:$C$722,1,Данные!$A$2:$A$722,"&gt;="&amp;77234320000,Данные!$A$2:$A$722,"&lt;="&amp;77234320999)</f>
        <v>0</v>
      </c>
      <c r="AM51" s="65" t="n">
        <f aca="false">COUNTIFS(Данные!$B$2:$B$722,23,Данные!$C$2:$C$722,1,Данные!$A$2:$A$722,"&gt;="&amp;77234350000,Данные!$A$2:$A$722,"&lt;="&amp;77234350999)</f>
        <v>0</v>
      </c>
      <c r="AN51" s="65" t="n">
        <f aca="false">COUNTIFS(Данные!$B$2:$B$722,23,Данные!$C$2:$C$722,1,Данные!$A$2:$A$722,"&gt;="&amp;77234020000,Данные!$A$2:$A$722,"&lt;="&amp;77234020999)</f>
        <v>0</v>
      </c>
      <c r="AO51" s="65" t="n">
        <f aca="false">COUNTIFS(Данные!$B$2:$B$722,23,Данные!$C$2:$C$722,1,Данные!$A$2:$A$722,"&gt;="&amp;77234029000,Данные!$A$2:$A$722,"&lt;="&amp;77234029999)</f>
        <v>0</v>
      </c>
      <c r="AP51" s="65" t="n">
        <f aca="false">COUNTIFS(Данные!$B$2:$B$722,23,Данные!$C$2:$C$722,1,Данные!$A$2:$A$722,"&gt;="&amp;77234050000,Данные!$A$2:$A$722,"&lt;="&amp;77234050999)</f>
        <v>0</v>
      </c>
      <c r="AQ51" s="65" t="n">
        <f aca="false">COUNTIFS(Данные!$B$2:$B$722,23,Данные!$C$2:$C$722,1,Данные!$A$2:$A$722,"&gt;="&amp;77234427000,Данные!$A$2:$A$722,"&lt;="&amp;77234428999)</f>
        <v>0</v>
      </c>
      <c r="AR51" s="65" t="n">
        <f aca="false">COUNTIFS(Данные!$B$2:$B$722,23,Данные!$C$2:$C$722,1,Данные!$A$2:$A$722,"&gt;="&amp;77234450000,Данные!$A$2:$A$722,"&lt;="&amp;77234450999)</f>
        <v>0</v>
      </c>
      <c r="AS51" s="65" t="n">
        <f aca="false">COUNTIFS(Данные!$B$2:$B$722,23,Данные!$C$2:$C$722,1,Данные!$A$2:$A$722,"&gt;="&amp;77234620000,Данные!$A$2:$A$722,"&lt;="&amp;77234620999)</f>
        <v>0</v>
      </c>
      <c r="AT51" s="65" t="n">
        <f aca="false">COUNTIFS(Данные!$B$2:$B$722,23,Данные!$C$2:$C$722,1,Данные!$A$2:$A$722,"&gt;="&amp;77234650000,Данные!$A$2:$A$722,"&lt;="&amp;77234650999)</f>
        <v>0</v>
      </c>
      <c r="AU51" s="65" t="n">
        <f aca="false">COUNTIFS(Данные!$B$2:$B$722,23,Данные!$C$2:$C$722,1,Данные!$A$2:$A$722,"&gt;="&amp;77234820000,Данные!$A$2:$A$722,"&lt;="&amp;77234820999)</f>
        <v>0</v>
      </c>
      <c r="AV51" s="65" t="n">
        <f aca="false">COUNTIFS(Данные!$B$2:$B$722,23,Данные!$C$2:$C$722,1,Данные!$A$2:$A$722,"&gt;="&amp;77234850000,Данные!$A$2:$A$722,"&lt;="&amp;77234850999)</f>
        <v>0</v>
      </c>
      <c r="AW51" s="65" t="n">
        <f aca="false">COUNTIFS(Данные!$B$2:$B$722,23,Данные!$C$2:$C$722,1,Данные!$A$2:$A$722,"&gt;="&amp;77233327000,Данные!$A$2:$A$722,"&lt;="&amp;77233327999)</f>
        <v>0</v>
      </c>
      <c r="AX51" s="65" t="n">
        <f aca="false">COUNTIFS(Данные!$B$2:$B$722,23,Данные!$C$2:$C$722,1,Данные!$A$2:$A$722,"&gt;="&amp;77233350000,Данные!$A$2:$A$722,"&lt;="&amp;77233350599)</f>
        <v>0</v>
      </c>
      <c r="AY51" s="65" t="n">
        <f aca="false">COUNTIFS(Данные!$B$2:$B$722,23,Данные!$C$2:$C$722,1,Данные!$A$2:$A$722,"&gt;="&amp;77233351000,Данные!$A$2:$A$722,"&lt;="&amp;77233351999)</f>
        <v>0</v>
      </c>
      <c r="AZ51" s="66" t="n">
        <f aca="false">COUNTIFS(Данные!$B$2:$B$722,23,Данные!$C$2:$C$722,1,Данные!$A$2:$A$722,"&gt;="&amp;7722440000,Данные!$A$2:$A$722,"&lt;="&amp;7722440999)</f>
        <v>0</v>
      </c>
      <c r="BA51" s="66" t="n">
        <f aca="false">COUNTIFS(Данные!$B$2:$B$722,23,Данные!$C$2:$C$722,1,Данные!$A$2:$A$722,"&gt;="&amp;7722442000,Данные!$A$2:$A$722,"&lt;="&amp;7722445659)</f>
        <v>0</v>
      </c>
      <c r="BB51" s="66" t="n">
        <f aca="false">COUNTIFS(Данные!$B$2:$B$722,23,Данные!$C$2:$C$722,1,Данные!$A$2:$A$722,"&gt;="&amp;7722450000,Данные!$A$2:$A$722,"&lt;="&amp;7722450199)</f>
        <v>0</v>
      </c>
      <c r="BC51" s="66" t="n">
        <f aca="false">COUNTIFS(Данные!$B$2:$B$722,23,Данные!$C$2:$C$722,1,Данные!$A$2:$A$722,"&gt;="&amp;7722451000,Данные!$A$2:$A$722,"&lt;="&amp;7722451374)</f>
        <v>0</v>
      </c>
      <c r="BD51" s="66" t="n">
        <f aca="false">COUNTIFS(Данные!$B$2:$B$722,23,Данные!$C$2:$C$722,1,Данные!$A$2:$A$722,"&gt;="&amp;7722452000,Данные!$A$2:$A$722,"&lt;="&amp;7722452299)</f>
        <v>0</v>
      </c>
      <c r="BE51" s="66" t="n">
        <f aca="false">COUNTIFS(Данные!$B$2:$B$722,23,Данные!$C$2:$C$722,1,Данные!$A$2:$A$722,"&gt;="&amp;7722453000,Данные!$A$2:$A$722,"&lt;="&amp;7722453816)</f>
        <v>0</v>
      </c>
      <c r="BF51" s="66" t="n">
        <f aca="false">COUNTIFS(Данные!$B$2:$B$722,23,Данные!$C$2:$C$722,1,Данные!$A$2:$A$722,"&gt;="&amp;7722454000,Данные!$A$2:$A$722,"&lt;="&amp;7722454099)</f>
        <v>0</v>
      </c>
      <c r="BG51" s="66" t="n">
        <f aca="false">COUNTIFS(Данные!$B$2:$B$722,23,Данные!$C$2:$C$722,1,Данные!$A$2:$A$722,"&gt;="&amp;7722458000,Данные!$A$2:$A$722,"&lt;="&amp;7722458999)</f>
        <v>0</v>
      </c>
      <c r="BH51" s="66" t="n">
        <f aca="false">COUNTIFS(Данные!$B$2:$B$722,23,Данные!$C$2:$C$722,1,Данные!$A$2:$A$722,"&gt;="&amp;7722630000,Данные!$A$2:$A$722,"&lt;="&amp;7722638549)</f>
        <v>0</v>
      </c>
      <c r="BI51" s="66" t="n">
        <f aca="false">COUNTIFS(Данные!$B$2:$B$722,23,Данные!$C$2:$C$722,1,Данные!$A$2:$A$722,"&gt;="&amp;7722639400,Данные!$A$2:$A$722,"&lt;="&amp;7722639899)</f>
        <v>0</v>
      </c>
      <c r="BJ51" s="66" t="n">
        <f aca="false">COUNTIFS(Данные!$B$2:$B$722,23,Данные!$C$2:$C$722,1,Данные!$A$2:$A$722,"&gt;="&amp;7725750000,Данные!$A$2:$A$722,"&lt;="&amp;7725750399)</f>
        <v>0</v>
      </c>
      <c r="BK51" s="66" t="n">
        <f aca="false">COUNTIFS(Данные!$B$2:$B$722,23,Данные!$C$2:$C$722,1,Данные!$A$2:$A$722,"&gt;="&amp;7723620000,Данные!$A$2:$A$722,"&lt;="&amp;7723621299)</f>
        <v>0</v>
      </c>
      <c r="BL51" s="66" t="n">
        <f aca="false">COUNTIFS(Данные!$B$2:$B$722,23,Данные!$C$2:$C$722,1,Данные!$A$2:$A$722,"&gt;="&amp;7723621600,Данные!$A$2:$A$722,"&lt;="&amp;7723623399)</f>
        <v>0</v>
      </c>
      <c r="BM51" s="66" t="n">
        <f aca="false">COUNTIFS(Данные!$B$2:$B$722,23,Данные!$C$2:$C$722,1,Данные!$A$2:$A$722,"&gt;="&amp;7725127000,Данные!$A$2:$A$722,"&lt;="&amp;7725127999)</f>
        <v>0</v>
      </c>
      <c r="BN51" s="66" t="n">
        <f aca="false">COUNTIFS(Данные!$B$2:$B$722,23,Данные!$C$2:$C$722,1,Данные!$A$2:$A$722,"&gt;="&amp;7723772000,Данные!$A$2:$A$722,"&lt;="&amp;7723724999)</f>
        <v>0</v>
      </c>
      <c r="BO51" s="65" t="n">
        <f aca="false">COUNTIFS(Данные!$B$2:$B$722,23,Данные!$C$2:$C$722,1,Данные!$A$2:$A$722,"&gt;="&amp;7723765000,Данные!$A$2:$A$722,"&lt;="&amp;7723765499)</f>
        <v>0</v>
      </c>
      <c r="BP51" s="66" t="n">
        <f aca="false">COUNTIFS(Данные!$B$2:$B$722,23,Данные!$C$2:$C$722,1,Данные!$A$2:$A$722,"&gt;="&amp;7723948000,Данные!$A$2:$A$722,"&lt;="&amp;7723948999)</f>
        <v>0</v>
      </c>
      <c r="BQ51" s="66" t="n">
        <f aca="false">COUNTIFS(Данные!$B$2:$B$722,23,Данные!$C$2:$C$722,1,Данные!$A$2:$A$722,"&gt;="&amp;7723950000,Данные!$A$2:$A$722,"&lt;="&amp;7723951099)</f>
        <v>0</v>
      </c>
      <c r="BR51" s="66" t="n">
        <f aca="false">COUNTIFS(Данные!$B$2:$B$722,23,Данные!$C$2:$C$722,1,Данные!$A$2:$A$722,"&gt;="&amp;7723020000,Данные!$A$2:$A$722,"&lt;="&amp;7723020999)</f>
        <v>0</v>
      </c>
      <c r="BS51" s="66" t="n">
        <f aca="false">COUNTIFS(Данные!$B$2:$B$722,23,Данные!$C$2:$C$722,1,Данные!$A$2:$A$722,"&gt;="&amp;7723029000,Данные!$A$2:$A$722,"&lt;="&amp;7723029999)</f>
        <v>0</v>
      </c>
      <c r="BT51" s="66" t="n">
        <f aca="false">COUNTIFS(Данные!$B$2:$B$722,23,Данные!$C$2:$C$722,1,Данные!$A$2:$A$722,"&gt;="&amp;7723055000,Данные!$A$2:$A$722,"&lt;="&amp;7723056549)</f>
        <v>0</v>
      </c>
      <c r="BU51" s="65" t="n">
        <f aca="false">COUNTIFS(Данные!$B$2:$B$722,23,Данные!$C$2:$C$722,1,Данные!$A$2:$A$722,"&gt;="&amp;7725250000,Данные!$A$2:$A$722,"&lt;="&amp;7725250499)</f>
        <v>0</v>
      </c>
      <c r="BV51" s="66" t="n">
        <f aca="false">COUNTIFS(Данные!$B$2:$B$722,23,Данные!$C$2:$C$722,1,Данные!$A$2:$A$722,"&gt;="&amp;7183841400,Данные!$A$2:$A$722,"&lt;="&amp;7183841499)</f>
        <v>0</v>
      </c>
      <c r="BW51" s="49" t="n">
        <v>300</v>
      </c>
      <c r="BX51" s="67" t="n">
        <f aca="false">F51-BW51</f>
        <v>-292</v>
      </c>
    </row>
    <row r="52" s="15" customFormat="true" ht="12" hidden="false" customHeight="true" outlineLevel="0" collapsed="false">
      <c r="A52" s="47"/>
      <c r="B52" s="48"/>
      <c r="C52" s="50" t="n">
        <v>2</v>
      </c>
      <c r="D52" s="50" t="n">
        <v>232</v>
      </c>
      <c r="E52" s="51"/>
      <c r="F52" s="65" t="n">
        <f aca="false">COUNTIFS(Данные!$B$2:$B$722,23,Данные!$C$2:$C$722,2)</f>
        <v>13</v>
      </c>
      <c r="G52" s="65" t="n">
        <f aca="false">COUNTIFS(Данные!$B$2:$B$722,23,Данные!$C$2:$C$722,2,Данные!$A$2:$A$722,"&gt;="&amp;77232210840,Данные!$A$2:$A$722,"&lt;="&amp;77232216999)</f>
        <v>0</v>
      </c>
      <c r="H52" s="65" t="n">
        <f aca="false">COUNTIFS(Данные!$B$2:$B$722,23,Данные!$C$2:$C$722,2,Данные!$A$2:$A$722,"&gt;="&amp;77232510512,Данные!$A$2:$A$722,"&lt;="&amp;77232519487)</f>
        <v>0</v>
      </c>
      <c r="I52" s="65" t="n">
        <f aca="false">COUNTIFS(Данные!$B$2:$B$722,23,Данные!$C$2:$C$722,2,Данные!$A$2:$A$722,"&gt;="&amp;77232524160,Данные!$A$2:$A$722,"&lt;="&amp;77232529999)</f>
        <v>0</v>
      </c>
      <c r="J52" s="65" t="n">
        <f aca="false">COUNTIFS(Данные!$B$2:$B$722,23,Данные!$C$2:$C$722,2,Данные!$A$2:$A$722,"&gt;="&amp;77232544000,Данные!$A$2:$A$722,"&lt;="&amp;77232544999)</f>
        <v>0</v>
      </c>
      <c r="K52" s="65" t="n">
        <f aca="false">COUNTIFS(Данные!$B$2:$B$722,23,Данные!$C$2:$C$722,2,Данные!$A$2:$A$722,"&gt;="&amp;77232295504,Данные!$A$2:$A$722,"&lt;="&amp;77232296999)</f>
        <v>0</v>
      </c>
      <c r="L52" s="65" t="n">
        <f aca="false">COUNTIFS(Данные!$B$2:$B$722,23,Данные!$C$2:$C$722,2,Данные!$A$2:$A$722,"&gt;="&amp;77232785000,Данные!$A$2:$A$722,"&lt;="&amp;77232789999)</f>
        <v>0</v>
      </c>
      <c r="M52" s="65" t="n">
        <f aca="false">COUNTIFS(Данные!$B$2:$B$722,23,Данные!$C$2:$C$722,2,Данные!$A$2:$A$722,"&gt;="&amp;77233150000,Данные!$A$2:$A$722,"&lt;="&amp;77233155999)</f>
        <v>0</v>
      </c>
      <c r="N52" s="65" t="n">
        <f aca="false">COUNTIFS(Данные!$B$2:$B$722,23,Данные!$C$2:$C$722,2,Данные!$A$2:$A$722,"&gt;="&amp;77233235000,Данные!$A$2:$A$722,"&lt;="&amp;77233235999)</f>
        <v>0</v>
      </c>
      <c r="O52" s="65" t="n">
        <f aca="false">COUNTIFS(Данные!$B$2:$B$722,23,Данные!$C$2:$C$722,2,Данные!$A$2:$A$722,"&gt;="&amp;77233239000,Данные!$A$2:$A$722,"&lt;="&amp;77233239999)</f>
        <v>0</v>
      </c>
      <c r="P52" s="65" t="n">
        <f aca="false">COUNTIFS(Данные!$B$2:$B$722,23,Данные!$C$2:$C$722,2,Данные!$A$2:$A$722,"&gt;="&amp;77233272000,Данные!$A$2:$A$722,"&lt;="&amp;77233272999)</f>
        <v>0</v>
      </c>
      <c r="Q52" s="65" t="n">
        <f aca="false">COUNTIFS(Данные!$B$2:$B$722,23,Данные!$C$2:$C$722,2,Данные!$A$2:$A$722,"&gt;="&amp;77233291100,Данные!$A$2:$A$722,"&lt;="&amp;77233292999)</f>
        <v>0</v>
      </c>
      <c r="R52" s="65" t="n">
        <f aca="false">COUNTIFS(Данные!$B$2:$B$722,23,Данные!$C$2:$C$722,2,Данные!$A$2:$A$722,"&gt;="&amp;77233297000,Данные!$A$2:$A$722,"&lt;="&amp;77233298399)</f>
        <v>0</v>
      </c>
      <c r="S52" s="65" t="n">
        <f aca="false">COUNTIFS(Данные!$B$2:$B$722,23,Данные!$C$2:$C$722,2,Данные!$A$2:$A$722,"&gt;="&amp;77235124000,Данные!$A$2:$A$722,"&lt;="&amp;77235128499)</f>
        <v>0</v>
      </c>
      <c r="T52" s="65" t="n">
        <f aca="false">COUNTIFS(Данные!$B$2:$B$722,23,Данные!$C$2:$C$722,2,Данные!$A$2:$A$722,"&gt;="&amp;77235320000,Данные!$A$2:$A$722,"&lt;="&amp;77235320999)</f>
        <v>0</v>
      </c>
      <c r="U52" s="65" t="n">
        <f aca="false">COUNTIFS(Данные!$B$2:$B$722,23,Данные!$C$2:$C$722,2,Данные!$A$2:$A$722,"&gt;="&amp;77233620000,Данные!$A$2:$A$722,"&lt;="&amp;77233623339)</f>
        <v>0</v>
      </c>
      <c r="V52" s="65" t="n">
        <f aca="false">COUNTIFS(Данные!$B$2:$B$722,23,Данные!$C$2:$C$722,2,Данные!$A$2:$A$722,"&gt;="&amp;77233630000,Данные!$A$2:$A$722,"&lt;="&amp;77233630999)</f>
        <v>0</v>
      </c>
      <c r="W52" s="65" t="n">
        <f aca="false">COUNTIFS(Данные!$B$2:$B$722,23,Данные!$C$2:$C$722,2,Данные!$A$2:$A$722,"&gt;="&amp;77233637000,Данные!$A$2:$A$722,"&lt;="&amp;77233637599)</f>
        <v>0</v>
      </c>
      <c r="X52" s="65" t="n">
        <f aca="false">COUNTIFS(Данные!$B$2:$B$722,23,Данные!$C$2:$C$722,2,Данные!$A$2:$A$722,"&gt;="&amp;77233550000,Данные!$A$2:$A$722,"&lt;="&amp;77233550999)</f>
        <v>0</v>
      </c>
      <c r="Y52" s="65" t="n">
        <f aca="false">COUNTIFS(Данные!$B$2:$B$722,23,Данные!$C$2:$C$722,2,Данные!$A$2:$A$722,"&gt;="&amp;77233554000,Данные!$A$2:$A$722,"&lt;="&amp;77233554999)</f>
        <v>0</v>
      </c>
      <c r="Z52" s="65" t="n">
        <f aca="false">COUNTIFS(Данные!$B$2:$B$722,23,Данные!$C$2:$C$722,2,Данные!$A$2:$A$722,"&gt;="&amp;77233555000,Данные!$A$2:$A$722,"&lt;="&amp;77233556999)</f>
        <v>0</v>
      </c>
      <c r="AA52" s="65" t="n">
        <f aca="false">COUNTIFS(Данные!$B$2:$B$722,23,Данные!$C$2:$C$722,2,Данные!$A$2:$A$722,"&gt;="&amp;77233726000,Данные!$A$2:$A$722,"&lt;="&amp;77233726999)</f>
        <v>0</v>
      </c>
      <c r="AB52" s="65" t="n">
        <f aca="false">COUNTIFS(Данные!$B$2:$B$722,23,Данные!$C$2:$C$722,2,Данные!$A$2:$A$722,"&gt;="&amp;77233820000,Данные!$A$2:$A$722,"&lt;="&amp;77233820999)</f>
        <v>0</v>
      </c>
      <c r="AC52" s="65" t="n">
        <f aca="false">COUNTIFS(Данные!$B$2:$B$722,23,Данные!$C$2:$C$722,2,Данные!$A$2:$A$722,"&gt;="&amp;77233850000,Данные!$A$2:$A$722,"&lt;="&amp;77233850999)</f>
        <v>0</v>
      </c>
      <c r="AD52" s="65" t="n">
        <f aca="false">COUNTIFS(Данные!$B$2:$B$722,23,Данные!$C$2:$C$722,2,Данные!$A$2:$A$722,"&gt;="&amp;77233420000,Данные!$A$2:$A$722,"&lt;="&amp;77233420999)</f>
        <v>0</v>
      </c>
      <c r="AE52" s="65" t="n">
        <f aca="false">COUNTIFS(Данные!$B$2:$B$722,23,Данные!$C$2:$C$722,2,Данные!$A$2:$A$722,"&gt;="&amp;77234740000,Данные!$A$2:$A$722,"&lt;="&amp;77234742999)</f>
        <v>1</v>
      </c>
      <c r="AF52" s="65" t="n">
        <f aca="false">COUNTIFS(Данные!$B$2:$B$722,23,Данные!$C$2:$C$722,2,Данные!$A$2:$A$722,"&gt;="&amp;77234767000,Данные!$A$2:$A$722,"&lt;="&amp;77234767999)</f>
        <v>11</v>
      </c>
      <c r="AG52" s="65" t="n">
        <f aca="false">COUNTIFS(Данные!$B$2:$B$722,23,Данные!$C$2:$C$722,2,Данные!$A$2:$A$722,"&gt;="&amp;77234120000,Данные!$A$2:$A$722,"&lt;="&amp;77234120999)</f>
        <v>0</v>
      </c>
      <c r="AH52" s="65" t="n">
        <f aca="false">COUNTIFS(Данные!$B$2:$B$722,23,Данные!$C$2:$C$722,2,Данные!$A$2:$A$722,"&gt;="&amp;77234127000,Данные!$A$2:$A$722,"&lt;="&amp;77234127999)</f>
        <v>0</v>
      </c>
      <c r="AI52" s="65" t="n">
        <f aca="false">COUNTIFS(Данные!$B$2:$B$722,23,Данные!$C$2:$C$722,2,Данные!$A$2:$A$722,"&gt;="&amp;77234220000,Данные!$A$2:$A$722,"&lt;="&amp;77234220999)</f>
        <v>0</v>
      </c>
      <c r="AJ52" s="65" t="n">
        <f aca="false">COUNTIFS(Данные!$B$2:$B$722,23,Данные!$C$2:$C$722,2,Данные!$A$2:$A$722,"&gt;="&amp;77234250000,Данные!$A$2:$A$722,"&lt;="&amp;77234250999)</f>
        <v>0</v>
      </c>
      <c r="AK52" s="65" t="n">
        <f aca="false">COUNTIFS(Данные!$B$2:$B$722,23,Данные!$C$2:$C$722,2,Данные!$A$2:$A$722,"&gt;="&amp;77233922950,Данные!$A$2:$A$722,"&lt;="&amp;77233924999)</f>
        <v>0</v>
      </c>
      <c r="AL52" s="65" t="n">
        <f aca="false">COUNTIFS(Данные!$B$2:$B$722,23,Данные!$C$2:$C$722,2,Данные!$A$2:$A$722,"&gt;="&amp;77234320000,Данные!$A$2:$A$722,"&lt;="&amp;77234320999)</f>
        <v>0</v>
      </c>
      <c r="AM52" s="65" t="n">
        <f aca="false">COUNTIFS(Данные!$B$2:$B$722,23,Данные!$C$2:$C$722,2,Данные!$A$2:$A$722,"&gt;="&amp;77234350000,Данные!$A$2:$A$722,"&lt;="&amp;77234350999)</f>
        <v>0</v>
      </c>
      <c r="AN52" s="65" t="n">
        <f aca="false">COUNTIFS(Данные!$B$2:$B$722,23,Данные!$C$2:$C$722,2,Данные!$A$2:$A$722,"&gt;="&amp;77234020000,Данные!$A$2:$A$722,"&lt;="&amp;77234020999)</f>
        <v>0</v>
      </c>
      <c r="AO52" s="65" t="n">
        <f aca="false">COUNTIFS(Данные!$B$2:$B$722,23,Данные!$C$2:$C$722,2,Данные!$A$2:$A$722,"&gt;="&amp;77234029000,Данные!$A$2:$A$722,"&lt;="&amp;77234029999)</f>
        <v>0</v>
      </c>
      <c r="AP52" s="65" t="n">
        <f aca="false">COUNTIFS(Данные!$B$2:$B$722,23,Данные!$C$2:$C$722,2,Данные!$A$2:$A$722,"&gt;="&amp;77234050000,Данные!$A$2:$A$722,"&lt;="&amp;77234050999)</f>
        <v>0</v>
      </c>
      <c r="AQ52" s="65" t="n">
        <f aca="false">COUNTIFS(Данные!$B$2:$B$722,23,Данные!$C$2:$C$722,2,Данные!$A$2:$A$722,"&gt;="&amp;77234427000,Данные!$A$2:$A$722,"&lt;="&amp;77234428999)</f>
        <v>0</v>
      </c>
      <c r="AR52" s="65" t="n">
        <f aca="false">COUNTIFS(Данные!$B$2:$B$722,23,Данные!$C$2:$C$722,2,Данные!$A$2:$A$722,"&gt;="&amp;77234450000,Данные!$A$2:$A$722,"&lt;="&amp;77234450999)</f>
        <v>0</v>
      </c>
      <c r="AS52" s="65" t="n">
        <f aca="false">COUNTIFS(Данные!$B$2:$B$722,23,Данные!$C$2:$C$722,2,Данные!$A$2:$A$722,"&gt;="&amp;77234620000,Данные!$A$2:$A$722,"&lt;="&amp;77234620999)</f>
        <v>0</v>
      </c>
      <c r="AT52" s="65" t="n">
        <f aca="false">COUNTIFS(Данные!$B$2:$B$722,23,Данные!$C$2:$C$722,2,Данные!$A$2:$A$722,"&gt;="&amp;77234650000,Данные!$A$2:$A$722,"&lt;="&amp;77234650999)</f>
        <v>0</v>
      </c>
      <c r="AU52" s="65" t="n">
        <f aca="false">COUNTIFS(Данные!$B$2:$B$722,23,Данные!$C$2:$C$722,2,Данные!$A$2:$A$722,"&gt;="&amp;77234820000,Данные!$A$2:$A$722,"&lt;="&amp;77234820999)</f>
        <v>0</v>
      </c>
      <c r="AV52" s="65" t="n">
        <f aca="false">COUNTIFS(Данные!$B$2:$B$722,23,Данные!$C$2:$C$722,2,Данные!$A$2:$A$722,"&gt;="&amp;77234850000,Данные!$A$2:$A$722,"&lt;="&amp;77234850999)</f>
        <v>0</v>
      </c>
      <c r="AW52" s="65" t="n">
        <f aca="false">COUNTIFS(Данные!$B$2:$B$722,23,Данные!$C$2:$C$722,2,Данные!$A$2:$A$722,"&gt;="&amp;77233327000,Данные!$A$2:$A$722,"&lt;="&amp;77233327999)</f>
        <v>0</v>
      </c>
      <c r="AX52" s="65" t="n">
        <f aca="false">COUNTIFS(Данные!$B$2:$B$722,23,Данные!$C$2:$C$722,2,Данные!$A$2:$A$722,"&gt;="&amp;77233350000,Данные!$A$2:$A$722,"&lt;="&amp;77233350599)</f>
        <v>0</v>
      </c>
      <c r="AY52" s="65" t="n">
        <f aca="false">COUNTIFS(Данные!$B$2:$B$722,23,Данные!$C$2:$C$722,2,Данные!$A$2:$A$722,"&gt;="&amp;77233351000,Данные!$A$2:$A$722,"&lt;="&amp;77233351999)</f>
        <v>0</v>
      </c>
      <c r="AZ52" s="66" t="n">
        <f aca="false">COUNTIFS(Данные!$B$2:$B$722,23,Данные!$C$2:$C$722,2,Данные!$A$2:$A$722,"&gt;="&amp;7722440000,Данные!$A$2:$A$722,"&lt;="&amp;7722440999)</f>
        <v>0</v>
      </c>
      <c r="BA52" s="66" t="n">
        <f aca="false">COUNTIFS(Данные!$B$2:$B$722,23,Данные!$C$2:$C$722,2,Данные!$A$2:$A$722,"&gt;="&amp;7722442000,Данные!$A$2:$A$722,"&lt;="&amp;7722445659)</f>
        <v>0</v>
      </c>
      <c r="BB52" s="66" t="n">
        <f aca="false">COUNTIFS(Данные!$B$2:$B$722,23,Данные!$C$2:$C$722,2,Данные!$A$2:$A$722,"&gt;="&amp;7722450000,Данные!$A$2:$A$722,"&lt;="&amp;7722450199)</f>
        <v>0</v>
      </c>
      <c r="BC52" s="66" t="n">
        <f aca="false">COUNTIFS(Данные!$B$2:$B$722,23,Данные!$C$2:$C$722,2,Данные!$A$2:$A$722,"&gt;="&amp;7722451000,Данные!$A$2:$A$722,"&lt;="&amp;7722451374)</f>
        <v>0</v>
      </c>
      <c r="BD52" s="66" t="n">
        <f aca="false">COUNTIFS(Данные!$B$2:$B$722,23,Данные!$C$2:$C$722,2,Данные!$A$2:$A$722,"&gt;="&amp;7722452000,Данные!$A$2:$A$722,"&lt;="&amp;7722452299)</f>
        <v>0</v>
      </c>
      <c r="BE52" s="66" t="n">
        <f aca="false">COUNTIFS(Данные!$B$2:$B$722,23,Данные!$C$2:$C$722,2,Данные!$A$2:$A$722,"&gt;="&amp;7722453000,Данные!$A$2:$A$722,"&lt;="&amp;7722453816)</f>
        <v>0</v>
      </c>
      <c r="BF52" s="66" t="n">
        <f aca="false">COUNTIFS(Данные!$B$2:$B$722,23,Данные!$C$2:$C$722,2,Данные!$A$2:$A$722,"&gt;="&amp;7722454000,Данные!$A$2:$A$722,"&lt;="&amp;7722454099)</f>
        <v>0</v>
      </c>
      <c r="BG52" s="66" t="n">
        <f aca="false">COUNTIFS(Данные!$B$2:$B$722,23,Данные!$C$2:$C$722,2,Данные!$A$2:$A$722,"&gt;="&amp;7722458000,Данные!$A$2:$A$722,"&lt;="&amp;7722458999)</f>
        <v>0</v>
      </c>
      <c r="BH52" s="66" t="n">
        <f aca="false">COUNTIFS(Данные!$B$2:$B$722,23,Данные!$C$2:$C$722,2,Данные!$A$2:$A$722,"&gt;="&amp;7722630000,Данные!$A$2:$A$722,"&lt;="&amp;7722638549)</f>
        <v>0</v>
      </c>
      <c r="BI52" s="66" t="n">
        <f aca="false">COUNTIFS(Данные!$B$2:$B$722,23,Данные!$C$2:$C$722,2,Данные!$A$2:$A$722,"&gt;="&amp;7722639400,Данные!$A$2:$A$722,"&lt;="&amp;7722639899)</f>
        <v>0</v>
      </c>
      <c r="BJ52" s="66" t="n">
        <f aca="false">COUNTIFS(Данные!$B$2:$B$722,23,Данные!$C$2:$C$722,2,Данные!$A$2:$A$722,"&gt;="&amp;7725750000,Данные!$A$2:$A$722,"&lt;="&amp;7725750399)</f>
        <v>0</v>
      </c>
      <c r="BK52" s="66" t="n">
        <f aca="false">COUNTIFS(Данные!$B$2:$B$722,23,Данные!$C$2:$C$722,2,Данные!$A$2:$A$722,"&gt;="&amp;7723620000,Данные!$A$2:$A$722,"&lt;="&amp;7723621299)</f>
        <v>0</v>
      </c>
      <c r="BL52" s="66" t="n">
        <f aca="false">COUNTIFS(Данные!$B$2:$B$722,23,Данные!$C$2:$C$722,2,Данные!$A$2:$A$722,"&gt;="&amp;7723621600,Данные!$A$2:$A$722,"&lt;="&amp;7723623399)</f>
        <v>0</v>
      </c>
      <c r="BM52" s="66" t="n">
        <f aca="false">COUNTIFS(Данные!$B$2:$B$722,23,Данные!$C$2:$C$722,2,Данные!$A$2:$A$722,"&gt;="&amp;7725127000,Данные!$A$2:$A$722,"&lt;="&amp;7725127999)</f>
        <v>0</v>
      </c>
      <c r="BN52" s="66" t="n">
        <f aca="false">COUNTIFS(Данные!$B$2:$B$722,23,Данные!$C$2:$C$722,2,Данные!$A$2:$A$722,"&gt;="&amp;7723772000,Данные!$A$2:$A$722,"&lt;="&amp;7723724999)</f>
        <v>0</v>
      </c>
      <c r="BO52" s="65" t="n">
        <f aca="false">COUNTIFS(Данные!$B$2:$B$722,23,Данные!$C$2:$C$722,2,Данные!$A$2:$A$722,"&gt;="&amp;7723765000,Данные!$A$2:$A$722,"&lt;="&amp;7723765499)</f>
        <v>0</v>
      </c>
      <c r="BP52" s="66" t="n">
        <f aca="false">COUNTIFS(Данные!$B$2:$B$722,23,Данные!$C$2:$C$722,2,Данные!$A$2:$A$722,"&gt;="&amp;7723948000,Данные!$A$2:$A$722,"&lt;="&amp;7723948999)</f>
        <v>0</v>
      </c>
      <c r="BQ52" s="66" t="n">
        <f aca="false">COUNTIFS(Данные!$B$2:$B$722,23,Данные!$C$2:$C$722,2,Данные!$A$2:$A$722,"&gt;="&amp;7723950000,Данные!$A$2:$A$722,"&lt;="&amp;7723951099)</f>
        <v>0</v>
      </c>
      <c r="BR52" s="66" t="n">
        <f aca="false">COUNTIFS(Данные!$B$2:$B$722,23,Данные!$C$2:$C$722,2,Данные!$A$2:$A$722,"&gt;="&amp;7723020000,Данные!$A$2:$A$722,"&lt;="&amp;7723020999)</f>
        <v>0</v>
      </c>
      <c r="BS52" s="66" t="n">
        <f aca="false">COUNTIFS(Данные!$B$2:$B$722,23,Данные!$C$2:$C$722,2,Данные!$A$2:$A$722,"&gt;="&amp;7723029000,Данные!$A$2:$A$722,"&lt;="&amp;7723029999)</f>
        <v>0</v>
      </c>
      <c r="BT52" s="66" t="n">
        <f aca="false">COUNTIFS(Данные!$B$2:$B$722,23,Данные!$C$2:$C$722,2,Данные!$A$2:$A$722,"&gt;="&amp;7723055000,Данные!$A$2:$A$722,"&lt;="&amp;7723056549)</f>
        <v>0</v>
      </c>
      <c r="BU52" s="65" t="n">
        <f aca="false">COUNTIFS(Данные!$B$2:$B$722,23,Данные!$C$2:$C$722,2,Данные!$A$2:$A$722,"&gt;="&amp;7725250000,Данные!$A$2:$A$722,"&lt;="&amp;7725250499)</f>
        <v>0</v>
      </c>
      <c r="BV52" s="66" t="n">
        <f aca="false">COUNTIFS(Данные!$B$2:$B$722,23,Данные!$C$2:$C$722,2,Данные!$A$2:$A$722,"&gt;="&amp;7183841400,Данные!$A$2:$A$722,"&lt;="&amp;7183841499)</f>
        <v>0</v>
      </c>
      <c r="BW52" s="49" t="n">
        <v>300</v>
      </c>
      <c r="BX52" s="67" t="n">
        <f aca="false">F52-BW52</f>
        <v>-287</v>
      </c>
    </row>
    <row r="53" s="15" customFormat="true" ht="12" hidden="false" customHeight="true" outlineLevel="0" collapsed="false">
      <c r="A53" s="38" t="n">
        <v>24</v>
      </c>
      <c r="B53" s="39" t="s">
        <v>77</v>
      </c>
      <c r="C53" s="41" t="n">
        <v>0</v>
      </c>
      <c r="D53" s="41" t="n">
        <v>240</v>
      </c>
      <c r="E53" s="42" t="n">
        <f aca="false">SUM(F53:F55)</f>
        <v>20</v>
      </c>
      <c r="F53" s="62" t="n">
        <f aca="false">COUNTIFS(Данные!$B$2:$B$722,24,Данные!$C$2:$C$722,0)</f>
        <v>0</v>
      </c>
      <c r="G53" s="62" t="n">
        <f aca="false">COUNTIFS(Данные!$B$2:$B$722,24,Данные!$C$2:$C$722,0,Данные!$A$2:$A$722,"&gt;="&amp;77232210840,Данные!$A$2:$A$722,"&lt;="&amp;77232216999)</f>
        <v>0</v>
      </c>
      <c r="H53" s="62" t="n">
        <f aca="false">COUNTIFS(Данные!$B$2:$B$722,24,Данные!$C$2:$C$722,0,Данные!$A$2:$A$722,"&gt;="&amp;77232510512,Данные!$A$2:$A$722,"&lt;="&amp;77232519487)</f>
        <v>0</v>
      </c>
      <c r="I53" s="62" t="n">
        <f aca="false">COUNTIFS(Данные!$B$2:$B$722,24,Данные!$C$2:$C$722,0,Данные!$A$2:$A$722,"&gt;="&amp;77232524160,Данные!$A$2:$A$722,"&lt;="&amp;77232529999)</f>
        <v>0</v>
      </c>
      <c r="J53" s="62" t="n">
        <f aca="false">COUNTIFS(Данные!$B$2:$B$722,24,Данные!$C$2:$C$722,0,Данные!$A$2:$A$722,"&gt;="&amp;77232544000,Данные!$A$2:$A$722,"&lt;="&amp;77232544999)</f>
        <v>0</v>
      </c>
      <c r="K53" s="62" t="n">
        <f aca="false">COUNTIFS(Данные!$B$2:$B$722,24,Данные!$C$2:$C$722,0,Данные!$A$2:$A$722,"&gt;="&amp;77232295504,Данные!$A$2:$A$722,"&lt;="&amp;77232296999)</f>
        <v>0</v>
      </c>
      <c r="L53" s="62" t="n">
        <f aca="false">COUNTIFS(Данные!$B$2:$B$722,24,Данные!$C$2:$C$722,0,Данные!$A$2:$A$722,"&gt;="&amp;77232785000,Данные!$A$2:$A$722,"&lt;="&amp;77232789999)</f>
        <v>0</v>
      </c>
      <c r="M53" s="62" t="n">
        <f aca="false">COUNTIFS(Данные!$B$2:$B$722,24,Данные!$C$2:$C$722,0,Данные!$A$2:$A$722,"&gt;="&amp;77233150000,Данные!$A$2:$A$722,"&lt;="&amp;77233155999)</f>
        <v>0</v>
      </c>
      <c r="N53" s="62" t="n">
        <f aca="false">COUNTIFS(Данные!$B$2:$B$722,24,Данные!$C$2:$C$722,0,Данные!$A$2:$A$722,"&gt;="&amp;77233235000,Данные!$A$2:$A$722,"&lt;="&amp;77233235999)</f>
        <v>0</v>
      </c>
      <c r="O53" s="62" t="n">
        <f aca="false">COUNTIFS(Данные!$B$2:$B$722,24,Данные!$C$2:$C$722,0,Данные!$A$2:$A$722,"&gt;="&amp;77233239000,Данные!$A$2:$A$722,"&lt;="&amp;77233239999)</f>
        <v>0</v>
      </c>
      <c r="P53" s="62" t="n">
        <f aca="false">COUNTIFS(Данные!$B$2:$B$722,24,Данные!$C$2:$C$722,0,Данные!$A$2:$A$722,"&gt;="&amp;77233272000,Данные!$A$2:$A$722,"&lt;="&amp;77233272999)</f>
        <v>0</v>
      </c>
      <c r="Q53" s="62" t="n">
        <f aca="false">COUNTIFS(Данные!$B$2:$B$722,24,Данные!$C$2:$C$722,0,Данные!$A$2:$A$722,"&gt;="&amp;77233291100,Данные!$A$2:$A$722,"&lt;="&amp;77233292999)</f>
        <v>0</v>
      </c>
      <c r="R53" s="62" t="n">
        <f aca="false">COUNTIFS(Данные!$B$2:$B$722,24,Данные!$C$2:$C$722,0,Данные!$A$2:$A$722,"&gt;="&amp;77233297000,Данные!$A$2:$A$722,"&lt;="&amp;77233298399)</f>
        <v>0</v>
      </c>
      <c r="S53" s="62" t="n">
        <f aca="false">COUNTIFS(Данные!$B$2:$B$722,24,Данные!$C$2:$C$722,0,Данные!$A$2:$A$722,"&gt;="&amp;77235124000,Данные!$A$2:$A$722,"&lt;="&amp;77235128499)</f>
        <v>0</v>
      </c>
      <c r="T53" s="62" t="n">
        <f aca="false">COUNTIFS(Данные!$B$2:$B$722,24,Данные!$C$2:$C$722,0,Данные!$A$2:$A$722,"&gt;="&amp;77235320000,Данные!$A$2:$A$722,"&lt;="&amp;77235320999)</f>
        <v>0</v>
      </c>
      <c r="U53" s="62" t="n">
        <f aca="false">COUNTIFS(Данные!$B$2:$B$722,24,Данные!$C$2:$C$722,0,Данные!$A$2:$A$722,"&gt;="&amp;77233620000,Данные!$A$2:$A$722,"&lt;="&amp;77233623339)</f>
        <v>0</v>
      </c>
      <c r="V53" s="62" t="n">
        <f aca="false">COUNTIFS(Данные!$B$2:$B$722,24,Данные!$C$2:$C$722,0,Данные!$A$2:$A$722,"&gt;="&amp;77233630000,Данные!$A$2:$A$722,"&lt;="&amp;77233630999)</f>
        <v>0</v>
      </c>
      <c r="W53" s="62" t="n">
        <f aca="false">COUNTIFS(Данные!$B$2:$B$722,24,Данные!$C$2:$C$722,0,Данные!$A$2:$A$722,"&gt;="&amp;77233637000,Данные!$A$2:$A$722,"&lt;="&amp;77233637599)</f>
        <v>0</v>
      </c>
      <c r="X53" s="62" t="n">
        <f aca="false">COUNTIFS(Данные!$B$2:$B$722,24,Данные!$C$2:$C$722,0,Данные!$A$2:$A$722,"&gt;="&amp;77233550000,Данные!$A$2:$A$722,"&lt;="&amp;77233550999)</f>
        <v>0</v>
      </c>
      <c r="Y53" s="62" t="n">
        <f aca="false">COUNTIFS(Данные!$B$2:$B$722,24,Данные!$C$2:$C$722,0,Данные!$A$2:$A$722,"&gt;="&amp;77233554000,Данные!$A$2:$A$722,"&lt;="&amp;77233554999)</f>
        <v>0</v>
      </c>
      <c r="Z53" s="62" t="n">
        <f aca="false">COUNTIFS(Данные!$B$2:$B$722,24,Данные!$C$2:$C$722,0,Данные!$A$2:$A$722,"&gt;="&amp;77233555000,Данные!$A$2:$A$722,"&lt;="&amp;77233556999)</f>
        <v>0</v>
      </c>
      <c r="AA53" s="62" t="n">
        <f aca="false">COUNTIFS(Данные!$B$2:$B$722,24,Данные!$C$2:$C$722,0,Данные!$A$2:$A$722,"&gt;="&amp;77233726000,Данные!$A$2:$A$722,"&lt;="&amp;77233726999)</f>
        <v>0</v>
      </c>
      <c r="AB53" s="62" t="n">
        <f aca="false">COUNTIFS(Данные!$B$2:$B$722,24,Данные!$C$2:$C$722,0,Данные!$A$2:$A$722,"&gt;="&amp;77233820000,Данные!$A$2:$A$722,"&lt;="&amp;77233820999)</f>
        <v>0</v>
      </c>
      <c r="AC53" s="62" t="n">
        <f aca="false">COUNTIFS(Данные!$B$2:$B$722,24,Данные!$C$2:$C$722,0,Данные!$A$2:$A$722,"&gt;="&amp;77233850000,Данные!$A$2:$A$722,"&lt;="&amp;77233850999)</f>
        <v>0</v>
      </c>
      <c r="AD53" s="62" t="n">
        <f aca="false">COUNTIFS(Данные!$B$2:$B$722,24,Данные!$C$2:$C$722,0,Данные!$A$2:$A$722,"&gt;="&amp;77233420000,Данные!$A$2:$A$722,"&lt;="&amp;77233420999)</f>
        <v>0</v>
      </c>
      <c r="AE53" s="62" t="n">
        <f aca="false">COUNTIFS(Данные!$B$2:$B$722,24,Данные!$C$2:$C$722,0,Данные!$A$2:$A$722,"&gt;="&amp;77234740000,Данные!$A$2:$A$722,"&lt;="&amp;77234742999)</f>
        <v>0</v>
      </c>
      <c r="AF53" s="62" t="n">
        <f aca="false">COUNTIFS(Данные!$B$2:$B$722,24,Данные!$C$2:$C$722,0,Данные!$A$2:$A$722,"&gt;="&amp;77234767000,Данные!$A$2:$A$722,"&lt;="&amp;77234767999)</f>
        <v>0</v>
      </c>
      <c r="AG53" s="62" t="n">
        <f aca="false">COUNTIFS(Данные!$B$2:$B$722,24,Данные!$C$2:$C$722,0,Данные!$A$2:$A$722,"&gt;="&amp;77234120000,Данные!$A$2:$A$722,"&lt;="&amp;77234120999)</f>
        <v>0</v>
      </c>
      <c r="AH53" s="62" t="n">
        <f aca="false">COUNTIFS(Данные!$B$2:$B$722,24,Данные!$C$2:$C$722,0,Данные!$A$2:$A$722,"&gt;="&amp;77234127000,Данные!$A$2:$A$722,"&lt;="&amp;77234127999)</f>
        <v>0</v>
      </c>
      <c r="AI53" s="62" t="n">
        <f aca="false">COUNTIFS(Данные!$B$2:$B$722,24,Данные!$C$2:$C$722,0,Данные!$A$2:$A$722,"&gt;="&amp;77234220000,Данные!$A$2:$A$722,"&lt;="&amp;77234220999)</f>
        <v>0</v>
      </c>
      <c r="AJ53" s="62" t="n">
        <f aca="false">COUNTIFS(Данные!$B$2:$B$722,24,Данные!$C$2:$C$722,0,Данные!$A$2:$A$722,"&gt;="&amp;77234250000,Данные!$A$2:$A$722,"&lt;="&amp;77234250999)</f>
        <v>0</v>
      </c>
      <c r="AK53" s="62" t="n">
        <f aca="false">COUNTIFS(Данные!$B$2:$B$722,24,Данные!$C$2:$C$722,0,Данные!$A$2:$A$722,"&gt;="&amp;77233922950,Данные!$A$2:$A$722,"&lt;="&amp;77233924999)</f>
        <v>0</v>
      </c>
      <c r="AL53" s="62" t="n">
        <f aca="false">COUNTIFS(Данные!$B$2:$B$722,24,Данные!$C$2:$C$722,0,Данные!$A$2:$A$722,"&gt;="&amp;77234320000,Данные!$A$2:$A$722,"&lt;="&amp;77234320999)</f>
        <v>0</v>
      </c>
      <c r="AM53" s="62" t="n">
        <f aca="false">COUNTIFS(Данные!$B$2:$B$722,24,Данные!$C$2:$C$722,0,Данные!$A$2:$A$722,"&gt;="&amp;77234350000,Данные!$A$2:$A$722,"&lt;="&amp;77234350999)</f>
        <v>0</v>
      </c>
      <c r="AN53" s="62" t="n">
        <f aca="false">COUNTIFS(Данные!$B$2:$B$722,24,Данные!$C$2:$C$722,0,Данные!$A$2:$A$722,"&gt;="&amp;77234020000,Данные!$A$2:$A$722,"&lt;="&amp;77234020999)</f>
        <v>0</v>
      </c>
      <c r="AO53" s="62" t="n">
        <f aca="false">COUNTIFS(Данные!$B$2:$B$722,24,Данные!$C$2:$C$722,0,Данные!$A$2:$A$722,"&gt;="&amp;77234029000,Данные!$A$2:$A$722,"&lt;="&amp;77234029999)</f>
        <v>0</v>
      </c>
      <c r="AP53" s="62" t="n">
        <f aca="false">COUNTIFS(Данные!$B$2:$B$722,24,Данные!$C$2:$C$722,0,Данные!$A$2:$A$722,"&gt;="&amp;77234050000,Данные!$A$2:$A$722,"&lt;="&amp;77234050999)</f>
        <v>0</v>
      </c>
      <c r="AQ53" s="62" t="n">
        <f aca="false">COUNTIFS(Данные!$B$2:$B$722,24,Данные!$C$2:$C$722,0,Данные!$A$2:$A$722,"&gt;="&amp;77234427000,Данные!$A$2:$A$722,"&lt;="&amp;77234428999)</f>
        <v>0</v>
      </c>
      <c r="AR53" s="62" t="n">
        <f aca="false">COUNTIFS(Данные!$B$2:$B$722,24,Данные!$C$2:$C$722,0,Данные!$A$2:$A$722,"&gt;="&amp;77234450000,Данные!$A$2:$A$722,"&lt;="&amp;77234450999)</f>
        <v>0</v>
      </c>
      <c r="AS53" s="62" t="n">
        <f aca="false">COUNTIFS(Данные!$B$2:$B$722,24,Данные!$C$2:$C$722,0,Данные!$A$2:$A$722,"&gt;="&amp;77234620000,Данные!$A$2:$A$722,"&lt;="&amp;77234620999)</f>
        <v>0</v>
      </c>
      <c r="AT53" s="62" t="n">
        <f aca="false">COUNTIFS(Данные!$B$2:$B$722,24,Данные!$C$2:$C$722,0,Данные!$A$2:$A$722,"&gt;="&amp;77234650000,Данные!$A$2:$A$722,"&lt;="&amp;77234650999)</f>
        <v>0</v>
      </c>
      <c r="AU53" s="62" t="n">
        <f aca="false">COUNTIFS(Данные!$B$2:$B$722,24,Данные!$C$2:$C$722,0,Данные!$A$2:$A$722,"&gt;="&amp;77234820000,Данные!$A$2:$A$722,"&lt;="&amp;77234820999)</f>
        <v>0</v>
      </c>
      <c r="AV53" s="62" t="n">
        <f aca="false">COUNTIFS(Данные!$B$2:$B$722,24,Данные!$C$2:$C$722,0,Данные!$A$2:$A$722,"&gt;="&amp;77234850000,Данные!$A$2:$A$722,"&lt;="&amp;77234850999)</f>
        <v>0</v>
      </c>
      <c r="AW53" s="62" t="n">
        <f aca="false">COUNTIFS(Данные!$B$2:$B$722,24,Данные!$C$2:$C$722,0,Данные!$A$2:$A$722,"&gt;="&amp;77233327000,Данные!$A$2:$A$722,"&lt;="&amp;77233327999)</f>
        <v>0</v>
      </c>
      <c r="AX53" s="62" t="n">
        <f aca="false">COUNTIFS(Данные!$B$2:$B$722,24,Данные!$C$2:$C$722,0,Данные!$A$2:$A$722,"&gt;="&amp;77233350000,Данные!$A$2:$A$722,"&lt;="&amp;77233350599)</f>
        <v>0</v>
      </c>
      <c r="AY53" s="62" t="n">
        <f aca="false">COUNTIFS(Данные!$B$2:$B$722,24,Данные!$C$2:$C$722,0,Данные!$A$2:$A$722,"&gt;="&amp;77233351000,Данные!$A$2:$A$722,"&lt;="&amp;77233351999)</f>
        <v>0</v>
      </c>
      <c r="AZ53" s="62" t="n">
        <f aca="false">COUNTIFS(Данные!$B$2:$B$722,24,Данные!$C$2:$C$722,0,Данные!$A$2:$A$722,"&gt;="&amp;7722440000,Данные!$A$2:$A$722,"&lt;="&amp;7722440999)</f>
        <v>0</v>
      </c>
      <c r="BA53" s="63" t="n">
        <f aca="false">COUNTIFS(Данные!$B$2:$B$722,24,Данные!$C$2:$C$722,0,Данные!$A$2:$A$722,"&gt;="&amp;7722442000,Данные!$A$2:$A$722,"&lt;="&amp;7722445659)</f>
        <v>0</v>
      </c>
      <c r="BB53" s="63" t="n">
        <f aca="false">COUNTIFS(Данные!$B$2:$B$722,24,Данные!$C$2:$C$722,0,Данные!$A$2:$A$722,"&gt;="&amp;7722450000,Данные!$A$2:$A$722,"&lt;="&amp;7722450199)</f>
        <v>0</v>
      </c>
      <c r="BC53" s="63" t="n">
        <f aca="false">COUNTIFS(Данные!$B$2:$B$722,24,Данные!$C$2:$C$722,0,Данные!$A$2:$A$722,"&gt;="&amp;7722451000,Данные!$A$2:$A$722,"&lt;="&amp;7722451374)</f>
        <v>0</v>
      </c>
      <c r="BD53" s="63" t="n">
        <f aca="false">COUNTIFS(Данные!$B$2:$B$722,24,Данные!$C$2:$C$722,0,Данные!$A$2:$A$722,"&gt;="&amp;7722452000,Данные!$A$2:$A$722,"&lt;="&amp;7722452299)</f>
        <v>0</v>
      </c>
      <c r="BE53" s="63" t="n">
        <f aca="false">COUNTIFS(Данные!$B$2:$B$722,24,Данные!$C$2:$C$722,0,Данные!$A$2:$A$722,"&gt;="&amp;7722453000,Данные!$A$2:$A$722,"&lt;="&amp;7722453816)</f>
        <v>0</v>
      </c>
      <c r="BF53" s="63" t="n">
        <f aca="false">COUNTIFS(Данные!$B$2:$B$722,24,Данные!$C$2:$C$722,0,Данные!$A$2:$A$722,"&gt;="&amp;7722454000,Данные!$A$2:$A$722,"&lt;="&amp;7722454099)</f>
        <v>0</v>
      </c>
      <c r="BG53" s="63" t="n">
        <f aca="false">COUNTIFS(Данные!$B$2:$B$722,24,Данные!$C$2:$C$722,0,Данные!$A$2:$A$722,"&gt;="&amp;7722458000,Данные!$A$2:$A$722,"&lt;="&amp;7722458999)</f>
        <v>0</v>
      </c>
      <c r="BH53" s="63" t="n">
        <f aca="false">COUNTIFS(Данные!$B$2:$B$722,24,Данные!$C$2:$C$722,0,Данные!$A$2:$A$722,"&gt;="&amp;7722630000,Данные!$A$2:$A$722,"&lt;="&amp;7722638549)</f>
        <v>0</v>
      </c>
      <c r="BI53" s="63" t="n">
        <f aca="false">COUNTIFS(Данные!$B$2:$B$722,24,Данные!$C$2:$C$722,0,Данные!$A$2:$A$722,"&gt;="&amp;7722639400,Данные!$A$2:$A$722,"&lt;="&amp;7722639899)</f>
        <v>0</v>
      </c>
      <c r="BJ53" s="63" t="n">
        <f aca="false">COUNTIFS(Данные!$B$2:$B$722,24,Данные!$C$2:$C$722,0,Данные!$A$2:$A$722,"&gt;="&amp;7725750000,Данные!$A$2:$A$722,"&lt;="&amp;7725750399)</f>
        <v>0</v>
      </c>
      <c r="BK53" s="63" t="n">
        <f aca="false">COUNTIFS(Данные!$B$2:$B$722,24,Данные!$C$2:$C$722,0,Данные!$A$2:$A$722,"&gt;="&amp;7723620000,Данные!$A$2:$A$722,"&lt;="&amp;7723621299)</f>
        <v>0</v>
      </c>
      <c r="BL53" s="63" t="n">
        <f aca="false">COUNTIFS(Данные!$B$2:$B$722,24,Данные!$C$2:$C$722,0,Данные!$A$2:$A$722,"&gt;="&amp;7723621600,Данные!$A$2:$A$722,"&lt;="&amp;7723623399)</f>
        <v>0</v>
      </c>
      <c r="BM53" s="63" t="n">
        <f aca="false">COUNTIFS(Данные!$B$2:$B$722,24,Данные!$C$2:$C$722,0,Данные!$A$2:$A$722,"&gt;="&amp;7725127000,Данные!$A$2:$A$722,"&lt;="&amp;7725127999)</f>
        <v>0</v>
      </c>
      <c r="BN53" s="63" t="n">
        <f aca="false">COUNTIFS(Данные!$B$2:$B$722,24,Данные!$C$2:$C$722,0,Данные!$A$2:$A$722,"&gt;="&amp;7723772000,Данные!$A$2:$A$722,"&lt;="&amp;7723724999)</f>
        <v>0</v>
      </c>
      <c r="BO53" s="62" t="n">
        <f aca="false">COUNTIFS(Данные!$B$2:$B$722,24,Данные!$C$2:$C$722,0,Данные!$A$2:$A$722,"&gt;="&amp;7723765000,Данные!$A$2:$A$722,"&lt;="&amp;7723765499)</f>
        <v>0</v>
      </c>
      <c r="BP53" s="63" t="n">
        <f aca="false">COUNTIFS(Данные!$B$2:$B$722,24,Данные!$C$2:$C$722,0,Данные!$A$2:$A$722,"&gt;="&amp;7723948000,Данные!$A$2:$A$722,"&lt;="&amp;7723948999)</f>
        <v>0</v>
      </c>
      <c r="BQ53" s="63" t="n">
        <f aca="false">COUNTIFS(Данные!$B$2:$B$722,24,Данные!$C$2:$C$722,0,Данные!$A$2:$A$722,"&gt;="&amp;7723950000,Данные!$A$2:$A$722,"&lt;="&amp;7723951099)</f>
        <v>0</v>
      </c>
      <c r="BR53" s="63" t="n">
        <f aca="false">COUNTIFS(Данные!$B$2:$B$722,24,Данные!$C$2:$C$722,0,Данные!$A$2:$A$722,"&gt;="&amp;7723020000,Данные!$A$2:$A$722,"&lt;="&amp;7723020999)</f>
        <v>0</v>
      </c>
      <c r="BS53" s="63" t="n">
        <f aca="false">COUNTIFS(Данные!$B$2:$B$722,24,Данные!$C$2:$C$722,0,Данные!$A$2:$A$722,"&gt;="&amp;7723029000,Данные!$A$2:$A$722,"&lt;="&amp;7723029999)</f>
        <v>0</v>
      </c>
      <c r="BT53" s="63" t="n">
        <f aca="false">COUNTIFS(Данные!$B$2:$B$722,24,Данные!$C$2:$C$722,0,Данные!$A$2:$A$722,"&gt;="&amp;7723055000,Данные!$A$2:$A$722,"&lt;="&amp;7723056549)</f>
        <v>0</v>
      </c>
      <c r="BU53" s="62" t="n">
        <f aca="false">COUNTIFS(Данные!$B$2:$B$722,24,Данные!$C$2:$C$722,0,Данные!$A$2:$A$722,"&gt;="&amp;7725250000,Данные!$A$2:$A$722,"&lt;="&amp;7725250499)</f>
        <v>0</v>
      </c>
      <c r="BV53" s="63" t="n">
        <f aca="false">COUNTIFS(Данные!$B$2:$B$722,24,Данные!$C$2:$C$722,0,Данные!$A$2:$A$722,"&gt;="&amp;7183841400,Данные!$A$2:$A$722,"&lt;="&amp;7183841499)</f>
        <v>0</v>
      </c>
      <c r="BW53" s="40" t="n">
        <v>300</v>
      </c>
      <c r="BX53" s="64" t="n">
        <f aca="false">F53-BW53</f>
        <v>-300</v>
      </c>
    </row>
    <row r="54" s="15" customFormat="true" ht="12" hidden="false" customHeight="true" outlineLevel="0" collapsed="false">
      <c r="A54" s="38"/>
      <c r="B54" s="39"/>
      <c r="C54" s="41" t="n">
        <v>1</v>
      </c>
      <c r="D54" s="41" t="n">
        <v>241</v>
      </c>
      <c r="E54" s="42"/>
      <c r="F54" s="62" t="n">
        <f aca="false">COUNTIFS(Данные!$B$2:$B$722,24,Данные!$C$2:$C$722,1)</f>
        <v>3</v>
      </c>
      <c r="G54" s="62" t="n">
        <f aca="false">COUNTIFS(Данные!$B$2:$B$722,24,Данные!$C$2:$C$722,1,Данные!$A$2:$A$722,"&gt;="&amp;77232210840,Данные!$A$2:$A$722,"&lt;="&amp;77232216999)</f>
        <v>0</v>
      </c>
      <c r="H54" s="62" t="n">
        <f aca="false">COUNTIFS(Данные!$B$2:$B$722,24,Данные!$C$2:$C$722,1,Данные!$A$2:$A$722,"&gt;="&amp;77232510512,Данные!$A$2:$A$722,"&lt;="&amp;77232519487)</f>
        <v>0</v>
      </c>
      <c r="I54" s="62" t="n">
        <f aca="false">COUNTIFS(Данные!$B$2:$B$722,24,Данные!$C$2:$C$722,1,Данные!$A$2:$A$722,"&gt;="&amp;77232524160,Данные!$A$2:$A$722,"&lt;="&amp;77232529999)</f>
        <v>0</v>
      </c>
      <c r="J54" s="62" t="n">
        <f aca="false">COUNTIFS(Данные!$B$2:$B$722,24,Данные!$C$2:$C$722,1,Данные!$A$2:$A$722,"&gt;="&amp;77232544000,Данные!$A$2:$A$722,"&lt;="&amp;77232544999)</f>
        <v>0</v>
      </c>
      <c r="K54" s="62" t="n">
        <f aca="false">COUNTIFS(Данные!$B$2:$B$722,24,Данные!$C$2:$C$722,1,Данные!$A$2:$A$722,"&gt;="&amp;77232295504,Данные!$A$2:$A$722,"&lt;="&amp;77232296999)</f>
        <v>0</v>
      </c>
      <c r="L54" s="62" t="n">
        <f aca="false">COUNTIFS(Данные!$B$2:$B$722,24,Данные!$C$2:$C$722,1,Данные!$A$2:$A$722,"&gt;="&amp;77232785000,Данные!$A$2:$A$722,"&lt;="&amp;77232789999)</f>
        <v>0</v>
      </c>
      <c r="M54" s="62" t="n">
        <f aca="false">COUNTIFS(Данные!$B$2:$B$722,24,Данные!$C$2:$C$722,1,Данные!$A$2:$A$722,"&gt;="&amp;77233150000,Данные!$A$2:$A$722,"&lt;="&amp;77233155999)</f>
        <v>0</v>
      </c>
      <c r="N54" s="62" t="n">
        <f aca="false">COUNTIFS(Данные!$B$2:$B$722,24,Данные!$C$2:$C$722,1,Данные!$A$2:$A$722,"&gt;="&amp;77233235000,Данные!$A$2:$A$722,"&lt;="&amp;77233235999)</f>
        <v>0</v>
      </c>
      <c r="O54" s="62" t="n">
        <f aca="false">COUNTIFS(Данные!$B$2:$B$722,24,Данные!$C$2:$C$722,1,Данные!$A$2:$A$722,"&gt;="&amp;77233239000,Данные!$A$2:$A$722,"&lt;="&amp;77233239999)</f>
        <v>0</v>
      </c>
      <c r="P54" s="62" t="n">
        <f aca="false">COUNTIFS(Данные!$B$2:$B$722,24,Данные!$C$2:$C$722,1,Данные!$A$2:$A$722,"&gt;="&amp;77233272000,Данные!$A$2:$A$722,"&lt;="&amp;77233272999)</f>
        <v>0</v>
      </c>
      <c r="Q54" s="62" t="n">
        <f aca="false">COUNTIFS(Данные!$B$2:$B$722,24,Данные!$C$2:$C$722,1,Данные!$A$2:$A$722,"&gt;="&amp;77233291100,Данные!$A$2:$A$722,"&lt;="&amp;77233292999)</f>
        <v>0</v>
      </c>
      <c r="R54" s="62" t="n">
        <f aca="false">COUNTIFS(Данные!$B$2:$B$722,24,Данные!$C$2:$C$722,1,Данные!$A$2:$A$722,"&gt;="&amp;77233297000,Данные!$A$2:$A$722,"&lt;="&amp;77233298399)</f>
        <v>0</v>
      </c>
      <c r="S54" s="62" t="n">
        <f aca="false">COUNTIFS(Данные!$B$2:$B$722,24,Данные!$C$2:$C$722,1,Данные!$A$2:$A$722,"&gt;="&amp;77235124000,Данные!$A$2:$A$722,"&lt;="&amp;77235128499)</f>
        <v>0</v>
      </c>
      <c r="T54" s="62" t="n">
        <f aca="false">COUNTIFS(Данные!$B$2:$B$722,24,Данные!$C$2:$C$722,1,Данные!$A$2:$A$722,"&gt;="&amp;77235320000,Данные!$A$2:$A$722,"&lt;="&amp;77235320999)</f>
        <v>0</v>
      </c>
      <c r="U54" s="62" t="n">
        <f aca="false">COUNTIFS(Данные!$B$2:$B$722,24,Данные!$C$2:$C$722,1,Данные!$A$2:$A$722,"&gt;="&amp;77233620000,Данные!$A$2:$A$722,"&lt;="&amp;77233623339)</f>
        <v>0</v>
      </c>
      <c r="V54" s="62" t="n">
        <f aca="false">COUNTIFS(Данные!$B$2:$B$722,24,Данные!$C$2:$C$722,1,Данные!$A$2:$A$722,"&gt;="&amp;77233630000,Данные!$A$2:$A$722,"&lt;="&amp;77233630999)</f>
        <v>0</v>
      </c>
      <c r="W54" s="62" t="n">
        <f aca="false">COUNTIFS(Данные!$B$2:$B$722,24,Данные!$C$2:$C$722,1,Данные!$A$2:$A$722,"&gt;="&amp;77233637000,Данные!$A$2:$A$722,"&lt;="&amp;77233637599)</f>
        <v>0</v>
      </c>
      <c r="X54" s="62" t="n">
        <f aca="false">COUNTIFS(Данные!$B$2:$B$722,24,Данные!$C$2:$C$722,1,Данные!$A$2:$A$722,"&gt;="&amp;77233550000,Данные!$A$2:$A$722,"&lt;="&amp;77233550999)</f>
        <v>0</v>
      </c>
      <c r="Y54" s="62" t="n">
        <f aca="false">COUNTIFS(Данные!$B$2:$B$722,24,Данные!$C$2:$C$722,1,Данные!$A$2:$A$722,"&gt;="&amp;77233554000,Данные!$A$2:$A$722,"&lt;="&amp;77233554999)</f>
        <v>0</v>
      </c>
      <c r="Z54" s="62" t="n">
        <f aca="false">COUNTIFS(Данные!$B$2:$B$722,24,Данные!$C$2:$C$722,1,Данные!$A$2:$A$722,"&gt;="&amp;77233555000,Данные!$A$2:$A$722,"&lt;="&amp;77233556999)</f>
        <v>0</v>
      </c>
      <c r="AA54" s="62" t="n">
        <f aca="false">COUNTIFS(Данные!$B$2:$B$722,24,Данные!$C$2:$C$722,1,Данные!$A$2:$A$722,"&gt;="&amp;77233726000,Данные!$A$2:$A$722,"&lt;="&amp;77233726999)</f>
        <v>0</v>
      </c>
      <c r="AB54" s="62" t="n">
        <f aca="false">COUNTIFS(Данные!$B$2:$B$722,24,Данные!$C$2:$C$722,1,Данные!$A$2:$A$722,"&gt;="&amp;77233820000,Данные!$A$2:$A$722,"&lt;="&amp;77233820999)</f>
        <v>0</v>
      </c>
      <c r="AC54" s="62" t="n">
        <f aca="false">COUNTIFS(Данные!$B$2:$B$722,24,Данные!$C$2:$C$722,1,Данные!$A$2:$A$722,"&gt;="&amp;77233850000,Данные!$A$2:$A$722,"&lt;="&amp;77233850999)</f>
        <v>0</v>
      </c>
      <c r="AD54" s="62" t="n">
        <f aca="false">COUNTIFS(Данные!$B$2:$B$722,24,Данные!$C$2:$C$722,1,Данные!$A$2:$A$722,"&gt;="&amp;77233420000,Данные!$A$2:$A$722,"&lt;="&amp;77233420999)</f>
        <v>0</v>
      </c>
      <c r="AE54" s="62" t="n">
        <f aca="false">COUNTIFS(Данные!$B$2:$B$722,24,Данные!$C$2:$C$722,1,Данные!$A$2:$A$722,"&gt;="&amp;77234740000,Данные!$A$2:$A$722,"&lt;="&amp;77234742999)</f>
        <v>1</v>
      </c>
      <c r="AF54" s="62" t="n">
        <f aca="false">COUNTIFS(Данные!$B$2:$B$722,24,Данные!$C$2:$C$722,1,Данные!$A$2:$A$722,"&gt;="&amp;77234767000,Данные!$A$2:$A$722,"&lt;="&amp;77234767999)</f>
        <v>0</v>
      </c>
      <c r="AG54" s="62" t="n">
        <f aca="false">COUNTIFS(Данные!$B$2:$B$722,24,Данные!$C$2:$C$722,1,Данные!$A$2:$A$722,"&gt;="&amp;77234120000,Данные!$A$2:$A$722,"&lt;="&amp;77234120999)</f>
        <v>0</v>
      </c>
      <c r="AH54" s="62" t="n">
        <f aca="false">COUNTIFS(Данные!$B$2:$B$722,24,Данные!$C$2:$C$722,1,Данные!$A$2:$A$722,"&gt;="&amp;77234127000,Данные!$A$2:$A$722,"&lt;="&amp;77234127999)</f>
        <v>0</v>
      </c>
      <c r="AI54" s="62" t="n">
        <f aca="false">COUNTIFS(Данные!$B$2:$B$722,24,Данные!$C$2:$C$722,1,Данные!$A$2:$A$722,"&gt;="&amp;77234220000,Данные!$A$2:$A$722,"&lt;="&amp;77234220999)</f>
        <v>0</v>
      </c>
      <c r="AJ54" s="62" t="n">
        <f aca="false">COUNTIFS(Данные!$B$2:$B$722,24,Данные!$C$2:$C$722,1,Данные!$A$2:$A$722,"&gt;="&amp;77234250000,Данные!$A$2:$A$722,"&lt;="&amp;77234250999)</f>
        <v>0</v>
      </c>
      <c r="AK54" s="62" t="n">
        <f aca="false">COUNTIFS(Данные!$B$2:$B$722,24,Данные!$C$2:$C$722,1,Данные!$A$2:$A$722,"&gt;="&amp;77233922950,Данные!$A$2:$A$722,"&lt;="&amp;77233924999)</f>
        <v>0</v>
      </c>
      <c r="AL54" s="62" t="n">
        <f aca="false">COUNTIFS(Данные!$B$2:$B$722,24,Данные!$C$2:$C$722,1,Данные!$A$2:$A$722,"&gt;="&amp;77234320000,Данные!$A$2:$A$722,"&lt;="&amp;77234320999)</f>
        <v>0</v>
      </c>
      <c r="AM54" s="62" t="n">
        <f aca="false">COUNTIFS(Данные!$B$2:$B$722,24,Данные!$C$2:$C$722,1,Данные!$A$2:$A$722,"&gt;="&amp;77234350000,Данные!$A$2:$A$722,"&lt;="&amp;77234350999)</f>
        <v>0</v>
      </c>
      <c r="AN54" s="62" t="n">
        <f aca="false">COUNTIFS(Данные!$B$2:$B$722,24,Данные!$C$2:$C$722,1,Данные!$A$2:$A$722,"&gt;="&amp;77234020000,Данные!$A$2:$A$722,"&lt;="&amp;77234020999)</f>
        <v>0</v>
      </c>
      <c r="AO54" s="62" t="n">
        <f aca="false">COUNTIFS(Данные!$B$2:$B$722,24,Данные!$C$2:$C$722,1,Данные!$A$2:$A$722,"&gt;="&amp;77234029000,Данные!$A$2:$A$722,"&lt;="&amp;77234029999)</f>
        <v>0</v>
      </c>
      <c r="AP54" s="62" t="n">
        <f aca="false">COUNTIFS(Данные!$B$2:$B$722,24,Данные!$C$2:$C$722,1,Данные!$A$2:$A$722,"&gt;="&amp;77234050000,Данные!$A$2:$A$722,"&lt;="&amp;77234050999)</f>
        <v>0</v>
      </c>
      <c r="AQ54" s="62" t="n">
        <f aca="false">COUNTIFS(Данные!$B$2:$B$722,24,Данные!$C$2:$C$722,1,Данные!$A$2:$A$722,"&gt;="&amp;77234427000,Данные!$A$2:$A$722,"&lt;="&amp;77234428999)</f>
        <v>0</v>
      </c>
      <c r="AR54" s="62" t="n">
        <f aca="false">COUNTIFS(Данные!$B$2:$B$722,24,Данные!$C$2:$C$722,1,Данные!$A$2:$A$722,"&gt;="&amp;77234450000,Данные!$A$2:$A$722,"&lt;="&amp;77234450999)</f>
        <v>0</v>
      </c>
      <c r="AS54" s="62" t="n">
        <f aca="false">COUNTIFS(Данные!$B$2:$B$722,24,Данные!$C$2:$C$722,1,Данные!$A$2:$A$722,"&gt;="&amp;77234620000,Данные!$A$2:$A$722,"&lt;="&amp;77234620999)</f>
        <v>0</v>
      </c>
      <c r="AT54" s="62" t="n">
        <f aca="false">COUNTIFS(Данные!$B$2:$B$722,24,Данные!$C$2:$C$722,1,Данные!$A$2:$A$722,"&gt;="&amp;77234650000,Данные!$A$2:$A$722,"&lt;="&amp;77234650999)</f>
        <v>0</v>
      </c>
      <c r="AU54" s="62" t="n">
        <f aca="false">COUNTIFS(Данные!$B$2:$B$722,24,Данные!$C$2:$C$722,1,Данные!$A$2:$A$722,"&gt;="&amp;77234820000,Данные!$A$2:$A$722,"&lt;="&amp;77234820999)</f>
        <v>0</v>
      </c>
      <c r="AV54" s="62" t="n">
        <f aca="false">COUNTIFS(Данные!$B$2:$B$722,24,Данные!$C$2:$C$722,1,Данные!$A$2:$A$722,"&gt;="&amp;77234850000,Данные!$A$2:$A$722,"&lt;="&amp;77234850999)</f>
        <v>0</v>
      </c>
      <c r="AW54" s="62" t="n">
        <f aca="false">COUNTIFS(Данные!$B$2:$B$722,24,Данные!$C$2:$C$722,1,Данные!$A$2:$A$722,"&gt;="&amp;77233327000,Данные!$A$2:$A$722,"&lt;="&amp;77233327999)</f>
        <v>0</v>
      </c>
      <c r="AX54" s="62" t="n">
        <f aca="false">COUNTIFS(Данные!$B$2:$B$722,24,Данные!$C$2:$C$722,1,Данные!$A$2:$A$722,"&gt;="&amp;77233350000,Данные!$A$2:$A$722,"&lt;="&amp;77233350599)</f>
        <v>0</v>
      </c>
      <c r="AY54" s="62" t="n">
        <f aca="false">COUNTIFS(Данные!$B$2:$B$722,24,Данные!$C$2:$C$722,1,Данные!$A$2:$A$722,"&gt;="&amp;77233351000,Данные!$A$2:$A$722,"&lt;="&amp;77233351999)</f>
        <v>0</v>
      </c>
      <c r="AZ54" s="63" t="n">
        <f aca="false">COUNTIFS(Данные!$B$2:$B$722,24,Данные!$C$2:$C$722,1,Данные!$A$2:$A$722,"&gt;="&amp;7722440000,Данные!$A$2:$A$722,"&lt;="&amp;7722440999)</f>
        <v>0</v>
      </c>
      <c r="BA54" s="63" t="n">
        <f aca="false">COUNTIFS(Данные!$B$2:$B$722,24,Данные!$C$2:$C$722,1,Данные!$A$2:$A$722,"&gt;="&amp;7722442000,Данные!$A$2:$A$722,"&lt;="&amp;7722445659)</f>
        <v>0</v>
      </c>
      <c r="BB54" s="63" t="n">
        <f aca="false">COUNTIFS(Данные!$B$2:$B$722,24,Данные!$C$2:$C$722,1,Данные!$A$2:$A$722,"&gt;="&amp;7722450000,Данные!$A$2:$A$722,"&lt;="&amp;7722450199)</f>
        <v>0</v>
      </c>
      <c r="BC54" s="63" t="n">
        <f aca="false">COUNTIFS(Данные!$B$2:$B$722,24,Данные!$C$2:$C$722,1,Данные!$A$2:$A$722,"&gt;="&amp;7722451000,Данные!$A$2:$A$722,"&lt;="&amp;7722451374)</f>
        <v>0</v>
      </c>
      <c r="BD54" s="63" t="n">
        <f aca="false">COUNTIFS(Данные!$B$2:$B$722,24,Данные!$C$2:$C$722,1,Данные!$A$2:$A$722,"&gt;="&amp;7722452000,Данные!$A$2:$A$722,"&lt;="&amp;7722452299)</f>
        <v>0</v>
      </c>
      <c r="BE54" s="63" t="n">
        <f aca="false">COUNTIFS(Данные!$B$2:$B$722,24,Данные!$C$2:$C$722,1,Данные!$A$2:$A$722,"&gt;="&amp;7722453000,Данные!$A$2:$A$722,"&lt;="&amp;7722453816)</f>
        <v>0</v>
      </c>
      <c r="BF54" s="63" t="n">
        <f aca="false">COUNTIFS(Данные!$B$2:$B$722,24,Данные!$C$2:$C$722,1,Данные!$A$2:$A$722,"&gt;="&amp;7722454000,Данные!$A$2:$A$722,"&lt;="&amp;7722454099)</f>
        <v>0</v>
      </c>
      <c r="BG54" s="63" t="n">
        <f aca="false">COUNTIFS(Данные!$B$2:$B$722,24,Данные!$C$2:$C$722,1,Данные!$A$2:$A$722,"&gt;="&amp;7722458000,Данные!$A$2:$A$722,"&lt;="&amp;7722458999)</f>
        <v>0</v>
      </c>
      <c r="BH54" s="63" t="n">
        <f aca="false">COUNTIFS(Данные!$B$2:$B$722,24,Данные!$C$2:$C$722,1,Данные!$A$2:$A$722,"&gt;="&amp;7722630000,Данные!$A$2:$A$722,"&lt;="&amp;7722638549)</f>
        <v>0</v>
      </c>
      <c r="BI54" s="63" t="n">
        <f aca="false">COUNTIFS(Данные!$B$2:$B$722,24,Данные!$C$2:$C$722,1,Данные!$A$2:$A$722,"&gt;="&amp;7722639400,Данные!$A$2:$A$722,"&lt;="&amp;7722639899)</f>
        <v>0</v>
      </c>
      <c r="BJ54" s="63" t="n">
        <f aca="false">COUNTIFS(Данные!$B$2:$B$722,24,Данные!$C$2:$C$722,1,Данные!$A$2:$A$722,"&gt;="&amp;7725750000,Данные!$A$2:$A$722,"&lt;="&amp;7725750399)</f>
        <v>0</v>
      </c>
      <c r="BK54" s="63" t="n">
        <f aca="false">COUNTIFS(Данные!$B$2:$B$722,24,Данные!$C$2:$C$722,1,Данные!$A$2:$A$722,"&gt;="&amp;7723620000,Данные!$A$2:$A$722,"&lt;="&amp;7723621299)</f>
        <v>0</v>
      </c>
      <c r="BL54" s="63" t="n">
        <f aca="false">COUNTIFS(Данные!$B$2:$B$722,24,Данные!$C$2:$C$722,1,Данные!$A$2:$A$722,"&gt;="&amp;7723621600,Данные!$A$2:$A$722,"&lt;="&amp;7723623399)</f>
        <v>0</v>
      </c>
      <c r="BM54" s="63" t="n">
        <f aca="false">COUNTIFS(Данные!$B$2:$B$722,24,Данные!$C$2:$C$722,1,Данные!$A$2:$A$722,"&gt;="&amp;7725127000,Данные!$A$2:$A$722,"&lt;="&amp;7725127999)</f>
        <v>0</v>
      </c>
      <c r="BN54" s="63" t="n">
        <f aca="false">COUNTIFS(Данные!$B$2:$B$722,24,Данные!$C$2:$C$722,1,Данные!$A$2:$A$722,"&gt;="&amp;7723772000,Данные!$A$2:$A$722,"&lt;="&amp;7723724999)</f>
        <v>0</v>
      </c>
      <c r="BO54" s="62" t="n">
        <f aca="false">COUNTIFS(Данные!$B$2:$B$722,24,Данные!$C$2:$C$722,1,Данные!$A$2:$A$722,"&gt;="&amp;7723765000,Данные!$A$2:$A$722,"&lt;="&amp;7723765499)</f>
        <v>0</v>
      </c>
      <c r="BP54" s="63" t="n">
        <f aca="false">COUNTIFS(Данные!$B$2:$B$722,24,Данные!$C$2:$C$722,1,Данные!$A$2:$A$722,"&gt;="&amp;7723948000,Данные!$A$2:$A$722,"&lt;="&amp;7723948999)</f>
        <v>0</v>
      </c>
      <c r="BQ54" s="63" t="n">
        <f aca="false">COUNTIFS(Данные!$B$2:$B$722,24,Данные!$C$2:$C$722,1,Данные!$A$2:$A$722,"&gt;="&amp;7723950000,Данные!$A$2:$A$722,"&lt;="&amp;7723951099)</f>
        <v>0</v>
      </c>
      <c r="BR54" s="63" t="n">
        <f aca="false">COUNTIFS(Данные!$B$2:$B$722,24,Данные!$C$2:$C$722,1,Данные!$A$2:$A$722,"&gt;="&amp;7723020000,Данные!$A$2:$A$722,"&lt;="&amp;7723020999)</f>
        <v>0</v>
      </c>
      <c r="BS54" s="63" t="n">
        <f aca="false">COUNTIFS(Данные!$B$2:$B$722,24,Данные!$C$2:$C$722,1,Данные!$A$2:$A$722,"&gt;="&amp;7723029000,Данные!$A$2:$A$722,"&lt;="&amp;7723029999)</f>
        <v>0</v>
      </c>
      <c r="BT54" s="63" t="n">
        <f aca="false">COUNTIFS(Данные!$B$2:$B$722,24,Данные!$C$2:$C$722,1,Данные!$A$2:$A$722,"&gt;="&amp;7723055000,Данные!$A$2:$A$722,"&lt;="&amp;7723056549)</f>
        <v>0</v>
      </c>
      <c r="BU54" s="62" t="n">
        <f aca="false">COUNTIFS(Данные!$B$2:$B$722,24,Данные!$C$2:$C$722,1,Данные!$A$2:$A$722,"&gt;="&amp;7725250000,Данные!$A$2:$A$722,"&lt;="&amp;7725250499)</f>
        <v>0</v>
      </c>
      <c r="BV54" s="63" t="n">
        <f aca="false">COUNTIFS(Данные!$B$2:$B$722,24,Данные!$C$2:$C$722,1,Данные!$A$2:$A$722,"&gt;="&amp;7183841400,Данные!$A$2:$A$722,"&lt;="&amp;7183841499)</f>
        <v>0</v>
      </c>
      <c r="BW54" s="40" t="n">
        <v>300</v>
      </c>
      <c r="BX54" s="64" t="n">
        <f aca="false">F54-BW54</f>
        <v>-297</v>
      </c>
    </row>
    <row r="55" s="15" customFormat="true" ht="12" hidden="false" customHeight="true" outlineLevel="0" collapsed="false">
      <c r="A55" s="38"/>
      <c r="B55" s="39"/>
      <c r="C55" s="41" t="n">
        <v>2</v>
      </c>
      <c r="D55" s="41" t="n">
        <v>242</v>
      </c>
      <c r="E55" s="42"/>
      <c r="F55" s="62" t="n">
        <f aca="false">COUNTIFS(Данные!$B$2:$B$722,24,Данные!$C$2:$C$722,2)</f>
        <v>17</v>
      </c>
      <c r="G55" s="62" t="n">
        <f aca="false">COUNTIFS(Данные!$B$2:$B$722,24,Данные!$C$2:$C$722,2,Данные!$A$2:$A$722,"&gt;="&amp;77232210840,Данные!$A$2:$A$722,"&lt;="&amp;77232216999)</f>
        <v>0</v>
      </c>
      <c r="H55" s="62" t="n">
        <f aca="false">COUNTIFS(Данные!$B$2:$B$722,24,Данные!$C$2:$C$722,2,Данные!$A$2:$A$722,"&gt;="&amp;77232510512,Данные!$A$2:$A$722,"&lt;="&amp;77232519487)</f>
        <v>0</v>
      </c>
      <c r="I55" s="62" t="n">
        <f aca="false">COUNTIFS(Данные!$B$2:$B$722,24,Данные!$C$2:$C$722,2,Данные!$A$2:$A$722,"&gt;="&amp;77232524160,Данные!$A$2:$A$722,"&lt;="&amp;77232529999)</f>
        <v>0</v>
      </c>
      <c r="J55" s="62" t="n">
        <f aca="false">COUNTIFS(Данные!$B$2:$B$722,24,Данные!$C$2:$C$722,2,Данные!$A$2:$A$722,"&gt;="&amp;77232544000,Данные!$A$2:$A$722,"&lt;="&amp;77232544999)</f>
        <v>0</v>
      </c>
      <c r="K55" s="62" t="n">
        <f aca="false">COUNTIFS(Данные!$B$2:$B$722,24,Данные!$C$2:$C$722,2,Данные!$A$2:$A$722,"&gt;="&amp;77232295504,Данные!$A$2:$A$722,"&lt;="&amp;77232296999)</f>
        <v>0</v>
      </c>
      <c r="L55" s="62" t="n">
        <f aca="false">COUNTIFS(Данные!$B$2:$B$722,24,Данные!$C$2:$C$722,2,Данные!$A$2:$A$722,"&gt;="&amp;77232785000,Данные!$A$2:$A$722,"&lt;="&amp;77232789999)</f>
        <v>0</v>
      </c>
      <c r="M55" s="62" t="n">
        <f aca="false">COUNTIFS(Данные!$B$2:$B$722,24,Данные!$C$2:$C$722,2,Данные!$A$2:$A$722,"&gt;="&amp;77233150000,Данные!$A$2:$A$722,"&lt;="&amp;77233155999)</f>
        <v>0</v>
      </c>
      <c r="N55" s="62" t="n">
        <f aca="false">COUNTIFS(Данные!$B$2:$B$722,24,Данные!$C$2:$C$722,2,Данные!$A$2:$A$722,"&gt;="&amp;77233235000,Данные!$A$2:$A$722,"&lt;="&amp;77233235999)</f>
        <v>0</v>
      </c>
      <c r="O55" s="62" t="n">
        <f aca="false">COUNTIFS(Данные!$B$2:$B$722,24,Данные!$C$2:$C$722,2,Данные!$A$2:$A$722,"&gt;="&amp;77233239000,Данные!$A$2:$A$722,"&lt;="&amp;77233239999)</f>
        <v>0</v>
      </c>
      <c r="P55" s="62" t="n">
        <f aca="false">COUNTIFS(Данные!$B$2:$B$722,24,Данные!$C$2:$C$722,2,Данные!$A$2:$A$722,"&gt;="&amp;77233272000,Данные!$A$2:$A$722,"&lt;="&amp;77233272999)</f>
        <v>0</v>
      </c>
      <c r="Q55" s="62" t="n">
        <f aca="false">COUNTIFS(Данные!$B$2:$B$722,24,Данные!$C$2:$C$722,2,Данные!$A$2:$A$722,"&gt;="&amp;77233291100,Данные!$A$2:$A$722,"&lt;="&amp;77233292999)</f>
        <v>0</v>
      </c>
      <c r="R55" s="62" t="n">
        <f aca="false">COUNTIFS(Данные!$B$2:$B$722,24,Данные!$C$2:$C$722,2,Данные!$A$2:$A$722,"&gt;="&amp;77233297000,Данные!$A$2:$A$722,"&lt;="&amp;77233298399)</f>
        <v>0</v>
      </c>
      <c r="S55" s="62" t="n">
        <f aca="false">COUNTIFS(Данные!$B$2:$B$722,24,Данные!$C$2:$C$722,2,Данные!$A$2:$A$722,"&gt;="&amp;77235124000,Данные!$A$2:$A$722,"&lt;="&amp;77235128499)</f>
        <v>0</v>
      </c>
      <c r="T55" s="62" t="n">
        <f aca="false">COUNTIFS(Данные!$B$2:$B$722,24,Данные!$C$2:$C$722,2,Данные!$A$2:$A$722,"&gt;="&amp;77235320000,Данные!$A$2:$A$722,"&lt;="&amp;77235320999)</f>
        <v>0</v>
      </c>
      <c r="U55" s="62" t="n">
        <f aca="false">COUNTIFS(Данные!$B$2:$B$722,24,Данные!$C$2:$C$722,2,Данные!$A$2:$A$722,"&gt;="&amp;77233620000,Данные!$A$2:$A$722,"&lt;="&amp;77233623339)</f>
        <v>0</v>
      </c>
      <c r="V55" s="62" t="n">
        <f aca="false">COUNTIFS(Данные!$B$2:$B$722,24,Данные!$C$2:$C$722,2,Данные!$A$2:$A$722,"&gt;="&amp;77233630000,Данные!$A$2:$A$722,"&lt;="&amp;77233630999)</f>
        <v>0</v>
      </c>
      <c r="W55" s="62" t="n">
        <f aca="false">COUNTIFS(Данные!$B$2:$B$722,24,Данные!$C$2:$C$722,2,Данные!$A$2:$A$722,"&gt;="&amp;77233637000,Данные!$A$2:$A$722,"&lt;="&amp;77233637599)</f>
        <v>0</v>
      </c>
      <c r="X55" s="62" t="n">
        <f aca="false">COUNTIFS(Данные!$B$2:$B$722,24,Данные!$C$2:$C$722,2,Данные!$A$2:$A$722,"&gt;="&amp;77233550000,Данные!$A$2:$A$722,"&lt;="&amp;77233550999)</f>
        <v>0</v>
      </c>
      <c r="Y55" s="62" t="n">
        <f aca="false">COUNTIFS(Данные!$B$2:$B$722,24,Данные!$C$2:$C$722,2,Данные!$A$2:$A$722,"&gt;="&amp;77233554000,Данные!$A$2:$A$722,"&lt;="&amp;77233554999)</f>
        <v>0</v>
      </c>
      <c r="Z55" s="62" t="n">
        <f aca="false">COUNTIFS(Данные!$B$2:$B$722,24,Данные!$C$2:$C$722,2,Данные!$A$2:$A$722,"&gt;="&amp;77233555000,Данные!$A$2:$A$722,"&lt;="&amp;77233556999)</f>
        <v>0</v>
      </c>
      <c r="AA55" s="62" t="n">
        <f aca="false">COUNTIFS(Данные!$B$2:$B$722,24,Данные!$C$2:$C$722,2,Данные!$A$2:$A$722,"&gt;="&amp;77233726000,Данные!$A$2:$A$722,"&lt;="&amp;77233726999)</f>
        <v>0</v>
      </c>
      <c r="AB55" s="62" t="n">
        <f aca="false">COUNTIFS(Данные!$B$2:$B$722,24,Данные!$C$2:$C$722,2,Данные!$A$2:$A$722,"&gt;="&amp;77233820000,Данные!$A$2:$A$722,"&lt;="&amp;77233820999)</f>
        <v>0</v>
      </c>
      <c r="AC55" s="62" t="n">
        <f aca="false">COUNTIFS(Данные!$B$2:$B$722,24,Данные!$C$2:$C$722,2,Данные!$A$2:$A$722,"&gt;="&amp;77233850000,Данные!$A$2:$A$722,"&lt;="&amp;77233850999)</f>
        <v>0</v>
      </c>
      <c r="AD55" s="62" t="n">
        <f aca="false">COUNTIFS(Данные!$B$2:$B$722,24,Данные!$C$2:$C$722,2,Данные!$A$2:$A$722,"&gt;="&amp;77233420000,Данные!$A$2:$A$722,"&lt;="&amp;77233420999)</f>
        <v>0</v>
      </c>
      <c r="AE55" s="62" t="n">
        <f aca="false">COUNTIFS(Данные!$B$2:$B$722,24,Данные!$C$2:$C$722,2,Данные!$A$2:$A$722,"&gt;="&amp;77234740000,Данные!$A$2:$A$722,"&lt;="&amp;77234742999)</f>
        <v>6</v>
      </c>
      <c r="AF55" s="62" t="n">
        <f aca="false">COUNTIFS(Данные!$B$2:$B$722,24,Данные!$C$2:$C$722,2,Данные!$A$2:$A$722,"&gt;="&amp;77234767000,Данные!$A$2:$A$722,"&lt;="&amp;77234767999)</f>
        <v>10</v>
      </c>
      <c r="AG55" s="62" t="n">
        <f aca="false">COUNTIFS(Данные!$B$2:$B$722,24,Данные!$C$2:$C$722,2,Данные!$A$2:$A$722,"&gt;="&amp;77234120000,Данные!$A$2:$A$722,"&lt;="&amp;77234120999)</f>
        <v>0</v>
      </c>
      <c r="AH55" s="62" t="n">
        <f aca="false">COUNTIFS(Данные!$B$2:$B$722,24,Данные!$C$2:$C$722,2,Данные!$A$2:$A$722,"&gt;="&amp;77234127000,Данные!$A$2:$A$722,"&lt;="&amp;77234127999)</f>
        <v>0</v>
      </c>
      <c r="AI55" s="62" t="n">
        <f aca="false">COUNTIFS(Данные!$B$2:$B$722,24,Данные!$C$2:$C$722,2,Данные!$A$2:$A$722,"&gt;="&amp;77234220000,Данные!$A$2:$A$722,"&lt;="&amp;77234220999)</f>
        <v>0</v>
      </c>
      <c r="AJ55" s="62" t="n">
        <f aca="false">COUNTIFS(Данные!$B$2:$B$722,24,Данные!$C$2:$C$722,2,Данные!$A$2:$A$722,"&gt;="&amp;77234250000,Данные!$A$2:$A$722,"&lt;="&amp;77234250999)</f>
        <v>0</v>
      </c>
      <c r="AK55" s="62" t="n">
        <f aca="false">COUNTIFS(Данные!$B$2:$B$722,24,Данные!$C$2:$C$722,2,Данные!$A$2:$A$722,"&gt;="&amp;77233922950,Данные!$A$2:$A$722,"&lt;="&amp;77233924999)</f>
        <v>0</v>
      </c>
      <c r="AL55" s="62" t="n">
        <f aca="false">COUNTIFS(Данные!$B$2:$B$722,24,Данные!$C$2:$C$722,2,Данные!$A$2:$A$722,"&gt;="&amp;77234320000,Данные!$A$2:$A$722,"&lt;="&amp;77234320999)</f>
        <v>0</v>
      </c>
      <c r="AM55" s="62" t="n">
        <f aca="false">COUNTIFS(Данные!$B$2:$B$722,24,Данные!$C$2:$C$722,2,Данные!$A$2:$A$722,"&gt;="&amp;77234350000,Данные!$A$2:$A$722,"&lt;="&amp;77234350999)</f>
        <v>0</v>
      </c>
      <c r="AN55" s="62" t="n">
        <f aca="false">COUNTIFS(Данные!$B$2:$B$722,24,Данные!$C$2:$C$722,2,Данные!$A$2:$A$722,"&gt;="&amp;77234020000,Данные!$A$2:$A$722,"&lt;="&amp;77234020999)</f>
        <v>0</v>
      </c>
      <c r="AO55" s="62" t="n">
        <f aca="false">COUNTIFS(Данные!$B$2:$B$722,24,Данные!$C$2:$C$722,2,Данные!$A$2:$A$722,"&gt;="&amp;77234029000,Данные!$A$2:$A$722,"&lt;="&amp;77234029999)</f>
        <v>0</v>
      </c>
      <c r="AP55" s="62" t="n">
        <f aca="false">COUNTIFS(Данные!$B$2:$B$722,24,Данные!$C$2:$C$722,2,Данные!$A$2:$A$722,"&gt;="&amp;77234050000,Данные!$A$2:$A$722,"&lt;="&amp;77234050999)</f>
        <v>0</v>
      </c>
      <c r="AQ55" s="62" t="n">
        <f aca="false">COUNTIFS(Данные!$B$2:$B$722,24,Данные!$C$2:$C$722,2,Данные!$A$2:$A$722,"&gt;="&amp;77234427000,Данные!$A$2:$A$722,"&lt;="&amp;77234428999)</f>
        <v>0</v>
      </c>
      <c r="AR55" s="62" t="n">
        <f aca="false">COUNTIFS(Данные!$B$2:$B$722,24,Данные!$C$2:$C$722,2,Данные!$A$2:$A$722,"&gt;="&amp;77234450000,Данные!$A$2:$A$722,"&lt;="&amp;77234450999)</f>
        <v>0</v>
      </c>
      <c r="AS55" s="62" t="n">
        <f aca="false">COUNTIFS(Данные!$B$2:$B$722,24,Данные!$C$2:$C$722,2,Данные!$A$2:$A$722,"&gt;="&amp;77234620000,Данные!$A$2:$A$722,"&lt;="&amp;77234620999)</f>
        <v>0</v>
      </c>
      <c r="AT55" s="62" t="n">
        <f aca="false">COUNTIFS(Данные!$B$2:$B$722,24,Данные!$C$2:$C$722,2,Данные!$A$2:$A$722,"&gt;="&amp;77234650000,Данные!$A$2:$A$722,"&lt;="&amp;77234650999)</f>
        <v>0</v>
      </c>
      <c r="AU55" s="62" t="n">
        <f aca="false">COUNTIFS(Данные!$B$2:$B$722,24,Данные!$C$2:$C$722,2,Данные!$A$2:$A$722,"&gt;="&amp;77234820000,Данные!$A$2:$A$722,"&lt;="&amp;77234820999)</f>
        <v>0</v>
      </c>
      <c r="AV55" s="62" t="n">
        <f aca="false">COUNTIFS(Данные!$B$2:$B$722,24,Данные!$C$2:$C$722,2,Данные!$A$2:$A$722,"&gt;="&amp;77234850000,Данные!$A$2:$A$722,"&lt;="&amp;77234850999)</f>
        <v>0</v>
      </c>
      <c r="AW55" s="62" t="n">
        <f aca="false">COUNTIFS(Данные!$B$2:$B$722,24,Данные!$C$2:$C$722,2,Данные!$A$2:$A$722,"&gt;="&amp;77233327000,Данные!$A$2:$A$722,"&lt;="&amp;77233327999)</f>
        <v>0</v>
      </c>
      <c r="AX55" s="62" t="n">
        <f aca="false">COUNTIFS(Данные!$B$2:$B$722,24,Данные!$C$2:$C$722,2,Данные!$A$2:$A$722,"&gt;="&amp;77233350000,Данные!$A$2:$A$722,"&lt;="&amp;77233350599)</f>
        <v>0</v>
      </c>
      <c r="AY55" s="62" t="n">
        <f aca="false">COUNTIFS(Данные!$B$2:$B$722,24,Данные!$C$2:$C$722,2,Данные!$A$2:$A$722,"&gt;="&amp;77233351000,Данные!$A$2:$A$722,"&lt;="&amp;77233351999)</f>
        <v>0</v>
      </c>
      <c r="AZ55" s="63" t="n">
        <f aca="false">COUNTIFS(Данные!$B$2:$B$722,24,Данные!$C$2:$C$722,2,Данные!$A$2:$A$722,"&gt;="&amp;7722440000,Данные!$A$2:$A$722,"&lt;="&amp;7722440999)</f>
        <v>0</v>
      </c>
      <c r="BA55" s="63" t="n">
        <f aca="false">COUNTIFS(Данные!$B$2:$B$722,24,Данные!$C$2:$C$722,2,Данные!$A$2:$A$722,"&gt;="&amp;7722442000,Данные!$A$2:$A$722,"&lt;="&amp;7722445659)</f>
        <v>0</v>
      </c>
      <c r="BB55" s="63" t="n">
        <f aca="false">COUNTIFS(Данные!$B$2:$B$722,24,Данные!$C$2:$C$722,2,Данные!$A$2:$A$722,"&gt;="&amp;7722450000,Данные!$A$2:$A$722,"&lt;="&amp;7722450199)</f>
        <v>0</v>
      </c>
      <c r="BC55" s="63" t="n">
        <f aca="false">COUNTIFS(Данные!$B$2:$B$722,24,Данные!$C$2:$C$722,2,Данные!$A$2:$A$722,"&gt;="&amp;7722451000,Данные!$A$2:$A$722,"&lt;="&amp;7722451374)</f>
        <v>0</v>
      </c>
      <c r="BD55" s="63" t="n">
        <f aca="false">COUNTIFS(Данные!$B$2:$B$722,24,Данные!$C$2:$C$722,2,Данные!$A$2:$A$722,"&gt;="&amp;7722452000,Данные!$A$2:$A$722,"&lt;="&amp;7722452299)</f>
        <v>0</v>
      </c>
      <c r="BE55" s="63" t="n">
        <f aca="false">COUNTIFS(Данные!$B$2:$B$722,24,Данные!$C$2:$C$722,2,Данные!$A$2:$A$722,"&gt;="&amp;7722453000,Данные!$A$2:$A$722,"&lt;="&amp;7722453816)</f>
        <v>0</v>
      </c>
      <c r="BF55" s="63" t="n">
        <f aca="false">COUNTIFS(Данные!$B$2:$B$722,24,Данные!$C$2:$C$722,2,Данные!$A$2:$A$722,"&gt;="&amp;7722454000,Данные!$A$2:$A$722,"&lt;="&amp;7722454099)</f>
        <v>0</v>
      </c>
      <c r="BG55" s="63" t="n">
        <f aca="false">COUNTIFS(Данные!$B$2:$B$722,24,Данные!$C$2:$C$722,2,Данные!$A$2:$A$722,"&gt;="&amp;7722458000,Данные!$A$2:$A$722,"&lt;="&amp;7722458999)</f>
        <v>0</v>
      </c>
      <c r="BH55" s="63" t="n">
        <f aca="false">COUNTIFS(Данные!$B$2:$B$722,24,Данные!$C$2:$C$722,2,Данные!$A$2:$A$722,"&gt;="&amp;7722630000,Данные!$A$2:$A$722,"&lt;="&amp;7722638549)</f>
        <v>0</v>
      </c>
      <c r="BI55" s="63" t="n">
        <f aca="false">COUNTIFS(Данные!$B$2:$B$722,24,Данные!$C$2:$C$722,2,Данные!$A$2:$A$722,"&gt;="&amp;7722639400,Данные!$A$2:$A$722,"&lt;="&amp;7722639899)</f>
        <v>0</v>
      </c>
      <c r="BJ55" s="63" t="n">
        <f aca="false">COUNTIFS(Данные!$B$2:$B$722,24,Данные!$C$2:$C$722,2,Данные!$A$2:$A$722,"&gt;="&amp;7725750000,Данные!$A$2:$A$722,"&lt;="&amp;7725750399)</f>
        <v>0</v>
      </c>
      <c r="BK55" s="63" t="n">
        <f aca="false">COUNTIFS(Данные!$B$2:$B$722,24,Данные!$C$2:$C$722,2,Данные!$A$2:$A$722,"&gt;="&amp;7723620000,Данные!$A$2:$A$722,"&lt;="&amp;7723621299)</f>
        <v>0</v>
      </c>
      <c r="BL55" s="63" t="n">
        <f aca="false">COUNTIFS(Данные!$B$2:$B$722,24,Данные!$C$2:$C$722,2,Данные!$A$2:$A$722,"&gt;="&amp;7723621600,Данные!$A$2:$A$722,"&lt;="&amp;7723623399)</f>
        <v>0</v>
      </c>
      <c r="BM55" s="63" t="n">
        <f aca="false">COUNTIFS(Данные!$B$2:$B$722,24,Данные!$C$2:$C$722,2,Данные!$A$2:$A$722,"&gt;="&amp;7725127000,Данные!$A$2:$A$722,"&lt;="&amp;7725127999)</f>
        <v>0</v>
      </c>
      <c r="BN55" s="63" t="n">
        <f aca="false">COUNTIFS(Данные!$B$2:$B$722,24,Данные!$C$2:$C$722,2,Данные!$A$2:$A$722,"&gt;="&amp;7723772000,Данные!$A$2:$A$722,"&lt;="&amp;7723724999)</f>
        <v>0</v>
      </c>
      <c r="BO55" s="62" t="n">
        <f aca="false">COUNTIFS(Данные!$B$2:$B$722,24,Данные!$C$2:$C$722,2,Данные!$A$2:$A$722,"&gt;="&amp;7723765000,Данные!$A$2:$A$722,"&lt;="&amp;7723765499)</f>
        <v>0</v>
      </c>
      <c r="BP55" s="63" t="n">
        <f aca="false">COUNTIFS(Данные!$B$2:$B$722,24,Данные!$C$2:$C$722,2,Данные!$A$2:$A$722,"&gt;="&amp;7723948000,Данные!$A$2:$A$722,"&lt;="&amp;7723948999)</f>
        <v>0</v>
      </c>
      <c r="BQ55" s="63" t="n">
        <f aca="false">COUNTIFS(Данные!$B$2:$B$722,24,Данные!$C$2:$C$722,2,Данные!$A$2:$A$722,"&gt;="&amp;7723950000,Данные!$A$2:$A$722,"&lt;="&amp;7723951099)</f>
        <v>0</v>
      </c>
      <c r="BR55" s="63" t="n">
        <f aca="false">COUNTIFS(Данные!$B$2:$B$722,24,Данные!$C$2:$C$722,2,Данные!$A$2:$A$722,"&gt;="&amp;7723020000,Данные!$A$2:$A$722,"&lt;="&amp;7723020999)</f>
        <v>0</v>
      </c>
      <c r="BS55" s="63" t="n">
        <f aca="false">COUNTIFS(Данные!$B$2:$B$722,24,Данные!$C$2:$C$722,2,Данные!$A$2:$A$722,"&gt;="&amp;7723029000,Данные!$A$2:$A$722,"&lt;="&amp;7723029999)</f>
        <v>0</v>
      </c>
      <c r="BT55" s="63" t="n">
        <f aca="false">COUNTIFS(Данные!$B$2:$B$722,24,Данные!$C$2:$C$722,2,Данные!$A$2:$A$722,"&gt;="&amp;7723055000,Данные!$A$2:$A$722,"&lt;="&amp;7723056549)</f>
        <v>0</v>
      </c>
      <c r="BU55" s="62" t="n">
        <f aca="false">COUNTIFS(Данные!$B$2:$B$722,24,Данные!$C$2:$C$722,2,Данные!$A$2:$A$722,"&gt;="&amp;7725250000,Данные!$A$2:$A$722,"&lt;="&amp;7725250499)</f>
        <v>0</v>
      </c>
      <c r="BV55" s="63" t="n">
        <f aca="false">COUNTIFS(Данные!$B$2:$B$722,24,Данные!$C$2:$C$722,2,Данные!$A$2:$A$722,"&gt;="&amp;7183841400,Данные!$A$2:$A$722,"&lt;="&amp;7183841499)</f>
        <v>0</v>
      </c>
      <c r="BW55" s="40" t="n">
        <v>300</v>
      </c>
      <c r="BX55" s="64" t="n">
        <f aca="false">F55-BW55</f>
        <v>-283</v>
      </c>
    </row>
    <row r="56" s="15" customFormat="true" ht="12" hidden="false" customHeight="true" outlineLevel="0" collapsed="false">
      <c r="A56" s="47" t="n">
        <v>27</v>
      </c>
      <c r="B56" s="48" t="s">
        <v>78</v>
      </c>
      <c r="C56" s="50" t="n">
        <v>0</v>
      </c>
      <c r="D56" s="50" t="n">
        <v>270</v>
      </c>
      <c r="E56" s="51" t="n">
        <f aca="false">SUM(F56:F58)</f>
        <v>0</v>
      </c>
      <c r="F56" s="65" t="n">
        <f aca="false">COUNTIFS(Данные!$B$2:$B$722,27,Данные!$C$2:$C$722,0)</f>
        <v>0</v>
      </c>
      <c r="G56" s="65" t="n">
        <f aca="false">COUNTIFS(Данные!$B$2:$B$722,27,Данные!$C$2:$C$722,0,Данные!$A$2:$A$722,"&gt;="&amp;77232210840,Данные!$A$2:$A$722,"&lt;="&amp;77232216999)</f>
        <v>0</v>
      </c>
      <c r="H56" s="65" t="n">
        <f aca="false">COUNTIFS(Данные!$B$2:$B$722,27,Данные!$C$2:$C$722,0,Данные!$A$2:$A$722,"&gt;="&amp;77232510512,Данные!$A$2:$A$722,"&lt;="&amp;77232519487)</f>
        <v>0</v>
      </c>
      <c r="I56" s="65" t="n">
        <f aca="false">COUNTIFS(Данные!$B$2:$B$722,27,Данные!$C$2:$C$722,0,Данные!$A$2:$A$722,"&gt;="&amp;77232524160,Данные!$A$2:$A$722,"&lt;="&amp;77232529999)</f>
        <v>0</v>
      </c>
      <c r="J56" s="65" t="n">
        <f aca="false">COUNTIFS(Данные!$B$2:$B$722,27,Данные!$C$2:$C$722,0,Данные!$A$2:$A$722,"&gt;="&amp;77232544000,Данные!$A$2:$A$722,"&lt;="&amp;77232544999)</f>
        <v>0</v>
      </c>
      <c r="K56" s="65" t="n">
        <f aca="false">COUNTIFS(Данные!$B$2:$B$722,27,Данные!$C$2:$C$722,0,Данные!$A$2:$A$722,"&gt;="&amp;77232295504,Данные!$A$2:$A$722,"&lt;="&amp;77232296999)</f>
        <v>0</v>
      </c>
      <c r="L56" s="65" t="n">
        <f aca="false">COUNTIFS(Данные!$B$2:$B$722,27,Данные!$C$2:$C$722,0,Данные!$A$2:$A$722,"&gt;="&amp;77232785000,Данные!$A$2:$A$722,"&lt;="&amp;77232789999)</f>
        <v>0</v>
      </c>
      <c r="M56" s="65" t="n">
        <f aca="false">COUNTIFS(Данные!$B$2:$B$722,27,Данные!$C$2:$C$722,0,Данные!$A$2:$A$722,"&gt;="&amp;77233150000,Данные!$A$2:$A$722,"&lt;="&amp;77233155999)</f>
        <v>0</v>
      </c>
      <c r="N56" s="65" t="n">
        <f aca="false">COUNTIFS(Данные!$B$2:$B$722,27,Данные!$C$2:$C$722,0,Данные!$A$2:$A$722,"&gt;="&amp;77233235000,Данные!$A$2:$A$722,"&lt;="&amp;77233235999)</f>
        <v>0</v>
      </c>
      <c r="O56" s="65" t="n">
        <f aca="false">COUNTIFS(Данные!$B$2:$B$722,27,Данные!$C$2:$C$722,0,Данные!$A$2:$A$722,"&gt;="&amp;77233239000,Данные!$A$2:$A$722,"&lt;="&amp;77233239999)</f>
        <v>0</v>
      </c>
      <c r="P56" s="65" t="n">
        <f aca="false">COUNTIFS(Данные!$B$2:$B$722,27,Данные!$C$2:$C$722,0,Данные!$A$2:$A$722,"&gt;="&amp;77233272000,Данные!$A$2:$A$722,"&lt;="&amp;77233272999)</f>
        <v>0</v>
      </c>
      <c r="Q56" s="65" t="n">
        <f aca="false">COUNTIFS(Данные!$B$2:$B$722,27,Данные!$C$2:$C$722,0,Данные!$A$2:$A$722,"&gt;="&amp;77233291100,Данные!$A$2:$A$722,"&lt;="&amp;77233292999)</f>
        <v>0</v>
      </c>
      <c r="R56" s="65" t="n">
        <f aca="false">COUNTIFS(Данные!$B$2:$B$722,27,Данные!$C$2:$C$722,0,Данные!$A$2:$A$722,"&gt;="&amp;77233297000,Данные!$A$2:$A$722,"&lt;="&amp;77233298399)</f>
        <v>0</v>
      </c>
      <c r="S56" s="65" t="n">
        <f aca="false">COUNTIFS(Данные!$B$2:$B$722,27,Данные!$C$2:$C$722,0,Данные!$A$2:$A$722,"&gt;="&amp;77235124000,Данные!$A$2:$A$722,"&lt;="&amp;77235128499)</f>
        <v>0</v>
      </c>
      <c r="T56" s="65" t="n">
        <f aca="false">COUNTIFS(Данные!$B$2:$B$722,27,Данные!$C$2:$C$722,0,Данные!$A$2:$A$722,"&gt;="&amp;77235320000,Данные!$A$2:$A$722,"&lt;="&amp;77235320999)</f>
        <v>0</v>
      </c>
      <c r="U56" s="65" t="n">
        <f aca="false">COUNTIFS(Данные!$B$2:$B$722,27,Данные!$C$2:$C$722,0,Данные!$A$2:$A$722,"&gt;="&amp;77233620000,Данные!$A$2:$A$722,"&lt;="&amp;77233623339)</f>
        <v>0</v>
      </c>
      <c r="V56" s="65" t="n">
        <f aca="false">COUNTIFS(Данные!$B$2:$B$722,27,Данные!$C$2:$C$722,0,Данные!$A$2:$A$722,"&gt;="&amp;77233630000,Данные!$A$2:$A$722,"&lt;="&amp;77233630999)</f>
        <v>0</v>
      </c>
      <c r="W56" s="65" t="n">
        <f aca="false">COUNTIFS(Данные!$B$2:$B$722,27,Данные!$C$2:$C$722,0,Данные!$A$2:$A$722,"&gt;="&amp;77233637000,Данные!$A$2:$A$722,"&lt;="&amp;77233637599)</f>
        <v>0</v>
      </c>
      <c r="X56" s="65" t="n">
        <f aca="false">COUNTIFS(Данные!$B$2:$B$722,27,Данные!$C$2:$C$722,0,Данные!$A$2:$A$722,"&gt;="&amp;77233550000,Данные!$A$2:$A$722,"&lt;="&amp;77233550999)</f>
        <v>0</v>
      </c>
      <c r="Y56" s="65" t="n">
        <f aca="false">COUNTIFS(Данные!$B$2:$B$722,27,Данные!$C$2:$C$722,0,Данные!$A$2:$A$722,"&gt;="&amp;77233554000,Данные!$A$2:$A$722,"&lt;="&amp;77233554999)</f>
        <v>0</v>
      </c>
      <c r="Z56" s="65" t="n">
        <f aca="false">COUNTIFS(Данные!$B$2:$B$722,27,Данные!$C$2:$C$722,0,Данные!$A$2:$A$722,"&gt;="&amp;77233555000,Данные!$A$2:$A$722,"&lt;="&amp;77233556999)</f>
        <v>0</v>
      </c>
      <c r="AA56" s="65" t="n">
        <f aca="false">COUNTIFS(Данные!$B$2:$B$722,27,Данные!$C$2:$C$722,0,Данные!$A$2:$A$722,"&gt;="&amp;77233726000,Данные!$A$2:$A$722,"&lt;="&amp;77233726999)</f>
        <v>0</v>
      </c>
      <c r="AB56" s="65" t="n">
        <f aca="false">COUNTIFS(Данные!$B$2:$B$722,27,Данные!$C$2:$C$722,0,Данные!$A$2:$A$722,"&gt;="&amp;77233820000,Данные!$A$2:$A$722,"&lt;="&amp;77233820999)</f>
        <v>0</v>
      </c>
      <c r="AC56" s="65" t="n">
        <f aca="false">COUNTIFS(Данные!$B$2:$B$722,27,Данные!$C$2:$C$722,0,Данные!$A$2:$A$722,"&gt;="&amp;77233850000,Данные!$A$2:$A$722,"&lt;="&amp;77233850999)</f>
        <v>0</v>
      </c>
      <c r="AD56" s="65" t="n">
        <f aca="false">COUNTIFS(Данные!$B$2:$B$722,27,Данные!$C$2:$C$722,0,Данные!$A$2:$A$722,"&gt;="&amp;77233420000,Данные!$A$2:$A$722,"&lt;="&amp;77233420999)</f>
        <v>0</v>
      </c>
      <c r="AE56" s="65" t="n">
        <f aca="false">COUNTIFS(Данные!$B$2:$B$722,27,Данные!$C$2:$C$722,0,Данные!$A$2:$A$722,"&gt;="&amp;77234740000,Данные!$A$2:$A$722,"&lt;="&amp;77234742999)</f>
        <v>0</v>
      </c>
      <c r="AF56" s="65" t="n">
        <f aca="false">COUNTIFS(Данные!$B$2:$B$722,27,Данные!$C$2:$C$722,0,Данные!$A$2:$A$722,"&gt;="&amp;77234767000,Данные!$A$2:$A$722,"&lt;="&amp;77234767999)</f>
        <v>0</v>
      </c>
      <c r="AG56" s="65" t="n">
        <f aca="false">COUNTIFS(Данные!$B$2:$B$722,27,Данные!$C$2:$C$722,0,Данные!$A$2:$A$722,"&gt;="&amp;77234120000,Данные!$A$2:$A$722,"&lt;="&amp;77234120999)</f>
        <v>0</v>
      </c>
      <c r="AH56" s="65" t="n">
        <f aca="false">COUNTIFS(Данные!$B$2:$B$722,27,Данные!$C$2:$C$722,0,Данные!$A$2:$A$722,"&gt;="&amp;77234127000,Данные!$A$2:$A$722,"&lt;="&amp;77234127999)</f>
        <v>0</v>
      </c>
      <c r="AI56" s="65" t="n">
        <f aca="false">COUNTIFS(Данные!$B$2:$B$722,27,Данные!$C$2:$C$722,0,Данные!$A$2:$A$722,"&gt;="&amp;77234220000,Данные!$A$2:$A$722,"&lt;="&amp;77234220999)</f>
        <v>0</v>
      </c>
      <c r="AJ56" s="65" t="n">
        <f aca="false">COUNTIFS(Данные!$B$2:$B$722,27,Данные!$C$2:$C$722,0,Данные!$A$2:$A$722,"&gt;="&amp;77234250000,Данные!$A$2:$A$722,"&lt;="&amp;77234250999)</f>
        <v>0</v>
      </c>
      <c r="AK56" s="65" t="n">
        <f aca="false">COUNTIFS(Данные!$B$2:$B$722,27,Данные!$C$2:$C$722,0,Данные!$A$2:$A$722,"&gt;="&amp;77233922950,Данные!$A$2:$A$722,"&lt;="&amp;77233924999)</f>
        <v>0</v>
      </c>
      <c r="AL56" s="65" t="n">
        <f aca="false">COUNTIFS(Данные!$B$2:$B$722,27,Данные!$C$2:$C$722,0,Данные!$A$2:$A$722,"&gt;="&amp;77234320000,Данные!$A$2:$A$722,"&lt;="&amp;77234320999)</f>
        <v>0</v>
      </c>
      <c r="AM56" s="65" t="n">
        <f aca="false">COUNTIFS(Данные!$B$2:$B$722,27,Данные!$C$2:$C$722,0,Данные!$A$2:$A$722,"&gt;="&amp;77234350000,Данные!$A$2:$A$722,"&lt;="&amp;77234350999)</f>
        <v>0</v>
      </c>
      <c r="AN56" s="65" t="n">
        <f aca="false">COUNTIFS(Данные!$B$2:$B$722,27,Данные!$C$2:$C$722,0,Данные!$A$2:$A$722,"&gt;="&amp;77234020000,Данные!$A$2:$A$722,"&lt;="&amp;77234020999)</f>
        <v>0</v>
      </c>
      <c r="AO56" s="65" t="n">
        <f aca="false">COUNTIFS(Данные!$B$2:$B$722,27,Данные!$C$2:$C$722,0,Данные!$A$2:$A$722,"&gt;="&amp;77234029000,Данные!$A$2:$A$722,"&lt;="&amp;77234029999)</f>
        <v>0</v>
      </c>
      <c r="AP56" s="65" t="n">
        <f aca="false">COUNTIFS(Данные!$B$2:$B$722,27,Данные!$C$2:$C$722,0,Данные!$A$2:$A$722,"&gt;="&amp;77234050000,Данные!$A$2:$A$722,"&lt;="&amp;77234050999)</f>
        <v>0</v>
      </c>
      <c r="AQ56" s="65" t="n">
        <f aca="false">COUNTIFS(Данные!$B$2:$B$722,27,Данные!$C$2:$C$722,0,Данные!$A$2:$A$722,"&gt;="&amp;77234427000,Данные!$A$2:$A$722,"&lt;="&amp;77234428999)</f>
        <v>0</v>
      </c>
      <c r="AR56" s="65" t="n">
        <f aca="false">COUNTIFS(Данные!$B$2:$B$722,27,Данные!$C$2:$C$722,0,Данные!$A$2:$A$722,"&gt;="&amp;77234450000,Данные!$A$2:$A$722,"&lt;="&amp;77234450999)</f>
        <v>0</v>
      </c>
      <c r="AS56" s="65" t="n">
        <f aca="false">COUNTIFS(Данные!$B$2:$B$722,27,Данные!$C$2:$C$722,0,Данные!$A$2:$A$722,"&gt;="&amp;77234620000,Данные!$A$2:$A$722,"&lt;="&amp;77234620999)</f>
        <v>0</v>
      </c>
      <c r="AT56" s="65" t="n">
        <f aca="false">COUNTIFS(Данные!$B$2:$B$722,27,Данные!$C$2:$C$722,0,Данные!$A$2:$A$722,"&gt;="&amp;77234650000,Данные!$A$2:$A$722,"&lt;="&amp;77234650999)</f>
        <v>0</v>
      </c>
      <c r="AU56" s="65" t="n">
        <f aca="false">COUNTIFS(Данные!$B$2:$B$722,27,Данные!$C$2:$C$722,0,Данные!$A$2:$A$722,"&gt;="&amp;77234820000,Данные!$A$2:$A$722,"&lt;="&amp;77234820999)</f>
        <v>0</v>
      </c>
      <c r="AV56" s="65" t="n">
        <f aca="false">COUNTIFS(Данные!$B$2:$B$722,27,Данные!$C$2:$C$722,0,Данные!$A$2:$A$722,"&gt;="&amp;77234850000,Данные!$A$2:$A$722,"&lt;="&amp;77234850999)</f>
        <v>0</v>
      </c>
      <c r="AW56" s="65" t="n">
        <f aca="false">COUNTIFS(Данные!$B$2:$B$722,27,Данные!$C$2:$C$722,0,Данные!$A$2:$A$722,"&gt;="&amp;77233327000,Данные!$A$2:$A$722,"&lt;="&amp;77233327999)</f>
        <v>0</v>
      </c>
      <c r="AX56" s="65" t="n">
        <f aca="false">COUNTIFS(Данные!$B$2:$B$722,27,Данные!$C$2:$C$722,0,Данные!$A$2:$A$722,"&gt;="&amp;77233350000,Данные!$A$2:$A$722,"&lt;="&amp;77233350599)</f>
        <v>0</v>
      </c>
      <c r="AY56" s="65" t="n">
        <f aca="false">COUNTIFS(Данные!$B$2:$B$722,27,Данные!$C$2:$C$722,0,Данные!$A$2:$A$722,"&gt;="&amp;77233351000,Данные!$A$2:$A$722,"&lt;="&amp;77233351999)</f>
        <v>0</v>
      </c>
      <c r="AZ56" s="66" t="n">
        <f aca="false">COUNTIFS(Данные!$B$2:$B$722,27,Данные!$C$2:$C$722,0,Данные!$A$2:$A$722,"&gt;="&amp;7722440000,Данные!$A$2:$A$722,"&lt;="&amp;7722440999)</f>
        <v>0</v>
      </c>
      <c r="BA56" s="66" t="n">
        <f aca="false">COUNTIFS(Данные!$B$2:$B$722,27,Данные!$C$2:$C$722,0,Данные!$A$2:$A$722,"&gt;="&amp;7722442000,Данные!$A$2:$A$722,"&lt;="&amp;7722445659)</f>
        <v>0</v>
      </c>
      <c r="BB56" s="66" t="n">
        <f aca="false">COUNTIFS(Данные!$B$2:$B$722,27,Данные!$C$2:$C$722,0,Данные!$A$2:$A$722,"&gt;="&amp;7722450000,Данные!$A$2:$A$722,"&lt;="&amp;7722450199)</f>
        <v>0</v>
      </c>
      <c r="BC56" s="66" t="n">
        <f aca="false">COUNTIFS(Данные!$B$2:$B$722,27,Данные!$C$2:$C$722,0,Данные!$A$2:$A$722,"&gt;="&amp;7722451000,Данные!$A$2:$A$722,"&lt;="&amp;7722451374)</f>
        <v>0</v>
      </c>
      <c r="BD56" s="66" t="n">
        <f aca="false">COUNTIFS(Данные!$B$2:$B$722,27,Данные!$C$2:$C$722,0,Данные!$A$2:$A$722,"&gt;="&amp;7722452000,Данные!$A$2:$A$722,"&lt;="&amp;7722452299)</f>
        <v>0</v>
      </c>
      <c r="BE56" s="66" t="n">
        <f aca="false">COUNTIFS(Данные!$B$2:$B$722,27,Данные!$C$2:$C$722,0,Данные!$A$2:$A$722,"&gt;="&amp;7722453000,Данные!$A$2:$A$722,"&lt;="&amp;7722453816)</f>
        <v>0</v>
      </c>
      <c r="BF56" s="66" t="n">
        <f aca="false">COUNTIFS(Данные!$B$2:$B$722,27,Данные!$C$2:$C$722,0,Данные!$A$2:$A$722,"&gt;="&amp;7722454000,Данные!$A$2:$A$722,"&lt;="&amp;7722454099)</f>
        <v>0</v>
      </c>
      <c r="BG56" s="66" t="n">
        <f aca="false">COUNTIFS(Данные!$B$2:$B$722,27,Данные!$C$2:$C$722,0,Данные!$A$2:$A$722,"&gt;="&amp;7722458000,Данные!$A$2:$A$722,"&lt;="&amp;7722458999)</f>
        <v>0</v>
      </c>
      <c r="BH56" s="66" t="n">
        <f aca="false">COUNTIFS(Данные!$B$2:$B$722,27,Данные!$C$2:$C$722,0,Данные!$A$2:$A$722,"&gt;="&amp;7722630000,Данные!$A$2:$A$722,"&lt;="&amp;7722638549)</f>
        <v>0</v>
      </c>
      <c r="BI56" s="66" t="n">
        <f aca="false">COUNTIFS(Данные!$B$2:$B$722,27,Данные!$C$2:$C$722,0,Данные!$A$2:$A$722,"&gt;="&amp;7722639400,Данные!$A$2:$A$722,"&lt;="&amp;7722639899)</f>
        <v>0</v>
      </c>
      <c r="BJ56" s="66" t="n">
        <f aca="false">COUNTIFS(Данные!$B$2:$B$722,27,Данные!$C$2:$C$722,0,Данные!$A$2:$A$722,"&gt;="&amp;7725750000,Данные!$A$2:$A$722,"&lt;="&amp;7725750399)</f>
        <v>0</v>
      </c>
      <c r="BK56" s="66" t="n">
        <f aca="false">COUNTIFS(Данные!$B$2:$B$722,27,Данные!$C$2:$C$722,0,Данные!$A$2:$A$722,"&gt;="&amp;7723620000,Данные!$A$2:$A$722,"&lt;="&amp;7723621299)</f>
        <v>0</v>
      </c>
      <c r="BL56" s="66" t="n">
        <f aca="false">COUNTIFS(Данные!$B$2:$B$722,27,Данные!$C$2:$C$722,0,Данные!$A$2:$A$722,"&gt;="&amp;7723621600,Данные!$A$2:$A$722,"&lt;="&amp;7723623399)</f>
        <v>0</v>
      </c>
      <c r="BM56" s="66" t="n">
        <f aca="false">COUNTIFS(Данные!$B$2:$B$722,27,Данные!$C$2:$C$722,0,Данные!$A$2:$A$722,"&gt;="&amp;7725127000,Данные!$A$2:$A$722,"&lt;="&amp;7725127999)</f>
        <v>0</v>
      </c>
      <c r="BN56" s="66" t="n">
        <f aca="false">COUNTIFS(Данные!$B$2:$B$722,27,Данные!$C$2:$C$722,0,Данные!$A$2:$A$722,"&gt;="&amp;7723772000,Данные!$A$2:$A$722,"&lt;="&amp;7723724999)</f>
        <v>0</v>
      </c>
      <c r="BO56" s="65" t="n">
        <f aca="false">COUNTIFS(Данные!$B$2:$B$722,27,Данные!$C$2:$C$722,0,Данные!$A$2:$A$722,"&gt;="&amp;7723765000,Данные!$A$2:$A$722,"&lt;="&amp;7723765499)</f>
        <v>0</v>
      </c>
      <c r="BP56" s="66" t="n">
        <f aca="false">COUNTIFS(Данные!$B$2:$B$722,27,Данные!$C$2:$C$722,0,Данные!$A$2:$A$722,"&gt;="&amp;7723948000,Данные!$A$2:$A$722,"&lt;="&amp;7723948999)</f>
        <v>0</v>
      </c>
      <c r="BQ56" s="66" t="n">
        <f aca="false">COUNTIFS(Данные!$B$2:$B$722,27,Данные!$C$2:$C$722,0,Данные!$A$2:$A$722,"&gt;="&amp;7723950000,Данные!$A$2:$A$722,"&lt;="&amp;7723951099)</f>
        <v>0</v>
      </c>
      <c r="BR56" s="66" t="n">
        <f aca="false">COUNTIFS(Данные!$B$2:$B$722,27,Данные!$C$2:$C$722,0,Данные!$A$2:$A$722,"&gt;="&amp;7723020000,Данные!$A$2:$A$722,"&lt;="&amp;7723020999)</f>
        <v>0</v>
      </c>
      <c r="BS56" s="66" t="n">
        <f aca="false">COUNTIFS(Данные!$B$2:$B$722,27,Данные!$C$2:$C$722,0,Данные!$A$2:$A$722,"&gt;="&amp;7723029000,Данные!$A$2:$A$722,"&lt;="&amp;7723029999)</f>
        <v>0</v>
      </c>
      <c r="BT56" s="66" t="n">
        <f aca="false">COUNTIFS(Данные!$B$2:$B$722,27,Данные!$C$2:$C$722,0,Данные!$A$2:$A$722,"&gt;="&amp;7723055000,Данные!$A$2:$A$722,"&lt;="&amp;7723056549)</f>
        <v>0</v>
      </c>
      <c r="BU56" s="65" t="n">
        <f aca="false">COUNTIFS(Данные!$B$2:$B$722,27,Данные!$C$2:$C$722,0,Данные!$A$2:$A$722,"&gt;="&amp;7725250000,Данные!$A$2:$A$722,"&lt;="&amp;7725250499)</f>
        <v>0</v>
      </c>
      <c r="BV56" s="66" t="n">
        <f aca="false">COUNTIFS(Данные!$B$2:$B$722,27,Данные!$C$2:$C$722,0,Данные!$A$2:$A$722,"&gt;="&amp;7183841400,Данные!$A$2:$A$722,"&lt;="&amp;7183841499)</f>
        <v>0</v>
      </c>
      <c r="BW56" s="49" t="n">
        <v>300</v>
      </c>
      <c r="BX56" s="67" t="n">
        <f aca="false">F56-BW56</f>
        <v>-300</v>
      </c>
    </row>
    <row r="57" s="15" customFormat="true" ht="12" hidden="false" customHeight="true" outlineLevel="0" collapsed="false">
      <c r="A57" s="47"/>
      <c r="B57" s="48"/>
      <c r="C57" s="50" t="n">
        <v>1</v>
      </c>
      <c r="D57" s="50" t="n">
        <v>271</v>
      </c>
      <c r="E57" s="51"/>
      <c r="F57" s="65" t="n">
        <f aca="false">COUNTIFS(Данные!$B$2:$B$722,27,Данные!$C$2:$C$722,1)</f>
        <v>0</v>
      </c>
      <c r="G57" s="65" t="n">
        <f aca="false">COUNTIFS(Данные!$B$2:$B$722,27,Данные!$C$2:$C$722,1,Данные!$A$2:$A$722,"&gt;="&amp;77232210840,Данные!$A$2:$A$722,"&lt;="&amp;77232216999)</f>
        <v>0</v>
      </c>
      <c r="H57" s="65" t="n">
        <f aca="false">COUNTIFS(Данные!$B$2:$B$722,27,Данные!$C$2:$C$722,1,Данные!$A$2:$A$722,"&gt;="&amp;77232510512,Данные!$A$2:$A$722,"&lt;="&amp;77232519487)</f>
        <v>0</v>
      </c>
      <c r="I57" s="65" t="n">
        <f aca="false">COUNTIFS(Данные!$B$2:$B$722,27,Данные!$C$2:$C$722,1,Данные!$A$2:$A$722,"&gt;="&amp;77232524160,Данные!$A$2:$A$722,"&lt;="&amp;77232529999)</f>
        <v>0</v>
      </c>
      <c r="J57" s="65" t="n">
        <f aca="false">COUNTIFS(Данные!$B$2:$B$722,27,Данные!$C$2:$C$722,1,Данные!$A$2:$A$722,"&gt;="&amp;77232544000,Данные!$A$2:$A$722,"&lt;="&amp;77232544999)</f>
        <v>0</v>
      </c>
      <c r="K57" s="65" t="n">
        <f aca="false">COUNTIFS(Данные!$B$2:$B$722,27,Данные!$C$2:$C$722,1,Данные!$A$2:$A$722,"&gt;="&amp;77232295504,Данные!$A$2:$A$722,"&lt;="&amp;77232296999)</f>
        <v>0</v>
      </c>
      <c r="L57" s="65" t="n">
        <f aca="false">COUNTIFS(Данные!$B$2:$B$722,27,Данные!$C$2:$C$722,1,Данные!$A$2:$A$722,"&gt;="&amp;77232785000,Данные!$A$2:$A$722,"&lt;="&amp;77232789999)</f>
        <v>0</v>
      </c>
      <c r="M57" s="65" t="n">
        <f aca="false">COUNTIFS(Данные!$B$2:$B$722,27,Данные!$C$2:$C$722,1,Данные!$A$2:$A$722,"&gt;="&amp;77233150000,Данные!$A$2:$A$722,"&lt;="&amp;77233155999)</f>
        <v>0</v>
      </c>
      <c r="N57" s="65" t="n">
        <f aca="false">COUNTIFS(Данные!$B$2:$B$722,27,Данные!$C$2:$C$722,1,Данные!$A$2:$A$722,"&gt;="&amp;77233235000,Данные!$A$2:$A$722,"&lt;="&amp;77233235999)</f>
        <v>0</v>
      </c>
      <c r="O57" s="65" t="n">
        <f aca="false">COUNTIFS(Данные!$B$2:$B$722,27,Данные!$C$2:$C$722,1,Данные!$A$2:$A$722,"&gt;="&amp;77233239000,Данные!$A$2:$A$722,"&lt;="&amp;77233239999)</f>
        <v>0</v>
      </c>
      <c r="P57" s="65" t="n">
        <f aca="false">COUNTIFS(Данные!$B$2:$B$722,27,Данные!$C$2:$C$722,1,Данные!$A$2:$A$722,"&gt;="&amp;77233272000,Данные!$A$2:$A$722,"&lt;="&amp;77233272999)</f>
        <v>0</v>
      </c>
      <c r="Q57" s="65" t="n">
        <f aca="false">COUNTIFS(Данные!$B$2:$B$722,27,Данные!$C$2:$C$722,1,Данные!$A$2:$A$722,"&gt;="&amp;77233291100,Данные!$A$2:$A$722,"&lt;="&amp;77233292999)</f>
        <v>0</v>
      </c>
      <c r="R57" s="65" t="n">
        <f aca="false">COUNTIFS(Данные!$B$2:$B$722,27,Данные!$C$2:$C$722,1,Данные!$A$2:$A$722,"&gt;="&amp;77233297000,Данные!$A$2:$A$722,"&lt;="&amp;77233298399)</f>
        <v>0</v>
      </c>
      <c r="S57" s="65" t="n">
        <f aca="false">COUNTIFS(Данные!$B$2:$B$722,27,Данные!$C$2:$C$722,1,Данные!$A$2:$A$722,"&gt;="&amp;77235124000,Данные!$A$2:$A$722,"&lt;="&amp;77235128499)</f>
        <v>0</v>
      </c>
      <c r="T57" s="65" t="n">
        <f aca="false">COUNTIFS(Данные!$B$2:$B$722,27,Данные!$C$2:$C$722,1,Данные!$A$2:$A$722,"&gt;="&amp;77235320000,Данные!$A$2:$A$722,"&lt;="&amp;77235320999)</f>
        <v>0</v>
      </c>
      <c r="U57" s="65" t="n">
        <f aca="false">COUNTIFS(Данные!$B$2:$B$722,27,Данные!$C$2:$C$722,1,Данные!$A$2:$A$722,"&gt;="&amp;77233620000,Данные!$A$2:$A$722,"&lt;="&amp;77233623339)</f>
        <v>0</v>
      </c>
      <c r="V57" s="65" t="n">
        <f aca="false">COUNTIFS(Данные!$B$2:$B$722,27,Данные!$C$2:$C$722,1,Данные!$A$2:$A$722,"&gt;="&amp;77233630000,Данные!$A$2:$A$722,"&lt;="&amp;77233630999)</f>
        <v>0</v>
      </c>
      <c r="W57" s="65" t="n">
        <f aca="false">COUNTIFS(Данные!$B$2:$B$722,27,Данные!$C$2:$C$722,1,Данные!$A$2:$A$722,"&gt;="&amp;77233637000,Данные!$A$2:$A$722,"&lt;="&amp;77233637599)</f>
        <v>0</v>
      </c>
      <c r="X57" s="65" t="n">
        <f aca="false">COUNTIFS(Данные!$B$2:$B$722,27,Данные!$C$2:$C$722,1,Данные!$A$2:$A$722,"&gt;="&amp;77233550000,Данные!$A$2:$A$722,"&lt;="&amp;77233550999)</f>
        <v>0</v>
      </c>
      <c r="Y57" s="65" t="n">
        <f aca="false">COUNTIFS(Данные!$B$2:$B$722,27,Данные!$C$2:$C$722,1,Данные!$A$2:$A$722,"&gt;="&amp;77233554000,Данные!$A$2:$A$722,"&lt;="&amp;77233554999)</f>
        <v>0</v>
      </c>
      <c r="Z57" s="65" t="n">
        <f aca="false">COUNTIFS(Данные!$B$2:$B$722,27,Данные!$C$2:$C$722,1,Данные!$A$2:$A$722,"&gt;="&amp;77233555000,Данные!$A$2:$A$722,"&lt;="&amp;77233556999)</f>
        <v>0</v>
      </c>
      <c r="AA57" s="65" t="n">
        <f aca="false">COUNTIFS(Данные!$B$2:$B$722,27,Данные!$C$2:$C$722,1,Данные!$A$2:$A$722,"&gt;="&amp;77233726000,Данные!$A$2:$A$722,"&lt;="&amp;77233726999)</f>
        <v>0</v>
      </c>
      <c r="AB57" s="65" t="n">
        <f aca="false">COUNTIFS(Данные!$B$2:$B$722,27,Данные!$C$2:$C$722,1,Данные!$A$2:$A$722,"&gt;="&amp;77233820000,Данные!$A$2:$A$722,"&lt;="&amp;77233820999)</f>
        <v>0</v>
      </c>
      <c r="AC57" s="65" t="n">
        <f aca="false">COUNTIFS(Данные!$B$2:$B$722,27,Данные!$C$2:$C$722,1,Данные!$A$2:$A$722,"&gt;="&amp;77233850000,Данные!$A$2:$A$722,"&lt;="&amp;77233850999)</f>
        <v>0</v>
      </c>
      <c r="AD57" s="65" t="n">
        <f aca="false">COUNTIFS(Данные!$B$2:$B$722,27,Данные!$C$2:$C$722,1,Данные!$A$2:$A$722,"&gt;="&amp;77233420000,Данные!$A$2:$A$722,"&lt;="&amp;77233420999)</f>
        <v>0</v>
      </c>
      <c r="AE57" s="65" t="n">
        <f aca="false">COUNTIFS(Данные!$B$2:$B$722,27,Данные!$C$2:$C$722,1,Данные!$A$2:$A$722,"&gt;="&amp;77234740000,Данные!$A$2:$A$722,"&lt;="&amp;77234742999)</f>
        <v>0</v>
      </c>
      <c r="AF57" s="65" t="n">
        <f aca="false">COUNTIFS(Данные!$B$2:$B$722,27,Данные!$C$2:$C$722,1,Данные!$A$2:$A$722,"&gt;="&amp;77234767000,Данные!$A$2:$A$722,"&lt;="&amp;77234767999)</f>
        <v>0</v>
      </c>
      <c r="AG57" s="65" t="n">
        <f aca="false">COUNTIFS(Данные!$B$2:$B$722,27,Данные!$C$2:$C$722,1,Данные!$A$2:$A$722,"&gt;="&amp;77234120000,Данные!$A$2:$A$722,"&lt;="&amp;77234120999)</f>
        <v>0</v>
      </c>
      <c r="AH57" s="65" t="n">
        <f aca="false">COUNTIFS(Данные!$B$2:$B$722,27,Данные!$C$2:$C$722,1,Данные!$A$2:$A$722,"&gt;="&amp;77234127000,Данные!$A$2:$A$722,"&lt;="&amp;77234127999)</f>
        <v>0</v>
      </c>
      <c r="AI57" s="65" t="n">
        <f aca="false">COUNTIFS(Данные!$B$2:$B$722,27,Данные!$C$2:$C$722,1,Данные!$A$2:$A$722,"&gt;="&amp;77234220000,Данные!$A$2:$A$722,"&lt;="&amp;77234220999)</f>
        <v>0</v>
      </c>
      <c r="AJ57" s="65" t="n">
        <f aca="false">COUNTIFS(Данные!$B$2:$B$722,27,Данные!$C$2:$C$722,1,Данные!$A$2:$A$722,"&gt;="&amp;77234250000,Данные!$A$2:$A$722,"&lt;="&amp;77234250999)</f>
        <v>0</v>
      </c>
      <c r="AK57" s="65" t="n">
        <f aca="false">COUNTIFS(Данные!$B$2:$B$722,27,Данные!$C$2:$C$722,1,Данные!$A$2:$A$722,"&gt;="&amp;77233922950,Данные!$A$2:$A$722,"&lt;="&amp;77233924999)</f>
        <v>0</v>
      </c>
      <c r="AL57" s="65" t="n">
        <f aca="false">COUNTIFS(Данные!$B$2:$B$722,27,Данные!$C$2:$C$722,1,Данные!$A$2:$A$722,"&gt;="&amp;77234320000,Данные!$A$2:$A$722,"&lt;="&amp;77234320999)</f>
        <v>0</v>
      </c>
      <c r="AM57" s="65" t="n">
        <f aca="false">COUNTIFS(Данные!$B$2:$B$722,27,Данные!$C$2:$C$722,1,Данные!$A$2:$A$722,"&gt;="&amp;77234350000,Данные!$A$2:$A$722,"&lt;="&amp;77234350999)</f>
        <v>0</v>
      </c>
      <c r="AN57" s="65" t="n">
        <f aca="false">COUNTIFS(Данные!$B$2:$B$722,27,Данные!$C$2:$C$722,1,Данные!$A$2:$A$722,"&gt;="&amp;77234020000,Данные!$A$2:$A$722,"&lt;="&amp;77234020999)</f>
        <v>0</v>
      </c>
      <c r="AO57" s="65" t="n">
        <f aca="false">COUNTIFS(Данные!$B$2:$B$722,27,Данные!$C$2:$C$722,1,Данные!$A$2:$A$722,"&gt;="&amp;77234029000,Данные!$A$2:$A$722,"&lt;="&amp;77234029999)</f>
        <v>0</v>
      </c>
      <c r="AP57" s="65" t="n">
        <f aca="false">COUNTIFS(Данные!$B$2:$B$722,27,Данные!$C$2:$C$722,1,Данные!$A$2:$A$722,"&gt;="&amp;77234050000,Данные!$A$2:$A$722,"&lt;="&amp;77234050999)</f>
        <v>0</v>
      </c>
      <c r="AQ57" s="65" t="n">
        <f aca="false">COUNTIFS(Данные!$B$2:$B$722,27,Данные!$C$2:$C$722,1,Данные!$A$2:$A$722,"&gt;="&amp;77234427000,Данные!$A$2:$A$722,"&lt;="&amp;77234428999)</f>
        <v>0</v>
      </c>
      <c r="AR57" s="65" t="n">
        <f aca="false">COUNTIFS(Данные!$B$2:$B$722,27,Данные!$C$2:$C$722,1,Данные!$A$2:$A$722,"&gt;="&amp;77234450000,Данные!$A$2:$A$722,"&lt;="&amp;77234450999)</f>
        <v>0</v>
      </c>
      <c r="AS57" s="65" t="n">
        <f aca="false">COUNTIFS(Данные!$B$2:$B$722,27,Данные!$C$2:$C$722,1,Данные!$A$2:$A$722,"&gt;="&amp;77234620000,Данные!$A$2:$A$722,"&lt;="&amp;77234620999)</f>
        <v>0</v>
      </c>
      <c r="AT57" s="65" t="n">
        <f aca="false">COUNTIFS(Данные!$B$2:$B$722,27,Данные!$C$2:$C$722,1,Данные!$A$2:$A$722,"&gt;="&amp;77234650000,Данные!$A$2:$A$722,"&lt;="&amp;77234650999)</f>
        <v>0</v>
      </c>
      <c r="AU57" s="65" t="n">
        <f aca="false">COUNTIFS(Данные!$B$2:$B$722,27,Данные!$C$2:$C$722,1,Данные!$A$2:$A$722,"&gt;="&amp;77234820000,Данные!$A$2:$A$722,"&lt;="&amp;77234820999)</f>
        <v>0</v>
      </c>
      <c r="AV57" s="65" t="n">
        <f aca="false">COUNTIFS(Данные!$B$2:$B$722,27,Данные!$C$2:$C$722,1,Данные!$A$2:$A$722,"&gt;="&amp;77234850000,Данные!$A$2:$A$722,"&lt;="&amp;77234850999)</f>
        <v>0</v>
      </c>
      <c r="AW57" s="65" t="n">
        <f aca="false">COUNTIFS(Данные!$B$2:$B$722,27,Данные!$C$2:$C$722,1,Данные!$A$2:$A$722,"&gt;="&amp;77233327000,Данные!$A$2:$A$722,"&lt;="&amp;77233327999)</f>
        <v>0</v>
      </c>
      <c r="AX57" s="65" t="n">
        <f aca="false">COUNTIFS(Данные!$B$2:$B$722,27,Данные!$C$2:$C$722,1,Данные!$A$2:$A$722,"&gt;="&amp;77233350000,Данные!$A$2:$A$722,"&lt;="&amp;77233350599)</f>
        <v>0</v>
      </c>
      <c r="AY57" s="65" t="n">
        <f aca="false">COUNTIFS(Данные!$B$2:$B$722,27,Данные!$C$2:$C$722,1,Данные!$A$2:$A$722,"&gt;="&amp;77233351000,Данные!$A$2:$A$722,"&lt;="&amp;77233351999)</f>
        <v>0</v>
      </c>
      <c r="AZ57" s="66" t="n">
        <f aca="false">COUNTIFS(Данные!$B$2:$B$722,27,Данные!$C$2:$C$722,1,Данные!$A$2:$A$722,"&gt;="&amp;7722440000,Данные!$A$2:$A$722,"&lt;="&amp;7722440999)</f>
        <v>0</v>
      </c>
      <c r="BA57" s="66" t="n">
        <f aca="false">COUNTIFS(Данные!$B$2:$B$722,27,Данные!$C$2:$C$722,1,Данные!$A$2:$A$722,"&gt;="&amp;7722442000,Данные!$A$2:$A$722,"&lt;="&amp;7722445659)</f>
        <v>0</v>
      </c>
      <c r="BB57" s="66" t="n">
        <f aca="false">COUNTIFS(Данные!$B$2:$B$722,27,Данные!$C$2:$C$722,1,Данные!$A$2:$A$722,"&gt;="&amp;7722450000,Данные!$A$2:$A$722,"&lt;="&amp;7722450199)</f>
        <v>0</v>
      </c>
      <c r="BC57" s="66" t="n">
        <f aca="false">COUNTIFS(Данные!$B$2:$B$722,27,Данные!$C$2:$C$722,1,Данные!$A$2:$A$722,"&gt;="&amp;7722451000,Данные!$A$2:$A$722,"&lt;="&amp;7722451374)</f>
        <v>0</v>
      </c>
      <c r="BD57" s="66" t="n">
        <f aca="false">COUNTIFS(Данные!$B$2:$B$722,27,Данные!$C$2:$C$722,1,Данные!$A$2:$A$722,"&gt;="&amp;7722452000,Данные!$A$2:$A$722,"&lt;="&amp;7722452299)</f>
        <v>0</v>
      </c>
      <c r="BE57" s="66" t="n">
        <f aca="false">COUNTIFS(Данные!$B$2:$B$722,27,Данные!$C$2:$C$722,1,Данные!$A$2:$A$722,"&gt;="&amp;7722453000,Данные!$A$2:$A$722,"&lt;="&amp;7722453816)</f>
        <v>0</v>
      </c>
      <c r="BF57" s="66" t="n">
        <f aca="false">COUNTIFS(Данные!$B$2:$B$722,27,Данные!$C$2:$C$722,1,Данные!$A$2:$A$722,"&gt;="&amp;7722454000,Данные!$A$2:$A$722,"&lt;="&amp;7722454099)</f>
        <v>0</v>
      </c>
      <c r="BG57" s="66" t="n">
        <f aca="false">COUNTIFS(Данные!$B$2:$B$722,27,Данные!$C$2:$C$722,1,Данные!$A$2:$A$722,"&gt;="&amp;7722458000,Данные!$A$2:$A$722,"&lt;="&amp;7722458999)</f>
        <v>0</v>
      </c>
      <c r="BH57" s="66" t="n">
        <f aca="false">COUNTIFS(Данные!$B$2:$B$722,27,Данные!$C$2:$C$722,1,Данные!$A$2:$A$722,"&gt;="&amp;7722630000,Данные!$A$2:$A$722,"&lt;="&amp;7722638549)</f>
        <v>0</v>
      </c>
      <c r="BI57" s="66" t="n">
        <f aca="false">COUNTIFS(Данные!$B$2:$B$722,27,Данные!$C$2:$C$722,1,Данные!$A$2:$A$722,"&gt;="&amp;7722639400,Данные!$A$2:$A$722,"&lt;="&amp;7722639899)</f>
        <v>0</v>
      </c>
      <c r="BJ57" s="66" t="n">
        <f aca="false">COUNTIFS(Данные!$B$2:$B$722,27,Данные!$C$2:$C$722,1,Данные!$A$2:$A$722,"&gt;="&amp;7725750000,Данные!$A$2:$A$722,"&lt;="&amp;7725750399)</f>
        <v>0</v>
      </c>
      <c r="BK57" s="66" t="n">
        <f aca="false">COUNTIFS(Данные!$B$2:$B$722,27,Данные!$C$2:$C$722,1,Данные!$A$2:$A$722,"&gt;="&amp;7723620000,Данные!$A$2:$A$722,"&lt;="&amp;7723621299)</f>
        <v>0</v>
      </c>
      <c r="BL57" s="66" t="n">
        <f aca="false">COUNTIFS(Данные!$B$2:$B$722,27,Данные!$C$2:$C$722,1,Данные!$A$2:$A$722,"&gt;="&amp;7723621600,Данные!$A$2:$A$722,"&lt;="&amp;7723623399)</f>
        <v>0</v>
      </c>
      <c r="BM57" s="66" t="n">
        <f aca="false">COUNTIFS(Данные!$B$2:$B$722,27,Данные!$C$2:$C$722,1,Данные!$A$2:$A$722,"&gt;="&amp;7725127000,Данные!$A$2:$A$722,"&lt;="&amp;7725127999)</f>
        <v>0</v>
      </c>
      <c r="BN57" s="66" t="n">
        <f aca="false">COUNTIFS(Данные!$B$2:$B$722,27,Данные!$C$2:$C$722,1,Данные!$A$2:$A$722,"&gt;="&amp;7723772000,Данные!$A$2:$A$722,"&lt;="&amp;7723724999)</f>
        <v>0</v>
      </c>
      <c r="BO57" s="65" t="n">
        <f aca="false">COUNTIFS(Данные!$B$2:$B$722,27,Данные!$C$2:$C$722,1,Данные!$A$2:$A$722,"&gt;="&amp;7723765000,Данные!$A$2:$A$722,"&lt;="&amp;7723765499)</f>
        <v>0</v>
      </c>
      <c r="BP57" s="66" t="n">
        <f aca="false">COUNTIFS(Данные!$B$2:$B$722,27,Данные!$C$2:$C$722,1,Данные!$A$2:$A$722,"&gt;="&amp;7723948000,Данные!$A$2:$A$722,"&lt;="&amp;7723948999)</f>
        <v>0</v>
      </c>
      <c r="BQ57" s="66" t="n">
        <f aca="false">COUNTIFS(Данные!$B$2:$B$722,27,Данные!$C$2:$C$722,1,Данные!$A$2:$A$722,"&gt;="&amp;7723950000,Данные!$A$2:$A$722,"&lt;="&amp;7723951099)</f>
        <v>0</v>
      </c>
      <c r="BR57" s="66" t="n">
        <f aca="false">COUNTIFS(Данные!$B$2:$B$722,27,Данные!$C$2:$C$722,1,Данные!$A$2:$A$722,"&gt;="&amp;7723020000,Данные!$A$2:$A$722,"&lt;="&amp;7723020999)</f>
        <v>0</v>
      </c>
      <c r="BS57" s="66" t="n">
        <f aca="false">COUNTIFS(Данные!$B$2:$B$722,27,Данные!$C$2:$C$722,1,Данные!$A$2:$A$722,"&gt;="&amp;7723029000,Данные!$A$2:$A$722,"&lt;="&amp;7723029999)</f>
        <v>0</v>
      </c>
      <c r="BT57" s="66" t="n">
        <f aca="false">COUNTIFS(Данные!$B$2:$B$722,27,Данные!$C$2:$C$722,1,Данные!$A$2:$A$722,"&gt;="&amp;7723055000,Данные!$A$2:$A$722,"&lt;="&amp;7723056549)</f>
        <v>0</v>
      </c>
      <c r="BU57" s="65" t="n">
        <f aca="false">COUNTIFS(Данные!$B$2:$B$722,27,Данные!$C$2:$C$722,1,Данные!$A$2:$A$722,"&gt;="&amp;7725250000,Данные!$A$2:$A$722,"&lt;="&amp;7725250499)</f>
        <v>0</v>
      </c>
      <c r="BV57" s="66" t="n">
        <f aca="false">COUNTIFS(Данные!$B$2:$B$722,27,Данные!$C$2:$C$722,1,Данные!$A$2:$A$722,"&gt;="&amp;7183841400,Данные!$A$2:$A$722,"&lt;="&amp;7183841499)</f>
        <v>0</v>
      </c>
      <c r="BW57" s="49" t="n">
        <v>300</v>
      </c>
      <c r="BX57" s="67" t="n">
        <f aca="false">F57-BW57</f>
        <v>-300</v>
      </c>
    </row>
    <row r="58" s="15" customFormat="true" ht="12" hidden="false" customHeight="true" outlineLevel="0" collapsed="false">
      <c r="A58" s="47"/>
      <c r="B58" s="48"/>
      <c r="C58" s="50" t="n">
        <v>2</v>
      </c>
      <c r="D58" s="50" t="n">
        <v>272</v>
      </c>
      <c r="E58" s="51"/>
      <c r="F58" s="65" t="n">
        <f aca="false">COUNTIFS(Данные!$B$2:$B$722,27,Данные!$C$2:$C$722,2)</f>
        <v>0</v>
      </c>
      <c r="G58" s="65" t="n">
        <f aca="false">COUNTIFS(Данные!$B$2:$B$722,27,Данные!$C$2:$C$722,2,Данные!$A$2:$A$722,"&gt;="&amp;77232210840,Данные!$A$2:$A$722,"&lt;="&amp;77232216999)</f>
        <v>0</v>
      </c>
      <c r="H58" s="65" t="n">
        <f aca="false">COUNTIFS(Данные!$B$2:$B$722,27,Данные!$C$2:$C$722,2,Данные!$A$2:$A$722,"&gt;="&amp;77232510512,Данные!$A$2:$A$722,"&lt;="&amp;77232519487)</f>
        <v>0</v>
      </c>
      <c r="I58" s="65" t="n">
        <f aca="false">COUNTIFS(Данные!$B$2:$B$722,27,Данные!$C$2:$C$722,2,Данные!$A$2:$A$722,"&gt;="&amp;77232524160,Данные!$A$2:$A$722,"&lt;="&amp;77232529999)</f>
        <v>0</v>
      </c>
      <c r="J58" s="65" t="n">
        <f aca="false">COUNTIFS(Данные!$B$2:$B$722,27,Данные!$C$2:$C$722,2,Данные!$A$2:$A$722,"&gt;="&amp;77232544000,Данные!$A$2:$A$722,"&lt;="&amp;77232544999)</f>
        <v>0</v>
      </c>
      <c r="K58" s="65" t="n">
        <f aca="false">COUNTIFS(Данные!$B$2:$B$722,27,Данные!$C$2:$C$722,2,Данные!$A$2:$A$722,"&gt;="&amp;77232295504,Данные!$A$2:$A$722,"&lt;="&amp;77232296999)</f>
        <v>0</v>
      </c>
      <c r="L58" s="65" t="n">
        <f aca="false">COUNTIFS(Данные!$B$2:$B$722,27,Данные!$C$2:$C$722,2,Данные!$A$2:$A$722,"&gt;="&amp;77232785000,Данные!$A$2:$A$722,"&lt;="&amp;77232789999)</f>
        <v>0</v>
      </c>
      <c r="M58" s="65" t="n">
        <f aca="false">COUNTIFS(Данные!$B$2:$B$722,27,Данные!$C$2:$C$722,2,Данные!$A$2:$A$722,"&gt;="&amp;77233150000,Данные!$A$2:$A$722,"&lt;="&amp;77233155999)</f>
        <v>0</v>
      </c>
      <c r="N58" s="65" t="n">
        <f aca="false">COUNTIFS(Данные!$B$2:$B$722,27,Данные!$C$2:$C$722,2,Данные!$A$2:$A$722,"&gt;="&amp;77233235000,Данные!$A$2:$A$722,"&lt;="&amp;77233235999)</f>
        <v>0</v>
      </c>
      <c r="O58" s="65" t="n">
        <f aca="false">COUNTIFS(Данные!$B$2:$B$722,27,Данные!$C$2:$C$722,2,Данные!$A$2:$A$722,"&gt;="&amp;77233239000,Данные!$A$2:$A$722,"&lt;="&amp;77233239999)</f>
        <v>0</v>
      </c>
      <c r="P58" s="65" t="n">
        <f aca="false">COUNTIFS(Данные!$B$2:$B$722,27,Данные!$C$2:$C$722,2,Данные!$A$2:$A$722,"&gt;="&amp;77233272000,Данные!$A$2:$A$722,"&lt;="&amp;77233272999)</f>
        <v>0</v>
      </c>
      <c r="Q58" s="65" t="n">
        <f aca="false">COUNTIFS(Данные!$B$2:$B$722,27,Данные!$C$2:$C$722,2,Данные!$A$2:$A$722,"&gt;="&amp;77233291100,Данные!$A$2:$A$722,"&lt;="&amp;77233292999)</f>
        <v>0</v>
      </c>
      <c r="R58" s="65" t="n">
        <f aca="false">COUNTIFS(Данные!$B$2:$B$722,27,Данные!$C$2:$C$722,2,Данные!$A$2:$A$722,"&gt;="&amp;77233297000,Данные!$A$2:$A$722,"&lt;="&amp;77233298399)</f>
        <v>0</v>
      </c>
      <c r="S58" s="65" t="n">
        <f aca="false">COUNTIFS(Данные!$B$2:$B$722,27,Данные!$C$2:$C$722,2,Данные!$A$2:$A$722,"&gt;="&amp;77235124000,Данные!$A$2:$A$722,"&lt;="&amp;77235128499)</f>
        <v>0</v>
      </c>
      <c r="T58" s="65" t="n">
        <f aca="false">COUNTIFS(Данные!$B$2:$B$722,27,Данные!$C$2:$C$722,2,Данные!$A$2:$A$722,"&gt;="&amp;77235320000,Данные!$A$2:$A$722,"&lt;="&amp;77235320999)</f>
        <v>0</v>
      </c>
      <c r="U58" s="65" t="n">
        <f aca="false">COUNTIFS(Данные!$B$2:$B$722,27,Данные!$C$2:$C$722,2,Данные!$A$2:$A$722,"&gt;="&amp;77233620000,Данные!$A$2:$A$722,"&lt;="&amp;77233623339)</f>
        <v>0</v>
      </c>
      <c r="V58" s="65" t="n">
        <f aca="false">COUNTIFS(Данные!$B$2:$B$722,27,Данные!$C$2:$C$722,2,Данные!$A$2:$A$722,"&gt;="&amp;77233630000,Данные!$A$2:$A$722,"&lt;="&amp;77233630999)</f>
        <v>0</v>
      </c>
      <c r="W58" s="65" t="n">
        <f aca="false">COUNTIFS(Данные!$B$2:$B$722,27,Данные!$C$2:$C$722,2,Данные!$A$2:$A$722,"&gt;="&amp;77233637000,Данные!$A$2:$A$722,"&lt;="&amp;77233637599)</f>
        <v>0</v>
      </c>
      <c r="X58" s="65" t="n">
        <f aca="false">COUNTIFS(Данные!$B$2:$B$722,27,Данные!$C$2:$C$722,2,Данные!$A$2:$A$722,"&gt;="&amp;77233550000,Данные!$A$2:$A$722,"&lt;="&amp;77233550999)</f>
        <v>0</v>
      </c>
      <c r="Y58" s="65" t="n">
        <f aca="false">COUNTIFS(Данные!$B$2:$B$722,27,Данные!$C$2:$C$722,2,Данные!$A$2:$A$722,"&gt;="&amp;77233554000,Данные!$A$2:$A$722,"&lt;="&amp;77233554999)</f>
        <v>0</v>
      </c>
      <c r="Z58" s="65" t="n">
        <f aca="false">COUNTIFS(Данные!$B$2:$B$722,27,Данные!$C$2:$C$722,2,Данные!$A$2:$A$722,"&gt;="&amp;77233555000,Данные!$A$2:$A$722,"&lt;="&amp;77233556999)</f>
        <v>0</v>
      </c>
      <c r="AA58" s="65" t="n">
        <f aca="false">COUNTIFS(Данные!$B$2:$B$722,27,Данные!$C$2:$C$722,2,Данные!$A$2:$A$722,"&gt;="&amp;77233726000,Данные!$A$2:$A$722,"&lt;="&amp;77233726999)</f>
        <v>0</v>
      </c>
      <c r="AB58" s="65" t="n">
        <f aca="false">COUNTIFS(Данные!$B$2:$B$722,27,Данные!$C$2:$C$722,2,Данные!$A$2:$A$722,"&gt;="&amp;77233820000,Данные!$A$2:$A$722,"&lt;="&amp;77233820999)</f>
        <v>0</v>
      </c>
      <c r="AC58" s="65" t="n">
        <f aca="false">COUNTIFS(Данные!$B$2:$B$722,27,Данные!$C$2:$C$722,2,Данные!$A$2:$A$722,"&gt;="&amp;77233850000,Данные!$A$2:$A$722,"&lt;="&amp;77233850999)</f>
        <v>0</v>
      </c>
      <c r="AD58" s="65" t="n">
        <f aca="false">COUNTIFS(Данные!$B$2:$B$722,27,Данные!$C$2:$C$722,2,Данные!$A$2:$A$722,"&gt;="&amp;77233420000,Данные!$A$2:$A$722,"&lt;="&amp;77233420999)</f>
        <v>0</v>
      </c>
      <c r="AE58" s="65" t="n">
        <f aca="false">COUNTIFS(Данные!$B$2:$B$722,27,Данные!$C$2:$C$722,2,Данные!$A$2:$A$722,"&gt;="&amp;77234740000,Данные!$A$2:$A$722,"&lt;="&amp;77234742999)</f>
        <v>0</v>
      </c>
      <c r="AF58" s="65" t="n">
        <f aca="false">COUNTIFS(Данные!$B$2:$B$722,27,Данные!$C$2:$C$722,2,Данные!$A$2:$A$722,"&gt;="&amp;77234767000,Данные!$A$2:$A$722,"&lt;="&amp;77234767999)</f>
        <v>0</v>
      </c>
      <c r="AG58" s="65" t="n">
        <f aca="false">COUNTIFS(Данные!$B$2:$B$722,27,Данные!$C$2:$C$722,2,Данные!$A$2:$A$722,"&gt;="&amp;77234120000,Данные!$A$2:$A$722,"&lt;="&amp;77234120999)</f>
        <v>0</v>
      </c>
      <c r="AH58" s="65" t="n">
        <f aca="false">COUNTIFS(Данные!$B$2:$B$722,27,Данные!$C$2:$C$722,2,Данные!$A$2:$A$722,"&gt;="&amp;77234127000,Данные!$A$2:$A$722,"&lt;="&amp;77234127999)</f>
        <v>0</v>
      </c>
      <c r="AI58" s="65" t="n">
        <f aca="false">COUNTIFS(Данные!$B$2:$B$722,27,Данные!$C$2:$C$722,2,Данные!$A$2:$A$722,"&gt;="&amp;77234220000,Данные!$A$2:$A$722,"&lt;="&amp;77234220999)</f>
        <v>0</v>
      </c>
      <c r="AJ58" s="65" t="n">
        <f aca="false">COUNTIFS(Данные!$B$2:$B$722,27,Данные!$C$2:$C$722,2,Данные!$A$2:$A$722,"&gt;="&amp;77234250000,Данные!$A$2:$A$722,"&lt;="&amp;77234250999)</f>
        <v>0</v>
      </c>
      <c r="AK58" s="65" t="n">
        <f aca="false">COUNTIFS(Данные!$B$2:$B$722,27,Данные!$C$2:$C$722,2,Данные!$A$2:$A$722,"&gt;="&amp;77233922950,Данные!$A$2:$A$722,"&lt;="&amp;77233924999)</f>
        <v>0</v>
      </c>
      <c r="AL58" s="65" t="n">
        <f aca="false">COUNTIFS(Данные!$B$2:$B$722,27,Данные!$C$2:$C$722,2,Данные!$A$2:$A$722,"&gt;="&amp;77234320000,Данные!$A$2:$A$722,"&lt;="&amp;77234320999)</f>
        <v>0</v>
      </c>
      <c r="AM58" s="65" t="n">
        <f aca="false">COUNTIFS(Данные!$B$2:$B$722,27,Данные!$C$2:$C$722,2,Данные!$A$2:$A$722,"&gt;="&amp;77234350000,Данные!$A$2:$A$722,"&lt;="&amp;77234350999)</f>
        <v>0</v>
      </c>
      <c r="AN58" s="65" t="n">
        <f aca="false">COUNTIFS(Данные!$B$2:$B$722,27,Данные!$C$2:$C$722,2,Данные!$A$2:$A$722,"&gt;="&amp;77234020000,Данные!$A$2:$A$722,"&lt;="&amp;77234020999)</f>
        <v>0</v>
      </c>
      <c r="AO58" s="65" t="n">
        <f aca="false">COUNTIFS(Данные!$B$2:$B$722,27,Данные!$C$2:$C$722,2,Данные!$A$2:$A$722,"&gt;="&amp;77234029000,Данные!$A$2:$A$722,"&lt;="&amp;77234029999)</f>
        <v>0</v>
      </c>
      <c r="AP58" s="65" t="n">
        <f aca="false">COUNTIFS(Данные!$B$2:$B$722,27,Данные!$C$2:$C$722,2,Данные!$A$2:$A$722,"&gt;="&amp;77234050000,Данные!$A$2:$A$722,"&lt;="&amp;77234050999)</f>
        <v>0</v>
      </c>
      <c r="AQ58" s="65" t="n">
        <f aca="false">COUNTIFS(Данные!$B$2:$B$722,27,Данные!$C$2:$C$722,2,Данные!$A$2:$A$722,"&gt;="&amp;77234427000,Данные!$A$2:$A$722,"&lt;="&amp;77234428999)</f>
        <v>0</v>
      </c>
      <c r="AR58" s="65" t="n">
        <f aca="false">COUNTIFS(Данные!$B$2:$B$722,27,Данные!$C$2:$C$722,2,Данные!$A$2:$A$722,"&gt;="&amp;77234450000,Данные!$A$2:$A$722,"&lt;="&amp;77234450999)</f>
        <v>0</v>
      </c>
      <c r="AS58" s="65" t="n">
        <f aca="false">COUNTIFS(Данные!$B$2:$B$722,27,Данные!$C$2:$C$722,2,Данные!$A$2:$A$722,"&gt;="&amp;77234620000,Данные!$A$2:$A$722,"&lt;="&amp;77234620999)</f>
        <v>0</v>
      </c>
      <c r="AT58" s="65" t="n">
        <f aca="false">COUNTIFS(Данные!$B$2:$B$722,27,Данные!$C$2:$C$722,2,Данные!$A$2:$A$722,"&gt;="&amp;77234650000,Данные!$A$2:$A$722,"&lt;="&amp;77234650999)</f>
        <v>0</v>
      </c>
      <c r="AU58" s="65" t="n">
        <f aca="false">COUNTIFS(Данные!$B$2:$B$722,27,Данные!$C$2:$C$722,2,Данные!$A$2:$A$722,"&gt;="&amp;77234820000,Данные!$A$2:$A$722,"&lt;="&amp;77234820999)</f>
        <v>0</v>
      </c>
      <c r="AV58" s="65" t="n">
        <f aca="false">COUNTIFS(Данные!$B$2:$B$722,27,Данные!$C$2:$C$722,2,Данные!$A$2:$A$722,"&gt;="&amp;77234850000,Данные!$A$2:$A$722,"&lt;="&amp;77234850999)</f>
        <v>0</v>
      </c>
      <c r="AW58" s="65" t="n">
        <f aca="false">COUNTIFS(Данные!$B$2:$B$722,27,Данные!$C$2:$C$722,2,Данные!$A$2:$A$722,"&gt;="&amp;77233327000,Данные!$A$2:$A$722,"&lt;="&amp;77233327999)</f>
        <v>0</v>
      </c>
      <c r="AX58" s="65" t="n">
        <f aca="false">COUNTIFS(Данные!$B$2:$B$722,27,Данные!$C$2:$C$722,2,Данные!$A$2:$A$722,"&gt;="&amp;77233350000,Данные!$A$2:$A$722,"&lt;="&amp;77233350599)</f>
        <v>0</v>
      </c>
      <c r="AY58" s="65" t="n">
        <f aca="false">COUNTIFS(Данные!$B$2:$B$722,27,Данные!$C$2:$C$722,2,Данные!$A$2:$A$722,"&gt;="&amp;77233351000,Данные!$A$2:$A$722,"&lt;="&amp;77233351999)</f>
        <v>0</v>
      </c>
      <c r="AZ58" s="66" t="n">
        <f aca="false">COUNTIFS(Данные!$B$2:$B$722,27,Данные!$C$2:$C$722,2,Данные!$A$2:$A$722,"&gt;="&amp;7722440000,Данные!$A$2:$A$722,"&lt;="&amp;7722440999)</f>
        <v>0</v>
      </c>
      <c r="BA58" s="66" t="n">
        <f aca="false">COUNTIFS(Данные!$B$2:$B$722,27,Данные!$C$2:$C$722,2,Данные!$A$2:$A$722,"&gt;="&amp;7722442000,Данные!$A$2:$A$722,"&lt;="&amp;7722445659)</f>
        <v>0</v>
      </c>
      <c r="BB58" s="66" t="n">
        <f aca="false">COUNTIFS(Данные!$B$2:$B$722,27,Данные!$C$2:$C$722,2,Данные!$A$2:$A$722,"&gt;="&amp;7722450000,Данные!$A$2:$A$722,"&lt;="&amp;7722450199)</f>
        <v>0</v>
      </c>
      <c r="BC58" s="66" t="n">
        <f aca="false">COUNTIFS(Данные!$B$2:$B$722,27,Данные!$C$2:$C$722,2,Данные!$A$2:$A$722,"&gt;="&amp;7722451000,Данные!$A$2:$A$722,"&lt;="&amp;7722451374)</f>
        <v>0</v>
      </c>
      <c r="BD58" s="66" t="n">
        <f aca="false">COUNTIFS(Данные!$B$2:$B$722,27,Данные!$C$2:$C$722,2,Данные!$A$2:$A$722,"&gt;="&amp;7722452000,Данные!$A$2:$A$722,"&lt;="&amp;7722452299)</f>
        <v>0</v>
      </c>
      <c r="BE58" s="66" t="n">
        <f aca="false">COUNTIFS(Данные!$B$2:$B$722,27,Данные!$C$2:$C$722,2,Данные!$A$2:$A$722,"&gt;="&amp;7722453000,Данные!$A$2:$A$722,"&lt;="&amp;7722453816)</f>
        <v>0</v>
      </c>
      <c r="BF58" s="66" t="n">
        <f aca="false">COUNTIFS(Данные!$B$2:$B$722,27,Данные!$C$2:$C$722,2,Данные!$A$2:$A$722,"&gt;="&amp;7722454000,Данные!$A$2:$A$722,"&lt;="&amp;7722454099)</f>
        <v>0</v>
      </c>
      <c r="BG58" s="66" t="n">
        <f aca="false">COUNTIFS(Данные!$B$2:$B$722,27,Данные!$C$2:$C$722,2,Данные!$A$2:$A$722,"&gt;="&amp;7722458000,Данные!$A$2:$A$722,"&lt;="&amp;7722458999)</f>
        <v>0</v>
      </c>
      <c r="BH58" s="66" t="n">
        <f aca="false">COUNTIFS(Данные!$B$2:$B$722,27,Данные!$C$2:$C$722,2,Данные!$A$2:$A$722,"&gt;="&amp;7722630000,Данные!$A$2:$A$722,"&lt;="&amp;7722638549)</f>
        <v>0</v>
      </c>
      <c r="BI58" s="66" t="n">
        <f aca="false">COUNTIFS(Данные!$B$2:$B$722,27,Данные!$C$2:$C$722,2,Данные!$A$2:$A$722,"&gt;="&amp;7722639400,Данные!$A$2:$A$722,"&lt;="&amp;7722639899)</f>
        <v>0</v>
      </c>
      <c r="BJ58" s="66" t="n">
        <f aca="false">COUNTIFS(Данные!$B$2:$B$722,27,Данные!$C$2:$C$722,2,Данные!$A$2:$A$722,"&gt;="&amp;7725750000,Данные!$A$2:$A$722,"&lt;="&amp;7725750399)</f>
        <v>0</v>
      </c>
      <c r="BK58" s="66" t="n">
        <f aca="false">COUNTIFS(Данные!$B$2:$B$722,27,Данные!$C$2:$C$722,2,Данные!$A$2:$A$722,"&gt;="&amp;7723620000,Данные!$A$2:$A$722,"&lt;="&amp;7723621299)</f>
        <v>0</v>
      </c>
      <c r="BL58" s="66" t="n">
        <f aca="false">COUNTIFS(Данные!$B$2:$B$722,27,Данные!$C$2:$C$722,2,Данные!$A$2:$A$722,"&gt;="&amp;7723621600,Данные!$A$2:$A$722,"&lt;="&amp;7723623399)</f>
        <v>0</v>
      </c>
      <c r="BM58" s="66" t="n">
        <f aca="false">COUNTIFS(Данные!$B$2:$B$722,27,Данные!$C$2:$C$722,2,Данные!$A$2:$A$722,"&gt;="&amp;7725127000,Данные!$A$2:$A$722,"&lt;="&amp;7725127999)</f>
        <v>0</v>
      </c>
      <c r="BN58" s="66" t="n">
        <f aca="false">COUNTIFS(Данные!$B$2:$B$722,27,Данные!$C$2:$C$722,2,Данные!$A$2:$A$722,"&gt;="&amp;7723772000,Данные!$A$2:$A$722,"&lt;="&amp;7723724999)</f>
        <v>0</v>
      </c>
      <c r="BO58" s="65" t="n">
        <f aca="false">COUNTIFS(Данные!$B$2:$B$722,27,Данные!$C$2:$C$722,2,Данные!$A$2:$A$722,"&gt;="&amp;7723765000,Данные!$A$2:$A$722,"&lt;="&amp;7723765499)</f>
        <v>0</v>
      </c>
      <c r="BP58" s="66" t="n">
        <f aca="false">COUNTIFS(Данные!$B$2:$B$722,27,Данные!$C$2:$C$722,2,Данные!$A$2:$A$722,"&gt;="&amp;7723948000,Данные!$A$2:$A$722,"&lt;="&amp;7723948999)</f>
        <v>0</v>
      </c>
      <c r="BQ58" s="66" t="n">
        <f aca="false">COUNTIFS(Данные!$B$2:$B$722,27,Данные!$C$2:$C$722,2,Данные!$A$2:$A$722,"&gt;="&amp;7723950000,Данные!$A$2:$A$722,"&lt;="&amp;7723951099)</f>
        <v>0</v>
      </c>
      <c r="BR58" s="66" t="n">
        <f aca="false">COUNTIFS(Данные!$B$2:$B$722,27,Данные!$C$2:$C$722,2,Данные!$A$2:$A$722,"&gt;="&amp;7723020000,Данные!$A$2:$A$722,"&lt;="&amp;7723020999)</f>
        <v>0</v>
      </c>
      <c r="BS58" s="66" t="n">
        <f aca="false">COUNTIFS(Данные!$B$2:$B$722,27,Данные!$C$2:$C$722,2,Данные!$A$2:$A$722,"&gt;="&amp;7723029000,Данные!$A$2:$A$722,"&lt;="&amp;7723029999)</f>
        <v>0</v>
      </c>
      <c r="BT58" s="66" t="n">
        <f aca="false">COUNTIFS(Данные!$B$2:$B$722,27,Данные!$C$2:$C$722,2,Данные!$A$2:$A$722,"&gt;="&amp;7723055000,Данные!$A$2:$A$722,"&lt;="&amp;7723056549)</f>
        <v>0</v>
      </c>
      <c r="BU58" s="65" t="n">
        <f aca="false">COUNTIFS(Данные!$B$2:$B$722,27,Данные!$C$2:$C$722,2,Данные!$A$2:$A$722,"&gt;="&amp;7725250000,Данные!$A$2:$A$722,"&lt;="&amp;7725250499)</f>
        <v>0</v>
      </c>
      <c r="BV58" s="66" t="n">
        <f aca="false">COUNTIFS(Данные!$B$2:$B$722,27,Данные!$C$2:$C$722,2,Данные!$A$2:$A$722,"&gt;="&amp;7183841400,Данные!$A$2:$A$722,"&lt;="&amp;7183841499)</f>
        <v>0</v>
      </c>
      <c r="BW58" s="49" t="n">
        <v>300</v>
      </c>
      <c r="BX58" s="67" t="n">
        <f aca="false">F58-BW58</f>
        <v>-300</v>
      </c>
    </row>
    <row r="59" s="15" customFormat="true" ht="12" hidden="false" customHeight="true" outlineLevel="0" collapsed="false">
      <c r="A59" s="38" t="n">
        <v>28</v>
      </c>
      <c r="B59" s="39" t="s">
        <v>79</v>
      </c>
      <c r="C59" s="41" t="n">
        <v>0</v>
      </c>
      <c r="D59" s="41" t="n">
        <v>280</v>
      </c>
      <c r="E59" s="42" t="n">
        <f aca="false">SUM(F59:F61)</f>
        <v>0</v>
      </c>
      <c r="F59" s="62" t="n">
        <f aca="false">COUNTIFS(Данные!$B$2:$B$722,28,Данные!$C$2:$C$722,0)</f>
        <v>0</v>
      </c>
      <c r="G59" s="62" t="n">
        <f aca="false">COUNTIFS(Данные!$B$2:$B$722,28,Данные!$C$2:$C$722,0,Данные!$A$2:$A$722,"&gt;="&amp;77232210840,Данные!$A$2:$A$722,"&lt;="&amp;77232216999)</f>
        <v>0</v>
      </c>
      <c r="H59" s="62" t="n">
        <f aca="false">COUNTIFS(Данные!$B$2:$B$722,28,Данные!$C$2:$C$722,0,Данные!$A$2:$A$722,"&gt;="&amp;77232510512,Данные!$A$2:$A$722,"&lt;="&amp;77232519487)</f>
        <v>0</v>
      </c>
      <c r="I59" s="62" t="n">
        <f aca="false">COUNTIFS(Данные!$B$2:$B$722,28,Данные!$C$2:$C$722,0,Данные!$A$2:$A$722,"&gt;="&amp;77232524160,Данные!$A$2:$A$722,"&lt;="&amp;77232529999)</f>
        <v>0</v>
      </c>
      <c r="J59" s="62" t="n">
        <f aca="false">COUNTIFS(Данные!$B$2:$B$722,28,Данные!$C$2:$C$722,0,Данные!$A$2:$A$722,"&gt;="&amp;77232544000,Данные!$A$2:$A$722,"&lt;="&amp;77232544999)</f>
        <v>0</v>
      </c>
      <c r="K59" s="62" t="n">
        <f aca="false">COUNTIFS(Данные!$B$2:$B$722,28,Данные!$C$2:$C$722,0,Данные!$A$2:$A$722,"&gt;="&amp;77232295504,Данные!$A$2:$A$722,"&lt;="&amp;77232296999)</f>
        <v>0</v>
      </c>
      <c r="L59" s="62" t="n">
        <f aca="false">COUNTIFS(Данные!$B$2:$B$722,28,Данные!$C$2:$C$722,0,Данные!$A$2:$A$722,"&gt;="&amp;77232785000,Данные!$A$2:$A$722,"&lt;="&amp;77232789999)</f>
        <v>0</v>
      </c>
      <c r="M59" s="62" t="n">
        <f aca="false">COUNTIFS(Данные!$B$2:$B$722,28,Данные!$C$2:$C$722,0,Данные!$A$2:$A$722,"&gt;="&amp;77233150000,Данные!$A$2:$A$722,"&lt;="&amp;77233155999)</f>
        <v>0</v>
      </c>
      <c r="N59" s="62" t="n">
        <f aca="false">COUNTIFS(Данные!$B$2:$B$722,28,Данные!$C$2:$C$722,0,Данные!$A$2:$A$722,"&gt;="&amp;77233235000,Данные!$A$2:$A$722,"&lt;="&amp;77233235999)</f>
        <v>0</v>
      </c>
      <c r="O59" s="62" t="n">
        <f aca="false">COUNTIFS(Данные!$B$2:$B$722,28,Данные!$C$2:$C$722,0,Данные!$A$2:$A$722,"&gt;="&amp;77233239000,Данные!$A$2:$A$722,"&lt;="&amp;77233239999)</f>
        <v>0</v>
      </c>
      <c r="P59" s="62" t="n">
        <f aca="false">COUNTIFS(Данные!$B$2:$B$722,28,Данные!$C$2:$C$722,0,Данные!$A$2:$A$722,"&gt;="&amp;77233272000,Данные!$A$2:$A$722,"&lt;="&amp;77233272999)</f>
        <v>0</v>
      </c>
      <c r="Q59" s="62" t="n">
        <f aca="false">COUNTIFS(Данные!$B$2:$B$722,28,Данные!$C$2:$C$722,0,Данные!$A$2:$A$722,"&gt;="&amp;77233291100,Данные!$A$2:$A$722,"&lt;="&amp;77233292999)</f>
        <v>0</v>
      </c>
      <c r="R59" s="62" t="n">
        <f aca="false">COUNTIFS(Данные!$B$2:$B$722,28,Данные!$C$2:$C$722,0,Данные!$A$2:$A$722,"&gt;="&amp;77233297000,Данные!$A$2:$A$722,"&lt;="&amp;77233298399)</f>
        <v>0</v>
      </c>
      <c r="S59" s="62" t="n">
        <f aca="false">COUNTIFS(Данные!$B$2:$B$722,28,Данные!$C$2:$C$722,0,Данные!$A$2:$A$722,"&gt;="&amp;77235124000,Данные!$A$2:$A$722,"&lt;="&amp;77235128499)</f>
        <v>0</v>
      </c>
      <c r="T59" s="62" t="n">
        <f aca="false">COUNTIFS(Данные!$B$2:$B$722,28,Данные!$C$2:$C$722,0,Данные!$A$2:$A$722,"&gt;="&amp;77235320000,Данные!$A$2:$A$722,"&lt;="&amp;77235320999)</f>
        <v>0</v>
      </c>
      <c r="U59" s="62" t="n">
        <f aca="false">COUNTIFS(Данные!$B$2:$B$722,28,Данные!$C$2:$C$722,0,Данные!$A$2:$A$722,"&gt;="&amp;77233620000,Данные!$A$2:$A$722,"&lt;="&amp;77233623339)</f>
        <v>0</v>
      </c>
      <c r="V59" s="62" t="n">
        <f aca="false">COUNTIFS(Данные!$B$2:$B$722,28,Данные!$C$2:$C$722,0,Данные!$A$2:$A$722,"&gt;="&amp;77233630000,Данные!$A$2:$A$722,"&lt;="&amp;77233630999)</f>
        <v>0</v>
      </c>
      <c r="W59" s="62" t="n">
        <f aca="false">COUNTIFS(Данные!$B$2:$B$722,28,Данные!$C$2:$C$722,0,Данные!$A$2:$A$722,"&gt;="&amp;77233637000,Данные!$A$2:$A$722,"&lt;="&amp;77233637599)</f>
        <v>0</v>
      </c>
      <c r="X59" s="62" t="n">
        <f aca="false">COUNTIFS(Данные!$B$2:$B$722,28,Данные!$C$2:$C$722,0,Данные!$A$2:$A$722,"&gt;="&amp;77233550000,Данные!$A$2:$A$722,"&lt;="&amp;77233550999)</f>
        <v>0</v>
      </c>
      <c r="Y59" s="62" t="n">
        <f aca="false">COUNTIFS(Данные!$B$2:$B$722,28,Данные!$C$2:$C$722,0,Данные!$A$2:$A$722,"&gt;="&amp;77233554000,Данные!$A$2:$A$722,"&lt;="&amp;77233554999)</f>
        <v>0</v>
      </c>
      <c r="Z59" s="62" t="n">
        <f aca="false">COUNTIFS(Данные!$B$2:$B$722,28,Данные!$C$2:$C$722,0,Данные!$A$2:$A$722,"&gt;="&amp;77233555000,Данные!$A$2:$A$722,"&lt;="&amp;77233556999)</f>
        <v>0</v>
      </c>
      <c r="AA59" s="62" t="n">
        <f aca="false">COUNTIFS(Данные!$B$2:$B$722,28,Данные!$C$2:$C$722,0,Данные!$A$2:$A$722,"&gt;="&amp;77233726000,Данные!$A$2:$A$722,"&lt;="&amp;77233726999)</f>
        <v>0</v>
      </c>
      <c r="AB59" s="62" t="n">
        <f aca="false">COUNTIFS(Данные!$B$2:$B$722,28,Данные!$C$2:$C$722,0,Данные!$A$2:$A$722,"&gt;="&amp;77233820000,Данные!$A$2:$A$722,"&lt;="&amp;77233820999)</f>
        <v>0</v>
      </c>
      <c r="AC59" s="62" t="n">
        <f aca="false">COUNTIFS(Данные!$B$2:$B$722,28,Данные!$C$2:$C$722,0,Данные!$A$2:$A$722,"&gt;="&amp;77233850000,Данные!$A$2:$A$722,"&lt;="&amp;77233850999)</f>
        <v>0</v>
      </c>
      <c r="AD59" s="62" t="n">
        <f aca="false">COUNTIFS(Данные!$B$2:$B$722,28,Данные!$C$2:$C$722,0,Данные!$A$2:$A$722,"&gt;="&amp;77233420000,Данные!$A$2:$A$722,"&lt;="&amp;77233420999)</f>
        <v>0</v>
      </c>
      <c r="AE59" s="62" t="n">
        <f aca="false">COUNTIFS(Данные!$B$2:$B$722,28,Данные!$C$2:$C$722,0,Данные!$A$2:$A$722,"&gt;="&amp;77234740000,Данные!$A$2:$A$722,"&lt;="&amp;77234742999)</f>
        <v>0</v>
      </c>
      <c r="AF59" s="62" t="n">
        <f aca="false">COUNTIFS(Данные!$B$2:$B$722,28,Данные!$C$2:$C$722,0,Данные!$A$2:$A$722,"&gt;="&amp;77234767000,Данные!$A$2:$A$722,"&lt;="&amp;77234767999)</f>
        <v>0</v>
      </c>
      <c r="AG59" s="62" t="n">
        <f aca="false">COUNTIFS(Данные!$B$2:$B$722,28,Данные!$C$2:$C$722,0,Данные!$A$2:$A$722,"&gt;="&amp;77234120000,Данные!$A$2:$A$722,"&lt;="&amp;77234120999)</f>
        <v>0</v>
      </c>
      <c r="AH59" s="62" t="n">
        <f aca="false">COUNTIFS(Данные!$B$2:$B$722,28,Данные!$C$2:$C$722,0,Данные!$A$2:$A$722,"&gt;="&amp;77234127000,Данные!$A$2:$A$722,"&lt;="&amp;77234127999)</f>
        <v>0</v>
      </c>
      <c r="AI59" s="62" t="n">
        <f aca="false">COUNTIFS(Данные!$B$2:$B$722,28,Данные!$C$2:$C$722,0,Данные!$A$2:$A$722,"&gt;="&amp;77234220000,Данные!$A$2:$A$722,"&lt;="&amp;77234220999)</f>
        <v>0</v>
      </c>
      <c r="AJ59" s="62" t="n">
        <f aca="false">COUNTIFS(Данные!$B$2:$B$722,28,Данные!$C$2:$C$722,0,Данные!$A$2:$A$722,"&gt;="&amp;77234250000,Данные!$A$2:$A$722,"&lt;="&amp;77234250999)</f>
        <v>0</v>
      </c>
      <c r="AK59" s="62" t="n">
        <f aca="false">COUNTIFS(Данные!$B$2:$B$722,28,Данные!$C$2:$C$722,0,Данные!$A$2:$A$722,"&gt;="&amp;77233922950,Данные!$A$2:$A$722,"&lt;="&amp;77233924999)</f>
        <v>0</v>
      </c>
      <c r="AL59" s="62" t="n">
        <f aca="false">COUNTIFS(Данные!$B$2:$B$722,28,Данные!$C$2:$C$722,0,Данные!$A$2:$A$722,"&gt;="&amp;77234320000,Данные!$A$2:$A$722,"&lt;="&amp;77234320999)</f>
        <v>0</v>
      </c>
      <c r="AM59" s="62" t="n">
        <f aca="false">COUNTIFS(Данные!$B$2:$B$722,28,Данные!$C$2:$C$722,0,Данные!$A$2:$A$722,"&gt;="&amp;77234350000,Данные!$A$2:$A$722,"&lt;="&amp;77234350999)</f>
        <v>0</v>
      </c>
      <c r="AN59" s="62" t="n">
        <f aca="false">COUNTIFS(Данные!$B$2:$B$722,28,Данные!$C$2:$C$722,0,Данные!$A$2:$A$722,"&gt;="&amp;77234020000,Данные!$A$2:$A$722,"&lt;="&amp;77234020999)</f>
        <v>0</v>
      </c>
      <c r="AO59" s="62" t="n">
        <f aca="false">COUNTIFS(Данные!$B$2:$B$722,28,Данные!$C$2:$C$722,0,Данные!$A$2:$A$722,"&gt;="&amp;77234029000,Данные!$A$2:$A$722,"&lt;="&amp;77234029999)</f>
        <v>0</v>
      </c>
      <c r="AP59" s="62" t="n">
        <f aca="false">COUNTIFS(Данные!$B$2:$B$722,28,Данные!$C$2:$C$722,0,Данные!$A$2:$A$722,"&gt;="&amp;77234050000,Данные!$A$2:$A$722,"&lt;="&amp;77234050999)</f>
        <v>0</v>
      </c>
      <c r="AQ59" s="62" t="n">
        <f aca="false">COUNTIFS(Данные!$B$2:$B$722,28,Данные!$C$2:$C$722,0,Данные!$A$2:$A$722,"&gt;="&amp;77234427000,Данные!$A$2:$A$722,"&lt;="&amp;77234428999)</f>
        <v>0</v>
      </c>
      <c r="AR59" s="62" t="n">
        <f aca="false">COUNTIFS(Данные!$B$2:$B$722,28,Данные!$C$2:$C$722,0,Данные!$A$2:$A$722,"&gt;="&amp;77234450000,Данные!$A$2:$A$722,"&lt;="&amp;77234450999)</f>
        <v>0</v>
      </c>
      <c r="AS59" s="62" t="n">
        <f aca="false">COUNTIFS(Данные!$B$2:$B$722,28,Данные!$C$2:$C$722,0,Данные!$A$2:$A$722,"&gt;="&amp;77234620000,Данные!$A$2:$A$722,"&lt;="&amp;77234620999)</f>
        <v>0</v>
      </c>
      <c r="AT59" s="62" t="n">
        <f aca="false">COUNTIFS(Данные!$B$2:$B$722,28,Данные!$C$2:$C$722,0,Данные!$A$2:$A$722,"&gt;="&amp;77234650000,Данные!$A$2:$A$722,"&lt;="&amp;77234650999)</f>
        <v>0</v>
      </c>
      <c r="AU59" s="62" t="n">
        <f aca="false">COUNTIFS(Данные!$B$2:$B$722,28,Данные!$C$2:$C$722,0,Данные!$A$2:$A$722,"&gt;="&amp;77234820000,Данные!$A$2:$A$722,"&lt;="&amp;77234820999)</f>
        <v>0</v>
      </c>
      <c r="AV59" s="62" t="n">
        <f aca="false">COUNTIFS(Данные!$B$2:$B$722,28,Данные!$C$2:$C$722,0,Данные!$A$2:$A$722,"&gt;="&amp;77234850000,Данные!$A$2:$A$722,"&lt;="&amp;77234850999)</f>
        <v>0</v>
      </c>
      <c r="AW59" s="62" t="n">
        <f aca="false">COUNTIFS(Данные!$B$2:$B$722,28,Данные!$C$2:$C$722,0,Данные!$A$2:$A$722,"&gt;="&amp;77233327000,Данные!$A$2:$A$722,"&lt;="&amp;77233327999)</f>
        <v>0</v>
      </c>
      <c r="AX59" s="62" t="n">
        <f aca="false">COUNTIFS(Данные!$B$2:$B$722,28,Данные!$C$2:$C$722,0,Данные!$A$2:$A$722,"&gt;="&amp;77233350000,Данные!$A$2:$A$722,"&lt;="&amp;77233350599)</f>
        <v>0</v>
      </c>
      <c r="AY59" s="62" t="n">
        <f aca="false">COUNTIFS(Данные!$B$2:$B$722,28,Данные!$C$2:$C$722,0,Данные!$A$2:$A$722,"&gt;="&amp;77233351000,Данные!$A$2:$A$722,"&lt;="&amp;77233351999)</f>
        <v>0</v>
      </c>
      <c r="AZ59" s="62" t="n">
        <f aca="false">COUNTIFS(Данные!$B$2:$B$722,28,Данные!$C$2:$C$722,0,Данные!$A$2:$A$722,"&gt;="&amp;7722440000,Данные!$A$2:$A$722,"&lt;="&amp;7722440999)</f>
        <v>0</v>
      </c>
      <c r="BA59" s="63" t="n">
        <f aca="false">COUNTIFS(Данные!$B$2:$B$722,28,Данные!$C$2:$C$722,0,Данные!$A$2:$A$722,"&gt;="&amp;7722442000,Данные!$A$2:$A$722,"&lt;="&amp;7722445659)</f>
        <v>0</v>
      </c>
      <c r="BB59" s="63" t="n">
        <f aca="false">COUNTIFS(Данные!$B$2:$B$722,28,Данные!$C$2:$C$722,0,Данные!$A$2:$A$722,"&gt;="&amp;7722450000,Данные!$A$2:$A$722,"&lt;="&amp;7722450199)</f>
        <v>0</v>
      </c>
      <c r="BC59" s="63" t="n">
        <f aca="false">COUNTIFS(Данные!$B$2:$B$722,28,Данные!$C$2:$C$722,0,Данные!$A$2:$A$722,"&gt;="&amp;7722451000,Данные!$A$2:$A$722,"&lt;="&amp;7722451374)</f>
        <v>0</v>
      </c>
      <c r="BD59" s="63" t="n">
        <f aca="false">COUNTIFS(Данные!$B$2:$B$722,28,Данные!$C$2:$C$722,0,Данные!$A$2:$A$722,"&gt;="&amp;7722452000,Данные!$A$2:$A$722,"&lt;="&amp;7722452299)</f>
        <v>0</v>
      </c>
      <c r="BE59" s="63" t="n">
        <f aca="false">COUNTIFS(Данные!$B$2:$B$722,28,Данные!$C$2:$C$722,0,Данные!$A$2:$A$722,"&gt;="&amp;7722453000,Данные!$A$2:$A$722,"&lt;="&amp;7722453816)</f>
        <v>0</v>
      </c>
      <c r="BF59" s="63" t="n">
        <f aca="false">COUNTIFS(Данные!$B$2:$B$722,28,Данные!$C$2:$C$722,0,Данные!$A$2:$A$722,"&gt;="&amp;7722454000,Данные!$A$2:$A$722,"&lt;="&amp;7722454099)</f>
        <v>0</v>
      </c>
      <c r="BG59" s="63" t="n">
        <f aca="false">COUNTIFS(Данные!$B$2:$B$722,28,Данные!$C$2:$C$722,0,Данные!$A$2:$A$722,"&gt;="&amp;7722458000,Данные!$A$2:$A$722,"&lt;="&amp;7722458999)</f>
        <v>0</v>
      </c>
      <c r="BH59" s="63" t="n">
        <f aca="false">COUNTIFS(Данные!$B$2:$B$722,28,Данные!$C$2:$C$722,0,Данные!$A$2:$A$722,"&gt;="&amp;7722630000,Данные!$A$2:$A$722,"&lt;="&amp;7722638549)</f>
        <v>0</v>
      </c>
      <c r="BI59" s="63" t="n">
        <f aca="false">COUNTIFS(Данные!$B$2:$B$722,28,Данные!$C$2:$C$722,0,Данные!$A$2:$A$722,"&gt;="&amp;7722639400,Данные!$A$2:$A$722,"&lt;="&amp;7722639899)</f>
        <v>0</v>
      </c>
      <c r="BJ59" s="63" t="n">
        <f aca="false">COUNTIFS(Данные!$B$2:$B$722,28,Данные!$C$2:$C$722,0,Данные!$A$2:$A$722,"&gt;="&amp;7725750000,Данные!$A$2:$A$722,"&lt;="&amp;7725750399)</f>
        <v>0</v>
      </c>
      <c r="BK59" s="63" t="n">
        <f aca="false">COUNTIFS(Данные!$B$2:$B$722,28,Данные!$C$2:$C$722,0,Данные!$A$2:$A$722,"&gt;="&amp;7723620000,Данные!$A$2:$A$722,"&lt;="&amp;7723621299)</f>
        <v>0</v>
      </c>
      <c r="BL59" s="63" t="n">
        <f aca="false">COUNTIFS(Данные!$B$2:$B$722,28,Данные!$C$2:$C$722,0,Данные!$A$2:$A$722,"&gt;="&amp;7723621600,Данные!$A$2:$A$722,"&lt;="&amp;7723623399)</f>
        <v>0</v>
      </c>
      <c r="BM59" s="63" t="n">
        <f aca="false">COUNTIFS(Данные!$B$2:$B$722,28,Данные!$C$2:$C$722,0,Данные!$A$2:$A$722,"&gt;="&amp;7725127000,Данные!$A$2:$A$722,"&lt;="&amp;7725127999)</f>
        <v>0</v>
      </c>
      <c r="BN59" s="63" t="n">
        <f aca="false">COUNTIFS(Данные!$B$2:$B$722,28,Данные!$C$2:$C$722,0,Данные!$A$2:$A$722,"&gt;="&amp;7723772000,Данные!$A$2:$A$722,"&lt;="&amp;7723724999)</f>
        <v>0</v>
      </c>
      <c r="BO59" s="62" t="n">
        <f aca="false">COUNTIFS(Данные!$B$2:$B$722,28,Данные!$C$2:$C$722,0,Данные!$A$2:$A$722,"&gt;="&amp;7723765000,Данные!$A$2:$A$722,"&lt;="&amp;7723765499)</f>
        <v>0</v>
      </c>
      <c r="BP59" s="63" t="n">
        <f aca="false">COUNTIFS(Данные!$B$2:$B$722,28,Данные!$C$2:$C$722,0,Данные!$A$2:$A$722,"&gt;="&amp;7723948000,Данные!$A$2:$A$722,"&lt;="&amp;7723948999)</f>
        <v>0</v>
      </c>
      <c r="BQ59" s="63" t="n">
        <f aca="false">COUNTIFS(Данные!$B$2:$B$722,28,Данные!$C$2:$C$722,0,Данные!$A$2:$A$722,"&gt;="&amp;7723950000,Данные!$A$2:$A$722,"&lt;="&amp;7723951099)</f>
        <v>0</v>
      </c>
      <c r="BR59" s="63" t="n">
        <f aca="false">COUNTIFS(Данные!$B$2:$B$722,28,Данные!$C$2:$C$722,0,Данные!$A$2:$A$722,"&gt;="&amp;7723020000,Данные!$A$2:$A$722,"&lt;="&amp;7723020999)</f>
        <v>0</v>
      </c>
      <c r="BS59" s="63" t="n">
        <f aca="false">COUNTIFS(Данные!$B$2:$B$722,28,Данные!$C$2:$C$722,0,Данные!$A$2:$A$722,"&gt;="&amp;7723029000,Данные!$A$2:$A$722,"&lt;="&amp;7723029999)</f>
        <v>0</v>
      </c>
      <c r="BT59" s="63" t="n">
        <f aca="false">COUNTIFS(Данные!$B$2:$B$722,28,Данные!$C$2:$C$722,0,Данные!$A$2:$A$722,"&gt;="&amp;7723055000,Данные!$A$2:$A$722,"&lt;="&amp;7723056549)</f>
        <v>0</v>
      </c>
      <c r="BU59" s="62" t="n">
        <f aca="false">COUNTIFS(Данные!$B$2:$B$722,28,Данные!$C$2:$C$722,0,Данные!$A$2:$A$722,"&gt;="&amp;7725250000,Данные!$A$2:$A$722,"&lt;="&amp;7725250499)</f>
        <v>0</v>
      </c>
      <c r="BV59" s="63" t="n">
        <f aca="false">COUNTIFS(Данные!$B$2:$B$722,28,Данные!$C$2:$C$722,0,Данные!$A$2:$A$722,"&gt;="&amp;7183841400,Данные!$A$2:$A$722,"&lt;="&amp;7183841499)</f>
        <v>0</v>
      </c>
      <c r="BW59" s="40" t="n">
        <v>300</v>
      </c>
      <c r="BX59" s="64" t="n">
        <f aca="false">F59-BW59</f>
        <v>-300</v>
      </c>
    </row>
    <row r="60" s="15" customFormat="true" ht="12" hidden="false" customHeight="true" outlineLevel="0" collapsed="false">
      <c r="A60" s="38"/>
      <c r="B60" s="39"/>
      <c r="C60" s="41" t="n">
        <v>1</v>
      </c>
      <c r="D60" s="41" t="n">
        <v>281</v>
      </c>
      <c r="E60" s="42"/>
      <c r="F60" s="62" t="n">
        <f aca="false">COUNTIFS(Данные!$B$2:$B$722,28,Данные!$C$2:$C$722,1)</f>
        <v>0</v>
      </c>
      <c r="G60" s="62" t="n">
        <f aca="false">COUNTIFS(Данные!$B$2:$B$722,28,Данные!$C$2:$C$722,1,Данные!$A$2:$A$722,"&gt;="&amp;77232210840,Данные!$A$2:$A$722,"&lt;="&amp;77232216999)</f>
        <v>0</v>
      </c>
      <c r="H60" s="62" t="n">
        <f aca="false">COUNTIFS(Данные!$B$2:$B$722,28,Данные!$C$2:$C$722,1,Данные!$A$2:$A$722,"&gt;="&amp;77232510512,Данные!$A$2:$A$722,"&lt;="&amp;77232519487)</f>
        <v>0</v>
      </c>
      <c r="I60" s="62" t="n">
        <f aca="false">COUNTIFS(Данные!$B$2:$B$722,28,Данные!$C$2:$C$722,1,Данные!$A$2:$A$722,"&gt;="&amp;77232524160,Данные!$A$2:$A$722,"&lt;="&amp;77232529999)</f>
        <v>0</v>
      </c>
      <c r="J60" s="62" t="n">
        <f aca="false">COUNTIFS(Данные!$B$2:$B$722,28,Данные!$C$2:$C$722,1,Данные!$A$2:$A$722,"&gt;="&amp;77232544000,Данные!$A$2:$A$722,"&lt;="&amp;77232544999)</f>
        <v>0</v>
      </c>
      <c r="K60" s="62" t="n">
        <f aca="false">COUNTIFS(Данные!$B$2:$B$722,28,Данные!$C$2:$C$722,1,Данные!$A$2:$A$722,"&gt;="&amp;77232295504,Данные!$A$2:$A$722,"&lt;="&amp;77232296999)</f>
        <v>0</v>
      </c>
      <c r="L60" s="62" t="n">
        <f aca="false">COUNTIFS(Данные!$B$2:$B$722,28,Данные!$C$2:$C$722,1,Данные!$A$2:$A$722,"&gt;="&amp;77232785000,Данные!$A$2:$A$722,"&lt;="&amp;77232789999)</f>
        <v>0</v>
      </c>
      <c r="M60" s="62" t="n">
        <f aca="false">COUNTIFS(Данные!$B$2:$B$722,28,Данные!$C$2:$C$722,1,Данные!$A$2:$A$722,"&gt;="&amp;77233150000,Данные!$A$2:$A$722,"&lt;="&amp;77233155999)</f>
        <v>0</v>
      </c>
      <c r="N60" s="62" t="n">
        <f aca="false">COUNTIFS(Данные!$B$2:$B$722,28,Данные!$C$2:$C$722,1,Данные!$A$2:$A$722,"&gt;="&amp;77233235000,Данные!$A$2:$A$722,"&lt;="&amp;77233235999)</f>
        <v>0</v>
      </c>
      <c r="O60" s="62" t="n">
        <f aca="false">COUNTIFS(Данные!$B$2:$B$722,28,Данные!$C$2:$C$722,1,Данные!$A$2:$A$722,"&gt;="&amp;77233239000,Данные!$A$2:$A$722,"&lt;="&amp;77233239999)</f>
        <v>0</v>
      </c>
      <c r="P60" s="62" t="n">
        <f aca="false">COUNTIFS(Данные!$B$2:$B$722,28,Данные!$C$2:$C$722,1,Данные!$A$2:$A$722,"&gt;="&amp;77233272000,Данные!$A$2:$A$722,"&lt;="&amp;77233272999)</f>
        <v>0</v>
      </c>
      <c r="Q60" s="62" t="n">
        <f aca="false">COUNTIFS(Данные!$B$2:$B$722,28,Данные!$C$2:$C$722,1,Данные!$A$2:$A$722,"&gt;="&amp;77233291100,Данные!$A$2:$A$722,"&lt;="&amp;77233292999)</f>
        <v>0</v>
      </c>
      <c r="R60" s="62" t="n">
        <f aca="false">COUNTIFS(Данные!$B$2:$B$722,28,Данные!$C$2:$C$722,1,Данные!$A$2:$A$722,"&gt;="&amp;77233297000,Данные!$A$2:$A$722,"&lt;="&amp;77233298399)</f>
        <v>0</v>
      </c>
      <c r="S60" s="62" t="n">
        <f aca="false">COUNTIFS(Данные!$B$2:$B$722,28,Данные!$C$2:$C$722,1,Данные!$A$2:$A$722,"&gt;="&amp;77235124000,Данные!$A$2:$A$722,"&lt;="&amp;77235128499)</f>
        <v>0</v>
      </c>
      <c r="T60" s="62" t="n">
        <f aca="false">COUNTIFS(Данные!$B$2:$B$722,28,Данные!$C$2:$C$722,1,Данные!$A$2:$A$722,"&gt;="&amp;77235320000,Данные!$A$2:$A$722,"&lt;="&amp;77235320999)</f>
        <v>0</v>
      </c>
      <c r="U60" s="62" t="n">
        <f aca="false">COUNTIFS(Данные!$B$2:$B$722,28,Данные!$C$2:$C$722,1,Данные!$A$2:$A$722,"&gt;="&amp;77233620000,Данные!$A$2:$A$722,"&lt;="&amp;77233623339)</f>
        <v>0</v>
      </c>
      <c r="V60" s="62" t="n">
        <f aca="false">COUNTIFS(Данные!$B$2:$B$722,28,Данные!$C$2:$C$722,1,Данные!$A$2:$A$722,"&gt;="&amp;77233630000,Данные!$A$2:$A$722,"&lt;="&amp;77233630999)</f>
        <v>0</v>
      </c>
      <c r="W60" s="62" t="n">
        <f aca="false">COUNTIFS(Данные!$B$2:$B$722,28,Данные!$C$2:$C$722,1,Данные!$A$2:$A$722,"&gt;="&amp;77233637000,Данные!$A$2:$A$722,"&lt;="&amp;77233637599)</f>
        <v>0</v>
      </c>
      <c r="X60" s="62" t="n">
        <f aca="false">COUNTIFS(Данные!$B$2:$B$722,28,Данные!$C$2:$C$722,1,Данные!$A$2:$A$722,"&gt;="&amp;77233550000,Данные!$A$2:$A$722,"&lt;="&amp;77233550999)</f>
        <v>0</v>
      </c>
      <c r="Y60" s="62" t="n">
        <f aca="false">COUNTIFS(Данные!$B$2:$B$722,28,Данные!$C$2:$C$722,1,Данные!$A$2:$A$722,"&gt;="&amp;77233554000,Данные!$A$2:$A$722,"&lt;="&amp;77233554999)</f>
        <v>0</v>
      </c>
      <c r="Z60" s="62" t="n">
        <f aca="false">COUNTIFS(Данные!$B$2:$B$722,28,Данные!$C$2:$C$722,1,Данные!$A$2:$A$722,"&gt;="&amp;77233555000,Данные!$A$2:$A$722,"&lt;="&amp;77233556999)</f>
        <v>0</v>
      </c>
      <c r="AA60" s="62" t="n">
        <f aca="false">COUNTIFS(Данные!$B$2:$B$722,28,Данные!$C$2:$C$722,1,Данные!$A$2:$A$722,"&gt;="&amp;77233726000,Данные!$A$2:$A$722,"&lt;="&amp;77233726999)</f>
        <v>0</v>
      </c>
      <c r="AB60" s="62" t="n">
        <f aca="false">COUNTIFS(Данные!$B$2:$B$722,28,Данные!$C$2:$C$722,1,Данные!$A$2:$A$722,"&gt;="&amp;77233820000,Данные!$A$2:$A$722,"&lt;="&amp;77233820999)</f>
        <v>0</v>
      </c>
      <c r="AC60" s="62" t="n">
        <f aca="false">COUNTIFS(Данные!$B$2:$B$722,28,Данные!$C$2:$C$722,1,Данные!$A$2:$A$722,"&gt;="&amp;77233850000,Данные!$A$2:$A$722,"&lt;="&amp;77233850999)</f>
        <v>0</v>
      </c>
      <c r="AD60" s="62" t="n">
        <f aca="false">COUNTIFS(Данные!$B$2:$B$722,28,Данные!$C$2:$C$722,1,Данные!$A$2:$A$722,"&gt;="&amp;77233420000,Данные!$A$2:$A$722,"&lt;="&amp;77233420999)</f>
        <v>0</v>
      </c>
      <c r="AE60" s="62" t="n">
        <f aca="false">COUNTIFS(Данные!$B$2:$B$722,28,Данные!$C$2:$C$722,1,Данные!$A$2:$A$722,"&gt;="&amp;77234740000,Данные!$A$2:$A$722,"&lt;="&amp;77234742999)</f>
        <v>0</v>
      </c>
      <c r="AF60" s="62" t="n">
        <f aca="false">COUNTIFS(Данные!$B$2:$B$722,28,Данные!$C$2:$C$722,1,Данные!$A$2:$A$722,"&gt;="&amp;77234767000,Данные!$A$2:$A$722,"&lt;="&amp;77234767999)</f>
        <v>0</v>
      </c>
      <c r="AG60" s="62" t="n">
        <f aca="false">COUNTIFS(Данные!$B$2:$B$722,28,Данные!$C$2:$C$722,1,Данные!$A$2:$A$722,"&gt;="&amp;77234120000,Данные!$A$2:$A$722,"&lt;="&amp;77234120999)</f>
        <v>0</v>
      </c>
      <c r="AH60" s="62" t="n">
        <f aca="false">COUNTIFS(Данные!$B$2:$B$722,28,Данные!$C$2:$C$722,1,Данные!$A$2:$A$722,"&gt;="&amp;77234127000,Данные!$A$2:$A$722,"&lt;="&amp;77234127999)</f>
        <v>0</v>
      </c>
      <c r="AI60" s="62" t="n">
        <f aca="false">COUNTIFS(Данные!$B$2:$B$722,28,Данные!$C$2:$C$722,1,Данные!$A$2:$A$722,"&gt;="&amp;77234220000,Данные!$A$2:$A$722,"&lt;="&amp;77234220999)</f>
        <v>0</v>
      </c>
      <c r="AJ60" s="62" t="n">
        <f aca="false">COUNTIFS(Данные!$B$2:$B$722,28,Данные!$C$2:$C$722,1,Данные!$A$2:$A$722,"&gt;="&amp;77234250000,Данные!$A$2:$A$722,"&lt;="&amp;77234250999)</f>
        <v>0</v>
      </c>
      <c r="AK60" s="62" t="n">
        <f aca="false">COUNTIFS(Данные!$B$2:$B$722,28,Данные!$C$2:$C$722,1,Данные!$A$2:$A$722,"&gt;="&amp;77233922950,Данные!$A$2:$A$722,"&lt;="&amp;77233924999)</f>
        <v>0</v>
      </c>
      <c r="AL60" s="62" t="n">
        <f aca="false">COUNTIFS(Данные!$B$2:$B$722,28,Данные!$C$2:$C$722,1,Данные!$A$2:$A$722,"&gt;="&amp;77234320000,Данные!$A$2:$A$722,"&lt;="&amp;77234320999)</f>
        <v>0</v>
      </c>
      <c r="AM60" s="62" t="n">
        <f aca="false">COUNTIFS(Данные!$B$2:$B$722,28,Данные!$C$2:$C$722,1,Данные!$A$2:$A$722,"&gt;="&amp;77234350000,Данные!$A$2:$A$722,"&lt;="&amp;77234350999)</f>
        <v>0</v>
      </c>
      <c r="AN60" s="62" t="n">
        <f aca="false">COUNTIFS(Данные!$B$2:$B$722,28,Данные!$C$2:$C$722,1,Данные!$A$2:$A$722,"&gt;="&amp;77234020000,Данные!$A$2:$A$722,"&lt;="&amp;77234020999)</f>
        <v>0</v>
      </c>
      <c r="AO60" s="62" t="n">
        <f aca="false">COUNTIFS(Данные!$B$2:$B$722,28,Данные!$C$2:$C$722,1,Данные!$A$2:$A$722,"&gt;="&amp;77234029000,Данные!$A$2:$A$722,"&lt;="&amp;77234029999)</f>
        <v>0</v>
      </c>
      <c r="AP60" s="62" t="n">
        <f aca="false">COUNTIFS(Данные!$B$2:$B$722,28,Данные!$C$2:$C$722,1,Данные!$A$2:$A$722,"&gt;="&amp;77234050000,Данные!$A$2:$A$722,"&lt;="&amp;77234050999)</f>
        <v>0</v>
      </c>
      <c r="AQ60" s="62" t="n">
        <f aca="false">COUNTIFS(Данные!$B$2:$B$722,28,Данные!$C$2:$C$722,1,Данные!$A$2:$A$722,"&gt;="&amp;77234427000,Данные!$A$2:$A$722,"&lt;="&amp;77234428999)</f>
        <v>0</v>
      </c>
      <c r="AR60" s="62" t="n">
        <f aca="false">COUNTIFS(Данные!$B$2:$B$722,28,Данные!$C$2:$C$722,1,Данные!$A$2:$A$722,"&gt;="&amp;77234450000,Данные!$A$2:$A$722,"&lt;="&amp;77234450999)</f>
        <v>0</v>
      </c>
      <c r="AS60" s="62" t="n">
        <f aca="false">COUNTIFS(Данные!$B$2:$B$722,28,Данные!$C$2:$C$722,1,Данные!$A$2:$A$722,"&gt;="&amp;77234620000,Данные!$A$2:$A$722,"&lt;="&amp;77234620999)</f>
        <v>0</v>
      </c>
      <c r="AT60" s="62" t="n">
        <f aca="false">COUNTIFS(Данные!$B$2:$B$722,28,Данные!$C$2:$C$722,1,Данные!$A$2:$A$722,"&gt;="&amp;77234650000,Данные!$A$2:$A$722,"&lt;="&amp;77234650999)</f>
        <v>0</v>
      </c>
      <c r="AU60" s="62" t="n">
        <f aca="false">COUNTIFS(Данные!$B$2:$B$722,28,Данные!$C$2:$C$722,1,Данные!$A$2:$A$722,"&gt;="&amp;77234820000,Данные!$A$2:$A$722,"&lt;="&amp;77234820999)</f>
        <v>0</v>
      </c>
      <c r="AV60" s="62" t="n">
        <f aca="false">COUNTIFS(Данные!$B$2:$B$722,28,Данные!$C$2:$C$722,1,Данные!$A$2:$A$722,"&gt;="&amp;77234850000,Данные!$A$2:$A$722,"&lt;="&amp;77234850999)</f>
        <v>0</v>
      </c>
      <c r="AW60" s="62" t="n">
        <f aca="false">COUNTIFS(Данные!$B$2:$B$722,28,Данные!$C$2:$C$722,1,Данные!$A$2:$A$722,"&gt;="&amp;77233327000,Данные!$A$2:$A$722,"&lt;="&amp;77233327999)</f>
        <v>0</v>
      </c>
      <c r="AX60" s="62" t="n">
        <f aca="false">COUNTIFS(Данные!$B$2:$B$722,28,Данные!$C$2:$C$722,1,Данные!$A$2:$A$722,"&gt;="&amp;77233350000,Данные!$A$2:$A$722,"&lt;="&amp;77233350599)</f>
        <v>0</v>
      </c>
      <c r="AY60" s="62" t="n">
        <f aca="false">COUNTIFS(Данные!$B$2:$B$722,28,Данные!$C$2:$C$722,1,Данные!$A$2:$A$722,"&gt;="&amp;77233351000,Данные!$A$2:$A$722,"&lt;="&amp;77233351999)</f>
        <v>0</v>
      </c>
      <c r="AZ60" s="63" t="n">
        <f aca="false">COUNTIFS(Данные!$B$2:$B$722,28,Данные!$C$2:$C$722,1,Данные!$A$2:$A$722,"&gt;="&amp;7722440000,Данные!$A$2:$A$722,"&lt;="&amp;7722440999)</f>
        <v>0</v>
      </c>
      <c r="BA60" s="63" t="n">
        <f aca="false">COUNTIFS(Данные!$B$2:$B$722,28,Данные!$C$2:$C$722,1,Данные!$A$2:$A$722,"&gt;="&amp;7722442000,Данные!$A$2:$A$722,"&lt;="&amp;7722445659)</f>
        <v>0</v>
      </c>
      <c r="BB60" s="63" t="n">
        <f aca="false">COUNTIFS(Данные!$B$2:$B$722,28,Данные!$C$2:$C$722,1,Данные!$A$2:$A$722,"&gt;="&amp;7722450000,Данные!$A$2:$A$722,"&lt;="&amp;7722450199)</f>
        <v>0</v>
      </c>
      <c r="BC60" s="63" t="n">
        <f aca="false">COUNTIFS(Данные!$B$2:$B$722,28,Данные!$C$2:$C$722,1,Данные!$A$2:$A$722,"&gt;="&amp;7722451000,Данные!$A$2:$A$722,"&lt;="&amp;7722451374)</f>
        <v>0</v>
      </c>
      <c r="BD60" s="63" t="n">
        <f aca="false">COUNTIFS(Данные!$B$2:$B$722,28,Данные!$C$2:$C$722,1,Данные!$A$2:$A$722,"&gt;="&amp;7722452000,Данные!$A$2:$A$722,"&lt;="&amp;7722452299)</f>
        <v>0</v>
      </c>
      <c r="BE60" s="63" t="n">
        <f aca="false">COUNTIFS(Данные!$B$2:$B$722,28,Данные!$C$2:$C$722,1,Данные!$A$2:$A$722,"&gt;="&amp;7722453000,Данные!$A$2:$A$722,"&lt;="&amp;7722453816)</f>
        <v>0</v>
      </c>
      <c r="BF60" s="63" t="n">
        <f aca="false">COUNTIFS(Данные!$B$2:$B$722,28,Данные!$C$2:$C$722,1,Данные!$A$2:$A$722,"&gt;="&amp;7722454000,Данные!$A$2:$A$722,"&lt;="&amp;7722454099)</f>
        <v>0</v>
      </c>
      <c r="BG60" s="63" t="n">
        <f aca="false">COUNTIFS(Данные!$B$2:$B$722,28,Данные!$C$2:$C$722,1,Данные!$A$2:$A$722,"&gt;="&amp;7722458000,Данные!$A$2:$A$722,"&lt;="&amp;7722458999)</f>
        <v>0</v>
      </c>
      <c r="BH60" s="63" t="n">
        <f aca="false">COUNTIFS(Данные!$B$2:$B$722,28,Данные!$C$2:$C$722,1,Данные!$A$2:$A$722,"&gt;="&amp;7722630000,Данные!$A$2:$A$722,"&lt;="&amp;7722638549)</f>
        <v>0</v>
      </c>
      <c r="BI60" s="63" t="n">
        <f aca="false">COUNTIFS(Данные!$B$2:$B$722,28,Данные!$C$2:$C$722,1,Данные!$A$2:$A$722,"&gt;="&amp;7722639400,Данные!$A$2:$A$722,"&lt;="&amp;7722639899)</f>
        <v>0</v>
      </c>
      <c r="BJ60" s="63" t="n">
        <f aca="false">COUNTIFS(Данные!$B$2:$B$722,28,Данные!$C$2:$C$722,1,Данные!$A$2:$A$722,"&gt;="&amp;7725750000,Данные!$A$2:$A$722,"&lt;="&amp;7725750399)</f>
        <v>0</v>
      </c>
      <c r="BK60" s="63" t="n">
        <f aca="false">COUNTIFS(Данные!$B$2:$B$722,28,Данные!$C$2:$C$722,1,Данные!$A$2:$A$722,"&gt;="&amp;7723620000,Данные!$A$2:$A$722,"&lt;="&amp;7723621299)</f>
        <v>0</v>
      </c>
      <c r="BL60" s="63" t="n">
        <f aca="false">COUNTIFS(Данные!$B$2:$B$722,28,Данные!$C$2:$C$722,1,Данные!$A$2:$A$722,"&gt;="&amp;7723621600,Данные!$A$2:$A$722,"&lt;="&amp;7723623399)</f>
        <v>0</v>
      </c>
      <c r="BM60" s="63" t="n">
        <f aca="false">COUNTIFS(Данные!$B$2:$B$722,28,Данные!$C$2:$C$722,1,Данные!$A$2:$A$722,"&gt;="&amp;7725127000,Данные!$A$2:$A$722,"&lt;="&amp;7725127999)</f>
        <v>0</v>
      </c>
      <c r="BN60" s="63" t="n">
        <f aca="false">COUNTIFS(Данные!$B$2:$B$722,28,Данные!$C$2:$C$722,1,Данные!$A$2:$A$722,"&gt;="&amp;7723772000,Данные!$A$2:$A$722,"&lt;="&amp;7723724999)</f>
        <v>0</v>
      </c>
      <c r="BO60" s="62" t="n">
        <f aca="false">COUNTIFS(Данные!$B$2:$B$722,28,Данные!$C$2:$C$722,1,Данные!$A$2:$A$722,"&gt;="&amp;7723765000,Данные!$A$2:$A$722,"&lt;="&amp;7723765499)</f>
        <v>0</v>
      </c>
      <c r="BP60" s="63" t="n">
        <f aca="false">COUNTIFS(Данные!$B$2:$B$722,28,Данные!$C$2:$C$722,1,Данные!$A$2:$A$722,"&gt;="&amp;7723948000,Данные!$A$2:$A$722,"&lt;="&amp;7723948999)</f>
        <v>0</v>
      </c>
      <c r="BQ60" s="63" t="n">
        <f aca="false">COUNTIFS(Данные!$B$2:$B$722,28,Данные!$C$2:$C$722,1,Данные!$A$2:$A$722,"&gt;="&amp;7723950000,Данные!$A$2:$A$722,"&lt;="&amp;7723951099)</f>
        <v>0</v>
      </c>
      <c r="BR60" s="63" t="n">
        <f aca="false">COUNTIFS(Данные!$B$2:$B$722,28,Данные!$C$2:$C$722,1,Данные!$A$2:$A$722,"&gt;="&amp;7723020000,Данные!$A$2:$A$722,"&lt;="&amp;7723020999)</f>
        <v>0</v>
      </c>
      <c r="BS60" s="63" t="n">
        <f aca="false">COUNTIFS(Данные!$B$2:$B$722,28,Данные!$C$2:$C$722,1,Данные!$A$2:$A$722,"&gt;="&amp;7723029000,Данные!$A$2:$A$722,"&lt;="&amp;7723029999)</f>
        <v>0</v>
      </c>
      <c r="BT60" s="63" t="n">
        <f aca="false">COUNTIFS(Данные!$B$2:$B$722,28,Данные!$C$2:$C$722,1,Данные!$A$2:$A$722,"&gt;="&amp;7723055000,Данные!$A$2:$A$722,"&lt;="&amp;7723056549)</f>
        <v>0</v>
      </c>
      <c r="BU60" s="62" t="n">
        <f aca="false">COUNTIFS(Данные!$B$2:$B$722,28,Данные!$C$2:$C$722,1,Данные!$A$2:$A$722,"&gt;="&amp;7725250000,Данные!$A$2:$A$722,"&lt;="&amp;7725250499)</f>
        <v>0</v>
      </c>
      <c r="BV60" s="63" t="n">
        <f aca="false">COUNTIFS(Данные!$B$2:$B$722,28,Данные!$C$2:$C$722,1,Данные!$A$2:$A$722,"&gt;="&amp;7183841400,Данные!$A$2:$A$722,"&lt;="&amp;7183841499)</f>
        <v>0</v>
      </c>
      <c r="BW60" s="40" t="n">
        <v>300</v>
      </c>
      <c r="BX60" s="64" t="n">
        <f aca="false">F60-BW60</f>
        <v>-300</v>
      </c>
    </row>
    <row r="61" s="15" customFormat="true" ht="12" hidden="false" customHeight="true" outlineLevel="0" collapsed="false">
      <c r="A61" s="38"/>
      <c r="B61" s="39"/>
      <c r="C61" s="41" t="n">
        <v>2</v>
      </c>
      <c r="D61" s="41" t="n">
        <v>282</v>
      </c>
      <c r="E61" s="42"/>
      <c r="F61" s="62" t="n">
        <f aca="false">COUNTIFS(Данные!$B$2:$B$722,28,Данные!$C$2:$C$722,2)</f>
        <v>0</v>
      </c>
      <c r="G61" s="62" t="n">
        <f aca="false">COUNTIFS(Данные!$B$2:$B$722,28,Данные!$C$2:$C$722,2,Данные!$A$2:$A$722,"&gt;="&amp;77232210840,Данные!$A$2:$A$722,"&lt;="&amp;77232216999)</f>
        <v>0</v>
      </c>
      <c r="H61" s="62" t="n">
        <f aca="false">COUNTIFS(Данные!$B$2:$B$722,28,Данные!$C$2:$C$722,2,Данные!$A$2:$A$722,"&gt;="&amp;77232510512,Данные!$A$2:$A$722,"&lt;="&amp;77232519487)</f>
        <v>0</v>
      </c>
      <c r="I61" s="62" t="n">
        <f aca="false">COUNTIFS(Данные!$B$2:$B$722,28,Данные!$C$2:$C$722,2,Данные!$A$2:$A$722,"&gt;="&amp;77232524160,Данные!$A$2:$A$722,"&lt;="&amp;77232529999)</f>
        <v>0</v>
      </c>
      <c r="J61" s="62" t="n">
        <f aca="false">COUNTIFS(Данные!$B$2:$B$722,28,Данные!$C$2:$C$722,2,Данные!$A$2:$A$722,"&gt;="&amp;77232544000,Данные!$A$2:$A$722,"&lt;="&amp;77232544999)</f>
        <v>0</v>
      </c>
      <c r="K61" s="62" t="n">
        <f aca="false">COUNTIFS(Данные!$B$2:$B$722,28,Данные!$C$2:$C$722,2,Данные!$A$2:$A$722,"&gt;="&amp;77232295504,Данные!$A$2:$A$722,"&lt;="&amp;77232296999)</f>
        <v>0</v>
      </c>
      <c r="L61" s="62" t="n">
        <f aca="false">COUNTIFS(Данные!$B$2:$B$722,28,Данные!$C$2:$C$722,2,Данные!$A$2:$A$722,"&gt;="&amp;77232785000,Данные!$A$2:$A$722,"&lt;="&amp;77232789999)</f>
        <v>0</v>
      </c>
      <c r="M61" s="62" t="n">
        <f aca="false">COUNTIFS(Данные!$B$2:$B$722,28,Данные!$C$2:$C$722,2,Данные!$A$2:$A$722,"&gt;="&amp;77233150000,Данные!$A$2:$A$722,"&lt;="&amp;77233155999)</f>
        <v>0</v>
      </c>
      <c r="N61" s="62" t="n">
        <f aca="false">COUNTIFS(Данные!$B$2:$B$722,28,Данные!$C$2:$C$722,2,Данные!$A$2:$A$722,"&gt;="&amp;77233235000,Данные!$A$2:$A$722,"&lt;="&amp;77233235999)</f>
        <v>0</v>
      </c>
      <c r="O61" s="62" t="n">
        <f aca="false">COUNTIFS(Данные!$B$2:$B$722,28,Данные!$C$2:$C$722,2,Данные!$A$2:$A$722,"&gt;="&amp;77233239000,Данные!$A$2:$A$722,"&lt;="&amp;77233239999)</f>
        <v>0</v>
      </c>
      <c r="P61" s="62" t="n">
        <f aca="false">COUNTIFS(Данные!$B$2:$B$722,28,Данные!$C$2:$C$722,2,Данные!$A$2:$A$722,"&gt;="&amp;77233272000,Данные!$A$2:$A$722,"&lt;="&amp;77233272999)</f>
        <v>0</v>
      </c>
      <c r="Q61" s="62" t="n">
        <f aca="false">COUNTIFS(Данные!$B$2:$B$722,28,Данные!$C$2:$C$722,2,Данные!$A$2:$A$722,"&gt;="&amp;77233291100,Данные!$A$2:$A$722,"&lt;="&amp;77233292999)</f>
        <v>0</v>
      </c>
      <c r="R61" s="62" t="n">
        <f aca="false">COUNTIFS(Данные!$B$2:$B$722,28,Данные!$C$2:$C$722,2,Данные!$A$2:$A$722,"&gt;="&amp;77233297000,Данные!$A$2:$A$722,"&lt;="&amp;77233298399)</f>
        <v>0</v>
      </c>
      <c r="S61" s="62" t="n">
        <f aca="false">COUNTIFS(Данные!$B$2:$B$722,28,Данные!$C$2:$C$722,2,Данные!$A$2:$A$722,"&gt;="&amp;77235124000,Данные!$A$2:$A$722,"&lt;="&amp;77235128499)</f>
        <v>0</v>
      </c>
      <c r="T61" s="62" t="n">
        <f aca="false">COUNTIFS(Данные!$B$2:$B$722,28,Данные!$C$2:$C$722,2,Данные!$A$2:$A$722,"&gt;="&amp;77235320000,Данные!$A$2:$A$722,"&lt;="&amp;77235320999)</f>
        <v>0</v>
      </c>
      <c r="U61" s="62" t="n">
        <f aca="false">COUNTIFS(Данные!$B$2:$B$722,28,Данные!$C$2:$C$722,2,Данные!$A$2:$A$722,"&gt;="&amp;77233620000,Данные!$A$2:$A$722,"&lt;="&amp;77233623339)</f>
        <v>0</v>
      </c>
      <c r="V61" s="62" t="n">
        <f aca="false">COUNTIFS(Данные!$B$2:$B$722,28,Данные!$C$2:$C$722,2,Данные!$A$2:$A$722,"&gt;="&amp;77233630000,Данные!$A$2:$A$722,"&lt;="&amp;77233630999)</f>
        <v>0</v>
      </c>
      <c r="W61" s="62" t="n">
        <f aca="false">COUNTIFS(Данные!$B$2:$B$722,28,Данные!$C$2:$C$722,2,Данные!$A$2:$A$722,"&gt;="&amp;77233637000,Данные!$A$2:$A$722,"&lt;="&amp;77233637599)</f>
        <v>0</v>
      </c>
      <c r="X61" s="62" t="n">
        <f aca="false">COUNTIFS(Данные!$B$2:$B$722,28,Данные!$C$2:$C$722,2,Данные!$A$2:$A$722,"&gt;="&amp;77233550000,Данные!$A$2:$A$722,"&lt;="&amp;77233550999)</f>
        <v>0</v>
      </c>
      <c r="Y61" s="62" t="n">
        <f aca="false">COUNTIFS(Данные!$B$2:$B$722,28,Данные!$C$2:$C$722,2,Данные!$A$2:$A$722,"&gt;="&amp;77233554000,Данные!$A$2:$A$722,"&lt;="&amp;77233554999)</f>
        <v>0</v>
      </c>
      <c r="Z61" s="62" t="n">
        <f aca="false">COUNTIFS(Данные!$B$2:$B$722,28,Данные!$C$2:$C$722,2,Данные!$A$2:$A$722,"&gt;="&amp;77233555000,Данные!$A$2:$A$722,"&lt;="&amp;77233556999)</f>
        <v>0</v>
      </c>
      <c r="AA61" s="62" t="n">
        <f aca="false">COUNTIFS(Данные!$B$2:$B$722,28,Данные!$C$2:$C$722,2,Данные!$A$2:$A$722,"&gt;="&amp;77233726000,Данные!$A$2:$A$722,"&lt;="&amp;77233726999)</f>
        <v>0</v>
      </c>
      <c r="AB61" s="62" t="n">
        <f aca="false">COUNTIFS(Данные!$B$2:$B$722,28,Данные!$C$2:$C$722,2,Данные!$A$2:$A$722,"&gt;="&amp;77233820000,Данные!$A$2:$A$722,"&lt;="&amp;77233820999)</f>
        <v>0</v>
      </c>
      <c r="AC61" s="62" t="n">
        <f aca="false">COUNTIFS(Данные!$B$2:$B$722,28,Данные!$C$2:$C$722,2,Данные!$A$2:$A$722,"&gt;="&amp;77233850000,Данные!$A$2:$A$722,"&lt;="&amp;77233850999)</f>
        <v>0</v>
      </c>
      <c r="AD61" s="62" t="n">
        <f aca="false">COUNTIFS(Данные!$B$2:$B$722,28,Данные!$C$2:$C$722,2,Данные!$A$2:$A$722,"&gt;="&amp;77233420000,Данные!$A$2:$A$722,"&lt;="&amp;77233420999)</f>
        <v>0</v>
      </c>
      <c r="AE61" s="62" t="n">
        <f aca="false">COUNTIFS(Данные!$B$2:$B$722,28,Данные!$C$2:$C$722,2,Данные!$A$2:$A$722,"&gt;="&amp;77234740000,Данные!$A$2:$A$722,"&lt;="&amp;77234742999)</f>
        <v>0</v>
      </c>
      <c r="AF61" s="62" t="n">
        <f aca="false">COUNTIFS(Данные!$B$2:$B$722,28,Данные!$C$2:$C$722,2,Данные!$A$2:$A$722,"&gt;="&amp;77234767000,Данные!$A$2:$A$722,"&lt;="&amp;77234767999)</f>
        <v>0</v>
      </c>
      <c r="AG61" s="62" t="n">
        <f aca="false">COUNTIFS(Данные!$B$2:$B$722,28,Данные!$C$2:$C$722,2,Данные!$A$2:$A$722,"&gt;="&amp;77234120000,Данные!$A$2:$A$722,"&lt;="&amp;77234120999)</f>
        <v>0</v>
      </c>
      <c r="AH61" s="62" t="n">
        <f aca="false">COUNTIFS(Данные!$B$2:$B$722,28,Данные!$C$2:$C$722,2,Данные!$A$2:$A$722,"&gt;="&amp;77234127000,Данные!$A$2:$A$722,"&lt;="&amp;77234127999)</f>
        <v>0</v>
      </c>
      <c r="AI61" s="62" t="n">
        <f aca="false">COUNTIFS(Данные!$B$2:$B$722,28,Данные!$C$2:$C$722,2,Данные!$A$2:$A$722,"&gt;="&amp;77234220000,Данные!$A$2:$A$722,"&lt;="&amp;77234220999)</f>
        <v>0</v>
      </c>
      <c r="AJ61" s="62" t="n">
        <f aca="false">COUNTIFS(Данные!$B$2:$B$722,28,Данные!$C$2:$C$722,2,Данные!$A$2:$A$722,"&gt;="&amp;77234250000,Данные!$A$2:$A$722,"&lt;="&amp;77234250999)</f>
        <v>0</v>
      </c>
      <c r="AK61" s="62" t="n">
        <f aca="false">COUNTIFS(Данные!$B$2:$B$722,28,Данные!$C$2:$C$722,2,Данные!$A$2:$A$722,"&gt;="&amp;77233922950,Данные!$A$2:$A$722,"&lt;="&amp;77233924999)</f>
        <v>0</v>
      </c>
      <c r="AL61" s="62" t="n">
        <f aca="false">COUNTIFS(Данные!$B$2:$B$722,28,Данные!$C$2:$C$722,2,Данные!$A$2:$A$722,"&gt;="&amp;77234320000,Данные!$A$2:$A$722,"&lt;="&amp;77234320999)</f>
        <v>0</v>
      </c>
      <c r="AM61" s="62" t="n">
        <f aca="false">COUNTIFS(Данные!$B$2:$B$722,28,Данные!$C$2:$C$722,2,Данные!$A$2:$A$722,"&gt;="&amp;77234350000,Данные!$A$2:$A$722,"&lt;="&amp;77234350999)</f>
        <v>0</v>
      </c>
      <c r="AN61" s="62" t="n">
        <f aca="false">COUNTIFS(Данные!$B$2:$B$722,28,Данные!$C$2:$C$722,2,Данные!$A$2:$A$722,"&gt;="&amp;77234020000,Данные!$A$2:$A$722,"&lt;="&amp;77234020999)</f>
        <v>0</v>
      </c>
      <c r="AO61" s="62" t="n">
        <f aca="false">COUNTIFS(Данные!$B$2:$B$722,28,Данные!$C$2:$C$722,2,Данные!$A$2:$A$722,"&gt;="&amp;77234029000,Данные!$A$2:$A$722,"&lt;="&amp;77234029999)</f>
        <v>0</v>
      </c>
      <c r="AP61" s="62" t="n">
        <f aca="false">COUNTIFS(Данные!$B$2:$B$722,28,Данные!$C$2:$C$722,2,Данные!$A$2:$A$722,"&gt;="&amp;77234050000,Данные!$A$2:$A$722,"&lt;="&amp;77234050999)</f>
        <v>0</v>
      </c>
      <c r="AQ61" s="62" t="n">
        <f aca="false">COUNTIFS(Данные!$B$2:$B$722,28,Данные!$C$2:$C$722,2,Данные!$A$2:$A$722,"&gt;="&amp;77234427000,Данные!$A$2:$A$722,"&lt;="&amp;77234428999)</f>
        <v>0</v>
      </c>
      <c r="AR61" s="62" t="n">
        <f aca="false">COUNTIFS(Данные!$B$2:$B$722,28,Данные!$C$2:$C$722,2,Данные!$A$2:$A$722,"&gt;="&amp;77234450000,Данные!$A$2:$A$722,"&lt;="&amp;77234450999)</f>
        <v>0</v>
      </c>
      <c r="AS61" s="62" t="n">
        <f aca="false">COUNTIFS(Данные!$B$2:$B$722,28,Данные!$C$2:$C$722,2,Данные!$A$2:$A$722,"&gt;="&amp;77234620000,Данные!$A$2:$A$722,"&lt;="&amp;77234620999)</f>
        <v>0</v>
      </c>
      <c r="AT61" s="62" t="n">
        <f aca="false">COUNTIFS(Данные!$B$2:$B$722,28,Данные!$C$2:$C$722,2,Данные!$A$2:$A$722,"&gt;="&amp;77234650000,Данные!$A$2:$A$722,"&lt;="&amp;77234650999)</f>
        <v>0</v>
      </c>
      <c r="AU61" s="62" t="n">
        <f aca="false">COUNTIFS(Данные!$B$2:$B$722,28,Данные!$C$2:$C$722,2,Данные!$A$2:$A$722,"&gt;="&amp;77234820000,Данные!$A$2:$A$722,"&lt;="&amp;77234820999)</f>
        <v>0</v>
      </c>
      <c r="AV61" s="62" t="n">
        <f aca="false">COUNTIFS(Данные!$B$2:$B$722,28,Данные!$C$2:$C$722,2,Данные!$A$2:$A$722,"&gt;="&amp;77234850000,Данные!$A$2:$A$722,"&lt;="&amp;77234850999)</f>
        <v>0</v>
      </c>
      <c r="AW61" s="62" t="n">
        <f aca="false">COUNTIFS(Данные!$B$2:$B$722,28,Данные!$C$2:$C$722,2,Данные!$A$2:$A$722,"&gt;="&amp;77233327000,Данные!$A$2:$A$722,"&lt;="&amp;77233327999)</f>
        <v>0</v>
      </c>
      <c r="AX61" s="62" t="n">
        <f aca="false">COUNTIFS(Данные!$B$2:$B$722,28,Данные!$C$2:$C$722,2,Данные!$A$2:$A$722,"&gt;="&amp;77233350000,Данные!$A$2:$A$722,"&lt;="&amp;77233350599)</f>
        <v>0</v>
      </c>
      <c r="AY61" s="62" t="n">
        <f aca="false">COUNTIFS(Данные!$B$2:$B$722,28,Данные!$C$2:$C$722,2,Данные!$A$2:$A$722,"&gt;="&amp;77233351000,Данные!$A$2:$A$722,"&lt;="&amp;77233351999)</f>
        <v>0</v>
      </c>
      <c r="AZ61" s="63" t="n">
        <f aca="false">COUNTIFS(Данные!$B$2:$B$722,28,Данные!$C$2:$C$722,2,Данные!$A$2:$A$722,"&gt;="&amp;7722440000,Данные!$A$2:$A$722,"&lt;="&amp;7722440999)</f>
        <v>0</v>
      </c>
      <c r="BA61" s="63" t="n">
        <f aca="false">COUNTIFS(Данные!$B$2:$B$722,28,Данные!$C$2:$C$722,2,Данные!$A$2:$A$722,"&gt;="&amp;7722442000,Данные!$A$2:$A$722,"&lt;="&amp;7722445659)</f>
        <v>0</v>
      </c>
      <c r="BB61" s="63" t="n">
        <f aca="false">COUNTIFS(Данные!$B$2:$B$722,28,Данные!$C$2:$C$722,2,Данные!$A$2:$A$722,"&gt;="&amp;7722450000,Данные!$A$2:$A$722,"&lt;="&amp;7722450199)</f>
        <v>0</v>
      </c>
      <c r="BC61" s="63" t="n">
        <f aca="false">COUNTIFS(Данные!$B$2:$B$722,28,Данные!$C$2:$C$722,2,Данные!$A$2:$A$722,"&gt;="&amp;7722451000,Данные!$A$2:$A$722,"&lt;="&amp;7722451374)</f>
        <v>0</v>
      </c>
      <c r="BD61" s="63" t="n">
        <f aca="false">COUNTIFS(Данные!$B$2:$B$722,28,Данные!$C$2:$C$722,2,Данные!$A$2:$A$722,"&gt;="&amp;7722452000,Данные!$A$2:$A$722,"&lt;="&amp;7722452299)</f>
        <v>0</v>
      </c>
      <c r="BE61" s="63" t="n">
        <f aca="false">COUNTIFS(Данные!$B$2:$B$722,28,Данные!$C$2:$C$722,2,Данные!$A$2:$A$722,"&gt;="&amp;7722453000,Данные!$A$2:$A$722,"&lt;="&amp;7722453816)</f>
        <v>0</v>
      </c>
      <c r="BF61" s="63" t="n">
        <f aca="false">COUNTIFS(Данные!$B$2:$B$722,28,Данные!$C$2:$C$722,2,Данные!$A$2:$A$722,"&gt;="&amp;7722454000,Данные!$A$2:$A$722,"&lt;="&amp;7722454099)</f>
        <v>0</v>
      </c>
      <c r="BG61" s="63" t="n">
        <f aca="false">COUNTIFS(Данные!$B$2:$B$722,28,Данные!$C$2:$C$722,2,Данные!$A$2:$A$722,"&gt;="&amp;7722458000,Данные!$A$2:$A$722,"&lt;="&amp;7722458999)</f>
        <v>0</v>
      </c>
      <c r="BH61" s="63" t="n">
        <f aca="false">COUNTIFS(Данные!$B$2:$B$722,28,Данные!$C$2:$C$722,2,Данные!$A$2:$A$722,"&gt;="&amp;7722630000,Данные!$A$2:$A$722,"&lt;="&amp;7722638549)</f>
        <v>0</v>
      </c>
      <c r="BI61" s="63" t="n">
        <f aca="false">COUNTIFS(Данные!$B$2:$B$722,28,Данные!$C$2:$C$722,2,Данные!$A$2:$A$722,"&gt;="&amp;7722639400,Данные!$A$2:$A$722,"&lt;="&amp;7722639899)</f>
        <v>0</v>
      </c>
      <c r="BJ61" s="63" t="n">
        <f aca="false">COUNTIFS(Данные!$B$2:$B$722,28,Данные!$C$2:$C$722,2,Данные!$A$2:$A$722,"&gt;="&amp;7725750000,Данные!$A$2:$A$722,"&lt;="&amp;7725750399)</f>
        <v>0</v>
      </c>
      <c r="BK61" s="63" t="n">
        <f aca="false">COUNTIFS(Данные!$B$2:$B$722,28,Данные!$C$2:$C$722,2,Данные!$A$2:$A$722,"&gt;="&amp;7723620000,Данные!$A$2:$A$722,"&lt;="&amp;7723621299)</f>
        <v>0</v>
      </c>
      <c r="BL61" s="63" t="n">
        <f aca="false">COUNTIFS(Данные!$B$2:$B$722,28,Данные!$C$2:$C$722,2,Данные!$A$2:$A$722,"&gt;="&amp;7723621600,Данные!$A$2:$A$722,"&lt;="&amp;7723623399)</f>
        <v>0</v>
      </c>
      <c r="BM61" s="63" t="n">
        <f aca="false">COUNTIFS(Данные!$B$2:$B$722,28,Данные!$C$2:$C$722,2,Данные!$A$2:$A$722,"&gt;="&amp;7725127000,Данные!$A$2:$A$722,"&lt;="&amp;7725127999)</f>
        <v>0</v>
      </c>
      <c r="BN61" s="63" t="n">
        <f aca="false">COUNTIFS(Данные!$B$2:$B$722,28,Данные!$C$2:$C$722,2,Данные!$A$2:$A$722,"&gt;="&amp;7723772000,Данные!$A$2:$A$722,"&lt;="&amp;7723724999)</f>
        <v>0</v>
      </c>
      <c r="BO61" s="62" t="n">
        <f aca="false">COUNTIFS(Данные!$B$2:$B$722,28,Данные!$C$2:$C$722,2,Данные!$A$2:$A$722,"&gt;="&amp;7723765000,Данные!$A$2:$A$722,"&lt;="&amp;7723765499)</f>
        <v>0</v>
      </c>
      <c r="BP61" s="63" t="n">
        <f aca="false">COUNTIFS(Данные!$B$2:$B$722,28,Данные!$C$2:$C$722,2,Данные!$A$2:$A$722,"&gt;="&amp;7723948000,Данные!$A$2:$A$722,"&lt;="&amp;7723948999)</f>
        <v>0</v>
      </c>
      <c r="BQ61" s="63" t="n">
        <f aca="false">COUNTIFS(Данные!$B$2:$B$722,28,Данные!$C$2:$C$722,2,Данные!$A$2:$A$722,"&gt;="&amp;7723950000,Данные!$A$2:$A$722,"&lt;="&amp;7723951099)</f>
        <v>0</v>
      </c>
      <c r="BR61" s="63" t="n">
        <f aca="false">COUNTIFS(Данные!$B$2:$B$722,28,Данные!$C$2:$C$722,2,Данные!$A$2:$A$722,"&gt;="&amp;7723020000,Данные!$A$2:$A$722,"&lt;="&amp;7723020999)</f>
        <v>0</v>
      </c>
      <c r="BS61" s="63" t="n">
        <f aca="false">COUNTIFS(Данные!$B$2:$B$722,28,Данные!$C$2:$C$722,2,Данные!$A$2:$A$722,"&gt;="&amp;7723029000,Данные!$A$2:$A$722,"&lt;="&amp;7723029999)</f>
        <v>0</v>
      </c>
      <c r="BT61" s="63" t="n">
        <f aca="false">COUNTIFS(Данные!$B$2:$B$722,28,Данные!$C$2:$C$722,2,Данные!$A$2:$A$722,"&gt;="&amp;7723055000,Данные!$A$2:$A$722,"&lt;="&amp;7723056549)</f>
        <v>0</v>
      </c>
      <c r="BU61" s="62" t="n">
        <f aca="false">COUNTIFS(Данные!$B$2:$B$722,28,Данные!$C$2:$C$722,2,Данные!$A$2:$A$722,"&gt;="&amp;7725250000,Данные!$A$2:$A$722,"&lt;="&amp;7725250499)</f>
        <v>0</v>
      </c>
      <c r="BV61" s="63" t="n">
        <f aca="false">COUNTIFS(Данные!$B$2:$B$722,28,Данные!$C$2:$C$722,2,Данные!$A$2:$A$722,"&gt;="&amp;7183841400,Данные!$A$2:$A$722,"&lt;="&amp;7183841499)</f>
        <v>0</v>
      </c>
      <c r="BW61" s="40" t="n">
        <v>300</v>
      </c>
      <c r="BX61" s="64" t="n">
        <f aca="false">F61-BW61</f>
        <v>-300</v>
      </c>
    </row>
    <row r="62" s="15" customFormat="true" ht="12" hidden="false" customHeight="true" outlineLevel="0" collapsed="false">
      <c r="A62" s="47" t="n">
        <v>29</v>
      </c>
      <c r="B62" s="48" t="s">
        <v>80</v>
      </c>
      <c r="C62" s="50" t="n">
        <v>0</v>
      </c>
      <c r="D62" s="50" t="n">
        <v>290</v>
      </c>
      <c r="E62" s="51" t="n">
        <f aca="false">SUM(F62:F64)</f>
        <v>0</v>
      </c>
      <c r="F62" s="65" t="n">
        <f aca="false">COUNTIFS(Данные!$B$2:$B$722,29,Данные!$C$2:$C$722,0)</f>
        <v>0</v>
      </c>
      <c r="G62" s="65" t="n">
        <f aca="false">COUNTIFS(Данные!$B$2:$B$722,29,Данные!$C$2:$C$722,0,Данные!$A$2:$A$722,"&gt;="&amp;77232210840,Данные!$A$2:$A$722,"&lt;="&amp;77232216999)</f>
        <v>0</v>
      </c>
      <c r="H62" s="65" t="n">
        <f aca="false">COUNTIFS(Данные!$B$2:$B$722,29,Данные!$C$2:$C$722,0,Данные!$A$2:$A$722,"&gt;="&amp;77232510512,Данные!$A$2:$A$722,"&lt;="&amp;77232519487)</f>
        <v>0</v>
      </c>
      <c r="I62" s="65" t="n">
        <f aca="false">COUNTIFS(Данные!$B$2:$B$722,29,Данные!$C$2:$C$722,0,Данные!$A$2:$A$722,"&gt;="&amp;77232524160,Данные!$A$2:$A$722,"&lt;="&amp;77232529999)</f>
        <v>0</v>
      </c>
      <c r="J62" s="65" t="n">
        <f aca="false">COUNTIFS(Данные!$B$2:$B$722,29,Данные!$C$2:$C$722,0,Данные!$A$2:$A$722,"&gt;="&amp;77232544000,Данные!$A$2:$A$722,"&lt;="&amp;77232544999)</f>
        <v>0</v>
      </c>
      <c r="K62" s="65" t="n">
        <f aca="false">COUNTIFS(Данные!$B$2:$B$722,29,Данные!$C$2:$C$722,0,Данные!$A$2:$A$722,"&gt;="&amp;77232295504,Данные!$A$2:$A$722,"&lt;="&amp;77232296999)</f>
        <v>0</v>
      </c>
      <c r="L62" s="65" t="n">
        <f aca="false">COUNTIFS(Данные!$B$2:$B$722,29,Данные!$C$2:$C$722,0,Данные!$A$2:$A$722,"&gt;="&amp;77232785000,Данные!$A$2:$A$722,"&lt;="&amp;77232789999)</f>
        <v>0</v>
      </c>
      <c r="M62" s="65" t="n">
        <f aca="false">COUNTIFS(Данные!$B$2:$B$722,29,Данные!$C$2:$C$722,0,Данные!$A$2:$A$722,"&gt;="&amp;77233150000,Данные!$A$2:$A$722,"&lt;="&amp;77233155999)</f>
        <v>0</v>
      </c>
      <c r="N62" s="65" t="n">
        <f aca="false">COUNTIFS(Данные!$B$2:$B$722,29,Данные!$C$2:$C$722,0,Данные!$A$2:$A$722,"&gt;="&amp;77233235000,Данные!$A$2:$A$722,"&lt;="&amp;77233235999)</f>
        <v>0</v>
      </c>
      <c r="O62" s="65" t="n">
        <f aca="false">COUNTIFS(Данные!$B$2:$B$722,29,Данные!$C$2:$C$722,0,Данные!$A$2:$A$722,"&gt;="&amp;77233239000,Данные!$A$2:$A$722,"&lt;="&amp;77233239999)</f>
        <v>0</v>
      </c>
      <c r="P62" s="65" t="n">
        <f aca="false">COUNTIFS(Данные!$B$2:$B$722,29,Данные!$C$2:$C$722,0,Данные!$A$2:$A$722,"&gt;="&amp;77233272000,Данные!$A$2:$A$722,"&lt;="&amp;77233272999)</f>
        <v>0</v>
      </c>
      <c r="Q62" s="65" t="n">
        <f aca="false">COUNTIFS(Данные!$B$2:$B$722,29,Данные!$C$2:$C$722,0,Данные!$A$2:$A$722,"&gt;="&amp;77233291100,Данные!$A$2:$A$722,"&lt;="&amp;77233292999)</f>
        <v>0</v>
      </c>
      <c r="R62" s="65" t="n">
        <f aca="false">COUNTIFS(Данные!$B$2:$B$722,29,Данные!$C$2:$C$722,0,Данные!$A$2:$A$722,"&gt;="&amp;77233297000,Данные!$A$2:$A$722,"&lt;="&amp;77233298399)</f>
        <v>0</v>
      </c>
      <c r="S62" s="65" t="n">
        <f aca="false">COUNTIFS(Данные!$B$2:$B$722,29,Данные!$C$2:$C$722,0,Данные!$A$2:$A$722,"&gt;="&amp;77235124000,Данные!$A$2:$A$722,"&lt;="&amp;77235128499)</f>
        <v>0</v>
      </c>
      <c r="T62" s="65" t="n">
        <f aca="false">COUNTIFS(Данные!$B$2:$B$722,29,Данные!$C$2:$C$722,0,Данные!$A$2:$A$722,"&gt;="&amp;77235320000,Данные!$A$2:$A$722,"&lt;="&amp;77235320999)</f>
        <v>0</v>
      </c>
      <c r="U62" s="65" t="n">
        <f aca="false">COUNTIFS(Данные!$B$2:$B$722,29,Данные!$C$2:$C$722,0,Данные!$A$2:$A$722,"&gt;="&amp;77233620000,Данные!$A$2:$A$722,"&lt;="&amp;77233623339)</f>
        <v>0</v>
      </c>
      <c r="V62" s="65" t="n">
        <f aca="false">COUNTIFS(Данные!$B$2:$B$722,29,Данные!$C$2:$C$722,0,Данные!$A$2:$A$722,"&gt;="&amp;77233630000,Данные!$A$2:$A$722,"&lt;="&amp;77233630999)</f>
        <v>0</v>
      </c>
      <c r="W62" s="65" t="n">
        <f aca="false">COUNTIFS(Данные!$B$2:$B$722,29,Данные!$C$2:$C$722,0,Данные!$A$2:$A$722,"&gt;="&amp;77233637000,Данные!$A$2:$A$722,"&lt;="&amp;77233637599)</f>
        <v>0</v>
      </c>
      <c r="X62" s="65" t="n">
        <f aca="false">COUNTIFS(Данные!$B$2:$B$722,29,Данные!$C$2:$C$722,0,Данные!$A$2:$A$722,"&gt;="&amp;77233550000,Данные!$A$2:$A$722,"&lt;="&amp;77233550999)</f>
        <v>0</v>
      </c>
      <c r="Y62" s="65" t="n">
        <f aca="false">COUNTIFS(Данные!$B$2:$B$722,29,Данные!$C$2:$C$722,0,Данные!$A$2:$A$722,"&gt;="&amp;77233554000,Данные!$A$2:$A$722,"&lt;="&amp;77233554999)</f>
        <v>0</v>
      </c>
      <c r="Z62" s="65" t="n">
        <f aca="false">COUNTIFS(Данные!$B$2:$B$722,29,Данные!$C$2:$C$722,0,Данные!$A$2:$A$722,"&gt;="&amp;77233555000,Данные!$A$2:$A$722,"&lt;="&amp;77233556999)</f>
        <v>0</v>
      </c>
      <c r="AA62" s="65" t="n">
        <f aca="false">COUNTIFS(Данные!$B$2:$B$722,29,Данные!$C$2:$C$722,0,Данные!$A$2:$A$722,"&gt;="&amp;77233726000,Данные!$A$2:$A$722,"&lt;="&amp;77233726999)</f>
        <v>0</v>
      </c>
      <c r="AB62" s="65" t="n">
        <f aca="false">COUNTIFS(Данные!$B$2:$B$722,29,Данные!$C$2:$C$722,0,Данные!$A$2:$A$722,"&gt;="&amp;77233820000,Данные!$A$2:$A$722,"&lt;="&amp;77233820999)</f>
        <v>0</v>
      </c>
      <c r="AC62" s="65" t="n">
        <f aca="false">COUNTIFS(Данные!$B$2:$B$722,29,Данные!$C$2:$C$722,0,Данные!$A$2:$A$722,"&gt;="&amp;77233850000,Данные!$A$2:$A$722,"&lt;="&amp;77233850999)</f>
        <v>0</v>
      </c>
      <c r="AD62" s="65" t="n">
        <f aca="false">COUNTIFS(Данные!$B$2:$B$722,29,Данные!$C$2:$C$722,0,Данные!$A$2:$A$722,"&gt;="&amp;77233420000,Данные!$A$2:$A$722,"&lt;="&amp;77233420999)</f>
        <v>0</v>
      </c>
      <c r="AE62" s="65" t="n">
        <f aca="false">COUNTIFS(Данные!$B$2:$B$722,29,Данные!$C$2:$C$722,0,Данные!$A$2:$A$722,"&gt;="&amp;77234740000,Данные!$A$2:$A$722,"&lt;="&amp;77234742999)</f>
        <v>0</v>
      </c>
      <c r="AF62" s="65" t="n">
        <f aca="false">COUNTIFS(Данные!$B$2:$B$722,29,Данные!$C$2:$C$722,0,Данные!$A$2:$A$722,"&gt;="&amp;77234767000,Данные!$A$2:$A$722,"&lt;="&amp;77234767999)</f>
        <v>0</v>
      </c>
      <c r="AG62" s="65" t="n">
        <f aca="false">COUNTIFS(Данные!$B$2:$B$722,29,Данные!$C$2:$C$722,0,Данные!$A$2:$A$722,"&gt;="&amp;77234120000,Данные!$A$2:$A$722,"&lt;="&amp;77234120999)</f>
        <v>0</v>
      </c>
      <c r="AH62" s="65" t="n">
        <f aca="false">COUNTIFS(Данные!$B$2:$B$722,29,Данные!$C$2:$C$722,0,Данные!$A$2:$A$722,"&gt;="&amp;77234127000,Данные!$A$2:$A$722,"&lt;="&amp;77234127999)</f>
        <v>0</v>
      </c>
      <c r="AI62" s="65" t="n">
        <f aca="false">COUNTIFS(Данные!$B$2:$B$722,29,Данные!$C$2:$C$722,0,Данные!$A$2:$A$722,"&gt;="&amp;77234220000,Данные!$A$2:$A$722,"&lt;="&amp;77234220999)</f>
        <v>0</v>
      </c>
      <c r="AJ62" s="65" t="n">
        <f aca="false">COUNTIFS(Данные!$B$2:$B$722,29,Данные!$C$2:$C$722,0,Данные!$A$2:$A$722,"&gt;="&amp;77234250000,Данные!$A$2:$A$722,"&lt;="&amp;77234250999)</f>
        <v>0</v>
      </c>
      <c r="AK62" s="65" t="n">
        <f aca="false">COUNTIFS(Данные!$B$2:$B$722,29,Данные!$C$2:$C$722,0,Данные!$A$2:$A$722,"&gt;="&amp;77233922950,Данные!$A$2:$A$722,"&lt;="&amp;77233924999)</f>
        <v>0</v>
      </c>
      <c r="AL62" s="65" t="n">
        <f aca="false">COUNTIFS(Данные!$B$2:$B$722,29,Данные!$C$2:$C$722,0,Данные!$A$2:$A$722,"&gt;="&amp;77234320000,Данные!$A$2:$A$722,"&lt;="&amp;77234320999)</f>
        <v>0</v>
      </c>
      <c r="AM62" s="65" t="n">
        <f aca="false">COUNTIFS(Данные!$B$2:$B$722,29,Данные!$C$2:$C$722,0,Данные!$A$2:$A$722,"&gt;="&amp;77234350000,Данные!$A$2:$A$722,"&lt;="&amp;77234350999)</f>
        <v>0</v>
      </c>
      <c r="AN62" s="65" t="n">
        <f aca="false">COUNTIFS(Данные!$B$2:$B$722,29,Данные!$C$2:$C$722,0,Данные!$A$2:$A$722,"&gt;="&amp;77234020000,Данные!$A$2:$A$722,"&lt;="&amp;77234020999)</f>
        <v>0</v>
      </c>
      <c r="AO62" s="65" t="n">
        <f aca="false">COUNTIFS(Данные!$B$2:$B$722,29,Данные!$C$2:$C$722,0,Данные!$A$2:$A$722,"&gt;="&amp;77234029000,Данные!$A$2:$A$722,"&lt;="&amp;77234029999)</f>
        <v>0</v>
      </c>
      <c r="AP62" s="65" t="n">
        <f aca="false">COUNTIFS(Данные!$B$2:$B$722,29,Данные!$C$2:$C$722,0,Данные!$A$2:$A$722,"&gt;="&amp;77234050000,Данные!$A$2:$A$722,"&lt;="&amp;77234050999)</f>
        <v>0</v>
      </c>
      <c r="AQ62" s="65" t="n">
        <f aca="false">COUNTIFS(Данные!$B$2:$B$722,29,Данные!$C$2:$C$722,0,Данные!$A$2:$A$722,"&gt;="&amp;77234427000,Данные!$A$2:$A$722,"&lt;="&amp;77234428999)</f>
        <v>0</v>
      </c>
      <c r="AR62" s="65" t="n">
        <f aca="false">COUNTIFS(Данные!$B$2:$B$722,29,Данные!$C$2:$C$722,0,Данные!$A$2:$A$722,"&gt;="&amp;77234450000,Данные!$A$2:$A$722,"&lt;="&amp;77234450999)</f>
        <v>0</v>
      </c>
      <c r="AS62" s="65" t="n">
        <f aca="false">COUNTIFS(Данные!$B$2:$B$722,29,Данные!$C$2:$C$722,0,Данные!$A$2:$A$722,"&gt;="&amp;77234620000,Данные!$A$2:$A$722,"&lt;="&amp;77234620999)</f>
        <v>0</v>
      </c>
      <c r="AT62" s="65" t="n">
        <f aca="false">COUNTIFS(Данные!$B$2:$B$722,29,Данные!$C$2:$C$722,0,Данные!$A$2:$A$722,"&gt;="&amp;77234650000,Данные!$A$2:$A$722,"&lt;="&amp;77234650999)</f>
        <v>0</v>
      </c>
      <c r="AU62" s="65" t="n">
        <f aca="false">COUNTIFS(Данные!$B$2:$B$722,29,Данные!$C$2:$C$722,0,Данные!$A$2:$A$722,"&gt;="&amp;77234820000,Данные!$A$2:$A$722,"&lt;="&amp;77234820999)</f>
        <v>0</v>
      </c>
      <c r="AV62" s="65" t="n">
        <f aca="false">COUNTIFS(Данные!$B$2:$B$722,29,Данные!$C$2:$C$722,0,Данные!$A$2:$A$722,"&gt;="&amp;77234850000,Данные!$A$2:$A$722,"&lt;="&amp;77234850999)</f>
        <v>0</v>
      </c>
      <c r="AW62" s="65" t="n">
        <f aca="false">COUNTIFS(Данные!$B$2:$B$722,29,Данные!$C$2:$C$722,0,Данные!$A$2:$A$722,"&gt;="&amp;77233327000,Данные!$A$2:$A$722,"&lt;="&amp;77233327999)</f>
        <v>0</v>
      </c>
      <c r="AX62" s="65" t="n">
        <f aca="false">COUNTIFS(Данные!$B$2:$B$722,29,Данные!$C$2:$C$722,0,Данные!$A$2:$A$722,"&gt;="&amp;77233350000,Данные!$A$2:$A$722,"&lt;="&amp;77233350599)</f>
        <v>0</v>
      </c>
      <c r="AY62" s="65" t="n">
        <f aca="false">COUNTIFS(Данные!$B$2:$B$722,29,Данные!$C$2:$C$722,0,Данные!$A$2:$A$722,"&gt;="&amp;77233351000,Данные!$A$2:$A$722,"&lt;="&amp;77233351999)</f>
        <v>0</v>
      </c>
      <c r="AZ62" s="66" t="n">
        <f aca="false">COUNTIFS(Данные!$B$2:$B$722,29,Данные!$C$2:$C$722,0,Данные!$A$2:$A$722,"&gt;="&amp;7722440000,Данные!$A$2:$A$722,"&lt;="&amp;7722440999)</f>
        <v>0</v>
      </c>
      <c r="BA62" s="66" t="n">
        <f aca="false">COUNTIFS(Данные!$B$2:$B$722,29,Данные!$C$2:$C$722,0,Данные!$A$2:$A$722,"&gt;="&amp;7722442000,Данные!$A$2:$A$722,"&lt;="&amp;7722445659)</f>
        <v>0</v>
      </c>
      <c r="BB62" s="66" t="n">
        <f aca="false">COUNTIFS(Данные!$B$2:$B$722,29,Данные!$C$2:$C$722,0,Данные!$A$2:$A$722,"&gt;="&amp;7722450000,Данные!$A$2:$A$722,"&lt;="&amp;7722450199)</f>
        <v>0</v>
      </c>
      <c r="BC62" s="66" t="n">
        <f aca="false">COUNTIFS(Данные!$B$2:$B$722,29,Данные!$C$2:$C$722,0,Данные!$A$2:$A$722,"&gt;="&amp;7722451000,Данные!$A$2:$A$722,"&lt;="&amp;7722451374)</f>
        <v>0</v>
      </c>
      <c r="BD62" s="66" t="n">
        <f aca="false">COUNTIFS(Данные!$B$2:$B$722,29,Данные!$C$2:$C$722,0,Данные!$A$2:$A$722,"&gt;="&amp;7722452000,Данные!$A$2:$A$722,"&lt;="&amp;7722452299)</f>
        <v>0</v>
      </c>
      <c r="BE62" s="66" t="n">
        <f aca="false">COUNTIFS(Данные!$B$2:$B$722,29,Данные!$C$2:$C$722,0,Данные!$A$2:$A$722,"&gt;="&amp;7722453000,Данные!$A$2:$A$722,"&lt;="&amp;7722453816)</f>
        <v>0</v>
      </c>
      <c r="BF62" s="66" t="n">
        <f aca="false">COUNTIFS(Данные!$B$2:$B$722,29,Данные!$C$2:$C$722,0,Данные!$A$2:$A$722,"&gt;="&amp;7722454000,Данные!$A$2:$A$722,"&lt;="&amp;7722454099)</f>
        <v>0</v>
      </c>
      <c r="BG62" s="66" t="n">
        <f aca="false">COUNTIFS(Данные!$B$2:$B$722,29,Данные!$C$2:$C$722,0,Данные!$A$2:$A$722,"&gt;="&amp;7722458000,Данные!$A$2:$A$722,"&lt;="&amp;7722458999)</f>
        <v>0</v>
      </c>
      <c r="BH62" s="66" t="n">
        <f aca="false">COUNTIFS(Данные!$B$2:$B$722,29,Данные!$C$2:$C$722,0,Данные!$A$2:$A$722,"&gt;="&amp;7722630000,Данные!$A$2:$A$722,"&lt;="&amp;7722638549)</f>
        <v>0</v>
      </c>
      <c r="BI62" s="66" t="n">
        <f aca="false">COUNTIFS(Данные!$B$2:$B$722,29,Данные!$C$2:$C$722,0,Данные!$A$2:$A$722,"&gt;="&amp;7722639400,Данные!$A$2:$A$722,"&lt;="&amp;7722639899)</f>
        <v>0</v>
      </c>
      <c r="BJ62" s="66" t="n">
        <f aca="false">COUNTIFS(Данные!$B$2:$B$722,29,Данные!$C$2:$C$722,0,Данные!$A$2:$A$722,"&gt;="&amp;7725750000,Данные!$A$2:$A$722,"&lt;="&amp;7725750399)</f>
        <v>0</v>
      </c>
      <c r="BK62" s="66" t="n">
        <f aca="false">COUNTIFS(Данные!$B$2:$B$722,29,Данные!$C$2:$C$722,0,Данные!$A$2:$A$722,"&gt;="&amp;7723620000,Данные!$A$2:$A$722,"&lt;="&amp;7723621299)</f>
        <v>0</v>
      </c>
      <c r="BL62" s="66" t="n">
        <f aca="false">COUNTIFS(Данные!$B$2:$B$722,29,Данные!$C$2:$C$722,0,Данные!$A$2:$A$722,"&gt;="&amp;7723621600,Данные!$A$2:$A$722,"&lt;="&amp;7723623399)</f>
        <v>0</v>
      </c>
      <c r="BM62" s="66" t="n">
        <f aca="false">COUNTIFS(Данные!$B$2:$B$722,29,Данные!$C$2:$C$722,0,Данные!$A$2:$A$722,"&gt;="&amp;7725127000,Данные!$A$2:$A$722,"&lt;="&amp;7725127999)</f>
        <v>0</v>
      </c>
      <c r="BN62" s="66" t="n">
        <f aca="false">COUNTIFS(Данные!$B$2:$B$722,29,Данные!$C$2:$C$722,0,Данные!$A$2:$A$722,"&gt;="&amp;7723772000,Данные!$A$2:$A$722,"&lt;="&amp;7723724999)</f>
        <v>0</v>
      </c>
      <c r="BO62" s="65" t="n">
        <f aca="false">COUNTIFS(Данные!$B$2:$B$722,29,Данные!$C$2:$C$722,0,Данные!$A$2:$A$722,"&gt;="&amp;7723765000,Данные!$A$2:$A$722,"&lt;="&amp;7723765499)</f>
        <v>0</v>
      </c>
      <c r="BP62" s="66" t="n">
        <f aca="false">COUNTIFS(Данные!$B$2:$B$722,29,Данные!$C$2:$C$722,0,Данные!$A$2:$A$722,"&gt;="&amp;7723948000,Данные!$A$2:$A$722,"&lt;="&amp;7723948999)</f>
        <v>0</v>
      </c>
      <c r="BQ62" s="66" t="n">
        <f aca="false">COUNTIFS(Данные!$B$2:$B$722,29,Данные!$C$2:$C$722,0,Данные!$A$2:$A$722,"&gt;="&amp;7723950000,Данные!$A$2:$A$722,"&lt;="&amp;7723951099)</f>
        <v>0</v>
      </c>
      <c r="BR62" s="66" t="n">
        <f aca="false">COUNTIFS(Данные!$B$2:$B$722,29,Данные!$C$2:$C$722,0,Данные!$A$2:$A$722,"&gt;="&amp;7723020000,Данные!$A$2:$A$722,"&lt;="&amp;7723020999)</f>
        <v>0</v>
      </c>
      <c r="BS62" s="66" t="n">
        <f aca="false">COUNTIFS(Данные!$B$2:$B$722,29,Данные!$C$2:$C$722,0,Данные!$A$2:$A$722,"&gt;="&amp;7723029000,Данные!$A$2:$A$722,"&lt;="&amp;7723029999)</f>
        <v>0</v>
      </c>
      <c r="BT62" s="66" t="n">
        <f aca="false">COUNTIFS(Данные!$B$2:$B$722,29,Данные!$C$2:$C$722,0,Данные!$A$2:$A$722,"&gt;="&amp;7723055000,Данные!$A$2:$A$722,"&lt;="&amp;7723056549)</f>
        <v>0</v>
      </c>
      <c r="BU62" s="65" t="n">
        <f aca="false">COUNTIFS(Данные!$B$2:$B$722,29,Данные!$C$2:$C$722,0,Данные!$A$2:$A$722,"&gt;="&amp;7725250000,Данные!$A$2:$A$722,"&lt;="&amp;7725250499)</f>
        <v>0</v>
      </c>
      <c r="BV62" s="66" t="n">
        <f aca="false">COUNTIFS(Данные!$B$2:$B$722,29,Данные!$C$2:$C$722,0,Данные!$A$2:$A$722,"&gt;="&amp;7183841400,Данные!$A$2:$A$722,"&lt;="&amp;7183841499)</f>
        <v>0</v>
      </c>
      <c r="BW62" s="49" t="n">
        <v>300</v>
      </c>
      <c r="BX62" s="67" t="n">
        <f aca="false">F62-BW62</f>
        <v>-300</v>
      </c>
    </row>
    <row r="63" s="15" customFormat="true" ht="12" hidden="false" customHeight="true" outlineLevel="0" collapsed="false">
      <c r="A63" s="47"/>
      <c r="B63" s="48"/>
      <c r="C63" s="50" t="n">
        <v>1</v>
      </c>
      <c r="D63" s="50" t="n">
        <v>291</v>
      </c>
      <c r="E63" s="51"/>
      <c r="F63" s="65" t="n">
        <f aca="false">COUNTIFS(Данные!$B$2:$B$722,29,Данные!$C$2:$C$722,1)</f>
        <v>0</v>
      </c>
      <c r="G63" s="65" t="n">
        <f aca="false">COUNTIFS(Данные!$B$2:$B$722,29,Данные!$C$2:$C$722,1,Данные!$A$2:$A$722,"&gt;="&amp;77232210840,Данные!$A$2:$A$722,"&lt;="&amp;77232216999)</f>
        <v>0</v>
      </c>
      <c r="H63" s="65" t="n">
        <f aca="false">COUNTIFS(Данные!$B$2:$B$722,29,Данные!$C$2:$C$722,1,Данные!$A$2:$A$722,"&gt;="&amp;77232510512,Данные!$A$2:$A$722,"&lt;="&amp;77232519487)</f>
        <v>0</v>
      </c>
      <c r="I63" s="65" t="n">
        <f aca="false">COUNTIFS(Данные!$B$2:$B$722,29,Данные!$C$2:$C$722,1,Данные!$A$2:$A$722,"&gt;="&amp;77232524160,Данные!$A$2:$A$722,"&lt;="&amp;77232529999)</f>
        <v>0</v>
      </c>
      <c r="J63" s="65" t="n">
        <f aca="false">COUNTIFS(Данные!$B$2:$B$722,29,Данные!$C$2:$C$722,1,Данные!$A$2:$A$722,"&gt;="&amp;77232544000,Данные!$A$2:$A$722,"&lt;="&amp;77232544999)</f>
        <v>0</v>
      </c>
      <c r="K63" s="65" t="n">
        <f aca="false">COUNTIFS(Данные!$B$2:$B$722,29,Данные!$C$2:$C$722,1,Данные!$A$2:$A$722,"&gt;="&amp;77232295504,Данные!$A$2:$A$722,"&lt;="&amp;77232296999)</f>
        <v>0</v>
      </c>
      <c r="L63" s="65" t="n">
        <f aca="false">COUNTIFS(Данные!$B$2:$B$722,29,Данные!$C$2:$C$722,1,Данные!$A$2:$A$722,"&gt;="&amp;77232785000,Данные!$A$2:$A$722,"&lt;="&amp;77232789999)</f>
        <v>0</v>
      </c>
      <c r="M63" s="65" t="n">
        <f aca="false">COUNTIFS(Данные!$B$2:$B$722,29,Данные!$C$2:$C$722,1,Данные!$A$2:$A$722,"&gt;="&amp;77233150000,Данные!$A$2:$A$722,"&lt;="&amp;77233155999)</f>
        <v>0</v>
      </c>
      <c r="N63" s="65" t="n">
        <f aca="false">COUNTIFS(Данные!$B$2:$B$722,29,Данные!$C$2:$C$722,1,Данные!$A$2:$A$722,"&gt;="&amp;77233235000,Данные!$A$2:$A$722,"&lt;="&amp;77233235999)</f>
        <v>0</v>
      </c>
      <c r="O63" s="65" t="n">
        <f aca="false">COUNTIFS(Данные!$B$2:$B$722,29,Данные!$C$2:$C$722,1,Данные!$A$2:$A$722,"&gt;="&amp;77233239000,Данные!$A$2:$A$722,"&lt;="&amp;77233239999)</f>
        <v>0</v>
      </c>
      <c r="P63" s="65" t="n">
        <f aca="false">COUNTIFS(Данные!$B$2:$B$722,29,Данные!$C$2:$C$722,1,Данные!$A$2:$A$722,"&gt;="&amp;77233272000,Данные!$A$2:$A$722,"&lt;="&amp;77233272999)</f>
        <v>0</v>
      </c>
      <c r="Q63" s="65" t="n">
        <f aca="false">COUNTIFS(Данные!$B$2:$B$722,29,Данные!$C$2:$C$722,1,Данные!$A$2:$A$722,"&gt;="&amp;77233291100,Данные!$A$2:$A$722,"&lt;="&amp;77233292999)</f>
        <v>0</v>
      </c>
      <c r="R63" s="65" t="n">
        <f aca="false">COUNTIFS(Данные!$B$2:$B$722,29,Данные!$C$2:$C$722,1,Данные!$A$2:$A$722,"&gt;="&amp;77233297000,Данные!$A$2:$A$722,"&lt;="&amp;77233298399)</f>
        <v>0</v>
      </c>
      <c r="S63" s="65" t="n">
        <f aca="false">COUNTIFS(Данные!$B$2:$B$722,29,Данные!$C$2:$C$722,1,Данные!$A$2:$A$722,"&gt;="&amp;77235124000,Данные!$A$2:$A$722,"&lt;="&amp;77235128499)</f>
        <v>0</v>
      </c>
      <c r="T63" s="65" t="n">
        <f aca="false">COUNTIFS(Данные!$B$2:$B$722,29,Данные!$C$2:$C$722,1,Данные!$A$2:$A$722,"&gt;="&amp;77235320000,Данные!$A$2:$A$722,"&lt;="&amp;77235320999)</f>
        <v>0</v>
      </c>
      <c r="U63" s="65" t="n">
        <f aca="false">COUNTIFS(Данные!$B$2:$B$722,29,Данные!$C$2:$C$722,1,Данные!$A$2:$A$722,"&gt;="&amp;77233620000,Данные!$A$2:$A$722,"&lt;="&amp;77233623339)</f>
        <v>0</v>
      </c>
      <c r="V63" s="65" t="n">
        <f aca="false">COUNTIFS(Данные!$B$2:$B$722,29,Данные!$C$2:$C$722,1,Данные!$A$2:$A$722,"&gt;="&amp;77233630000,Данные!$A$2:$A$722,"&lt;="&amp;77233630999)</f>
        <v>0</v>
      </c>
      <c r="W63" s="65" t="n">
        <f aca="false">COUNTIFS(Данные!$B$2:$B$722,29,Данные!$C$2:$C$722,1,Данные!$A$2:$A$722,"&gt;="&amp;77233637000,Данные!$A$2:$A$722,"&lt;="&amp;77233637599)</f>
        <v>0</v>
      </c>
      <c r="X63" s="65" t="n">
        <f aca="false">COUNTIFS(Данные!$B$2:$B$722,29,Данные!$C$2:$C$722,1,Данные!$A$2:$A$722,"&gt;="&amp;77233550000,Данные!$A$2:$A$722,"&lt;="&amp;77233550999)</f>
        <v>0</v>
      </c>
      <c r="Y63" s="65" t="n">
        <f aca="false">COUNTIFS(Данные!$B$2:$B$722,29,Данные!$C$2:$C$722,1,Данные!$A$2:$A$722,"&gt;="&amp;77233554000,Данные!$A$2:$A$722,"&lt;="&amp;77233554999)</f>
        <v>0</v>
      </c>
      <c r="Z63" s="65" t="n">
        <f aca="false">COUNTIFS(Данные!$B$2:$B$722,29,Данные!$C$2:$C$722,1,Данные!$A$2:$A$722,"&gt;="&amp;77233555000,Данные!$A$2:$A$722,"&lt;="&amp;77233556999)</f>
        <v>0</v>
      </c>
      <c r="AA63" s="65" t="n">
        <f aca="false">COUNTIFS(Данные!$B$2:$B$722,29,Данные!$C$2:$C$722,1,Данные!$A$2:$A$722,"&gt;="&amp;77233726000,Данные!$A$2:$A$722,"&lt;="&amp;77233726999)</f>
        <v>0</v>
      </c>
      <c r="AB63" s="65" t="n">
        <f aca="false">COUNTIFS(Данные!$B$2:$B$722,29,Данные!$C$2:$C$722,1,Данные!$A$2:$A$722,"&gt;="&amp;77233820000,Данные!$A$2:$A$722,"&lt;="&amp;77233820999)</f>
        <v>0</v>
      </c>
      <c r="AC63" s="65" t="n">
        <f aca="false">COUNTIFS(Данные!$B$2:$B$722,29,Данные!$C$2:$C$722,1,Данные!$A$2:$A$722,"&gt;="&amp;77233850000,Данные!$A$2:$A$722,"&lt;="&amp;77233850999)</f>
        <v>0</v>
      </c>
      <c r="AD63" s="65" t="n">
        <f aca="false">COUNTIFS(Данные!$B$2:$B$722,29,Данные!$C$2:$C$722,1,Данные!$A$2:$A$722,"&gt;="&amp;77233420000,Данные!$A$2:$A$722,"&lt;="&amp;77233420999)</f>
        <v>0</v>
      </c>
      <c r="AE63" s="65" t="n">
        <f aca="false">COUNTIFS(Данные!$B$2:$B$722,29,Данные!$C$2:$C$722,1,Данные!$A$2:$A$722,"&gt;="&amp;77234740000,Данные!$A$2:$A$722,"&lt;="&amp;77234742999)</f>
        <v>0</v>
      </c>
      <c r="AF63" s="65" t="n">
        <f aca="false">COUNTIFS(Данные!$B$2:$B$722,29,Данные!$C$2:$C$722,1,Данные!$A$2:$A$722,"&gt;="&amp;77234767000,Данные!$A$2:$A$722,"&lt;="&amp;77234767999)</f>
        <v>0</v>
      </c>
      <c r="AG63" s="65" t="n">
        <f aca="false">COUNTIFS(Данные!$B$2:$B$722,29,Данные!$C$2:$C$722,1,Данные!$A$2:$A$722,"&gt;="&amp;77234120000,Данные!$A$2:$A$722,"&lt;="&amp;77234120999)</f>
        <v>0</v>
      </c>
      <c r="AH63" s="65" t="n">
        <f aca="false">COUNTIFS(Данные!$B$2:$B$722,29,Данные!$C$2:$C$722,1,Данные!$A$2:$A$722,"&gt;="&amp;77234127000,Данные!$A$2:$A$722,"&lt;="&amp;77234127999)</f>
        <v>0</v>
      </c>
      <c r="AI63" s="65" t="n">
        <f aca="false">COUNTIFS(Данные!$B$2:$B$722,29,Данные!$C$2:$C$722,1,Данные!$A$2:$A$722,"&gt;="&amp;77234220000,Данные!$A$2:$A$722,"&lt;="&amp;77234220999)</f>
        <v>0</v>
      </c>
      <c r="AJ63" s="65" t="n">
        <f aca="false">COUNTIFS(Данные!$B$2:$B$722,29,Данные!$C$2:$C$722,1,Данные!$A$2:$A$722,"&gt;="&amp;77234250000,Данные!$A$2:$A$722,"&lt;="&amp;77234250999)</f>
        <v>0</v>
      </c>
      <c r="AK63" s="65" t="n">
        <f aca="false">COUNTIFS(Данные!$B$2:$B$722,29,Данные!$C$2:$C$722,1,Данные!$A$2:$A$722,"&gt;="&amp;77233922950,Данные!$A$2:$A$722,"&lt;="&amp;77233924999)</f>
        <v>0</v>
      </c>
      <c r="AL63" s="65" t="n">
        <f aca="false">COUNTIFS(Данные!$B$2:$B$722,29,Данные!$C$2:$C$722,1,Данные!$A$2:$A$722,"&gt;="&amp;77234320000,Данные!$A$2:$A$722,"&lt;="&amp;77234320999)</f>
        <v>0</v>
      </c>
      <c r="AM63" s="65" t="n">
        <f aca="false">COUNTIFS(Данные!$B$2:$B$722,29,Данные!$C$2:$C$722,1,Данные!$A$2:$A$722,"&gt;="&amp;77234350000,Данные!$A$2:$A$722,"&lt;="&amp;77234350999)</f>
        <v>0</v>
      </c>
      <c r="AN63" s="65" t="n">
        <f aca="false">COUNTIFS(Данные!$B$2:$B$722,29,Данные!$C$2:$C$722,1,Данные!$A$2:$A$722,"&gt;="&amp;77234020000,Данные!$A$2:$A$722,"&lt;="&amp;77234020999)</f>
        <v>0</v>
      </c>
      <c r="AO63" s="65" t="n">
        <f aca="false">COUNTIFS(Данные!$B$2:$B$722,29,Данные!$C$2:$C$722,1,Данные!$A$2:$A$722,"&gt;="&amp;77234029000,Данные!$A$2:$A$722,"&lt;="&amp;77234029999)</f>
        <v>0</v>
      </c>
      <c r="AP63" s="65" t="n">
        <f aca="false">COUNTIFS(Данные!$B$2:$B$722,29,Данные!$C$2:$C$722,1,Данные!$A$2:$A$722,"&gt;="&amp;77234050000,Данные!$A$2:$A$722,"&lt;="&amp;77234050999)</f>
        <v>0</v>
      </c>
      <c r="AQ63" s="65" t="n">
        <f aca="false">COUNTIFS(Данные!$B$2:$B$722,29,Данные!$C$2:$C$722,1,Данные!$A$2:$A$722,"&gt;="&amp;77234427000,Данные!$A$2:$A$722,"&lt;="&amp;77234428999)</f>
        <v>0</v>
      </c>
      <c r="AR63" s="65" t="n">
        <f aca="false">COUNTIFS(Данные!$B$2:$B$722,29,Данные!$C$2:$C$722,1,Данные!$A$2:$A$722,"&gt;="&amp;77234450000,Данные!$A$2:$A$722,"&lt;="&amp;77234450999)</f>
        <v>0</v>
      </c>
      <c r="AS63" s="65" t="n">
        <f aca="false">COUNTIFS(Данные!$B$2:$B$722,29,Данные!$C$2:$C$722,1,Данные!$A$2:$A$722,"&gt;="&amp;77234620000,Данные!$A$2:$A$722,"&lt;="&amp;77234620999)</f>
        <v>0</v>
      </c>
      <c r="AT63" s="65" t="n">
        <f aca="false">COUNTIFS(Данные!$B$2:$B$722,29,Данные!$C$2:$C$722,1,Данные!$A$2:$A$722,"&gt;="&amp;77234650000,Данные!$A$2:$A$722,"&lt;="&amp;77234650999)</f>
        <v>0</v>
      </c>
      <c r="AU63" s="65" t="n">
        <f aca="false">COUNTIFS(Данные!$B$2:$B$722,29,Данные!$C$2:$C$722,1,Данные!$A$2:$A$722,"&gt;="&amp;77234820000,Данные!$A$2:$A$722,"&lt;="&amp;77234820999)</f>
        <v>0</v>
      </c>
      <c r="AV63" s="65" t="n">
        <f aca="false">COUNTIFS(Данные!$B$2:$B$722,29,Данные!$C$2:$C$722,1,Данные!$A$2:$A$722,"&gt;="&amp;77234850000,Данные!$A$2:$A$722,"&lt;="&amp;77234850999)</f>
        <v>0</v>
      </c>
      <c r="AW63" s="65" t="n">
        <f aca="false">COUNTIFS(Данные!$B$2:$B$722,29,Данные!$C$2:$C$722,1,Данные!$A$2:$A$722,"&gt;="&amp;77233327000,Данные!$A$2:$A$722,"&lt;="&amp;77233327999)</f>
        <v>0</v>
      </c>
      <c r="AX63" s="65" t="n">
        <f aca="false">COUNTIFS(Данные!$B$2:$B$722,29,Данные!$C$2:$C$722,1,Данные!$A$2:$A$722,"&gt;="&amp;77233350000,Данные!$A$2:$A$722,"&lt;="&amp;77233350599)</f>
        <v>0</v>
      </c>
      <c r="AY63" s="65" t="n">
        <f aca="false">COUNTIFS(Данные!$B$2:$B$722,29,Данные!$C$2:$C$722,1,Данные!$A$2:$A$722,"&gt;="&amp;77233351000,Данные!$A$2:$A$722,"&lt;="&amp;77233351999)</f>
        <v>0</v>
      </c>
      <c r="AZ63" s="66" t="n">
        <f aca="false">COUNTIFS(Данные!$B$2:$B$722,29,Данные!$C$2:$C$722,1,Данные!$A$2:$A$722,"&gt;="&amp;7722440000,Данные!$A$2:$A$722,"&lt;="&amp;7722440999)</f>
        <v>0</v>
      </c>
      <c r="BA63" s="66" t="n">
        <f aca="false">COUNTIFS(Данные!$B$2:$B$722,29,Данные!$C$2:$C$722,1,Данные!$A$2:$A$722,"&gt;="&amp;7722442000,Данные!$A$2:$A$722,"&lt;="&amp;7722445659)</f>
        <v>0</v>
      </c>
      <c r="BB63" s="66" t="n">
        <f aca="false">COUNTIFS(Данные!$B$2:$B$722,29,Данные!$C$2:$C$722,1,Данные!$A$2:$A$722,"&gt;="&amp;7722450000,Данные!$A$2:$A$722,"&lt;="&amp;7722450199)</f>
        <v>0</v>
      </c>
      <c r="BC63" s="66" t="n">
        <f aca="false">COUNTIFS(Данные!$B$2:$B$722,29,Данные!$C$2:$C$722,1,Данные!$A$2:$A$722,"&gt;="&amp;7722451000,Данные!$A$2:$A$722,"&lt;="&amp;7722451374)</f>
        <v>0</v>
      </c>
      <c r="BD63" s="66" t="n">
        <f aca="false">COUNTIFS(Данные!$B$2:$B$722,29,Данные!$C$2:$C$722,1,Данные!$A$2:$A$722,"&gt;="&amp;7722452000,Данные!$A$2:$A$722,"&lt;="&amp;7722452299)</f>
        <v>0</v>
      </c>
      <c r="BE63" s="66" t="n">
        <f aca="false">COUNTIFS(Данные!$B$2:$B$722,29,Данные!$C$2:$C$722,1,Данные!$A$2:$A$722,"&gt;="&amp;7722453000,Данные!$A$2:$A$722,"&lt;="&amp;7722453816)</f>
        <v>0</v>
      </c>
      <c r="BF63" s="66" t="n">
        <f aca="false">COUNTIFS(Данные!$B$2:$B$722,29,Данные!$C$2:$C$722,1,Данные!$A$2:$A$722,"&gt;="&amp;7722454000,Данные!$A$2:$A$722,"&lt;="&amp;7722454099)</f>
        <v>0</v>
      </c>
      <c r="BG63" s="66" t="n">
        <f aca="false">COUNTIFS(Данные!$B$2:$B$722,29,Данные!$C$2:$C$722,1,Данные!$A$2:$A$722,"&gt;="&amp;7722458000,Данные!$A$2:$A$722,"&lt;="&amp;7722458999)</f>
        <v>0</v>
      </c>
      <c r="BH63" s="66" t="n">
        <f aca="false">COUNTIFS(Данные!$B$2:$B$722,29,Данные!$C$2:$C$722,1,Данные!$A$2:$A$722,"&gt;="&amp;7722630000,Данные!$A$2:$A$722,"&lt;="&amp;7722638549)</f>
        <v>0</v>
      </c>
      <c r="BI63" s="66" t="n">
        <f aca="false">COUNTIFS(Данные!$B$2:$B$722,29,Данные!$C$2:$C$722,1,Данные!$A$2:$A$722,"&gt;="&amp;7722639400,Данные!$A$2:$A$722,"&lt;="&amp;7722639899)</f>
        <v>0</v>
      </c>
      <c r="BJ63" s="66" t="n">
        <f aca="false">COUNTIFS(Данные!$B$2:$B$722,29,Данные!$C$2:$C$722,1,Данные!$A$2:$A$722,"&gt;="&amp;7725750000,Данные!$A$2:$A$722,"&lt;="&amp;7725750399)</f>
        <v>0</v>
      </c>
      <c r="BK63" s="66" t="n">
        <f aca="false">COUNTIFS(Данные!$B$2:$B$722,29,Данные!$C$2:$C$722,1,Данные!$A$2:$A$722,"&gt;="&amp;7723620000,Данные!$A$2:$A$722,"&lt;="&amp;7723621299)</f>
        <v>0</v>
      </c>
      <c r="BL63" s="66" t="n">
        <f aca="false">COUNTIFS(Данные!$B$2:$B$722,29,Данные!$C$2:$C$722,1,Данные!$A$2:$A$722,"&gt;="&amp;7723621600,Данные!$A$2:$A$722,"&lt;="&amp;7723623399)</f>
        <v>0</v>
      </c>
      <c r="BM63" s="66" t="n">
        <f aca="false">COUNTIFS(Данные!$B$2:$B$722,29,Данные!$C$2:$C$722,1,Данные!$A$2:$A$722,"&gt;="&amp;7725127000,Данные!$A$2:$A$722,"&lt;="&amp;7725127999)</f>
        <v>0</v>
      </c>
      <c r="BN63" s="66" t="n">
        <f aca="false">COUNTIFS(Данные!$B$2:$B$722,29,Данные!$C$2:$C$722,1,Данные!$A$2:$A$722,"&gt;="&amp;7723772000,Данные!$A$2:$A$722,"&lt;="&amp;7723724999)</f>
        <v>0</v>
      </c>
      <c r="BO63" s="65" t="n">
        <f aca="false">COUNTIFS(Данные!$B$2:$B$722,29,Данные!$C$2:$C$722,1,Данные!$A$2:$A$722,"&gt;="&amp;7723765000,Данные!$A$2:$A$722,"&lt;="&amp;7723765499)</f>
        <v>0</v>
      </c>
      <c r="BP63" s="66" t="n">
        <f aca="false">COUNTIFS(Данные!$B$2:$B$722,29,Данные!$C$2:$C$722,1,Данные!$A$2:$A$722,"&gt;="&amp;7723948000,Данные!$A$2:$A$722,"&lt;="&amp;7723948999)</f>
        <v>0</v>
      </c>
      <c r="BQ63" s="66" t="n">
        <f aca="false">COUNTIFS(Данные!$B$2:$B$722,29,Данные!$C$2:$C$722,1,Данные!$A$2:$A$722,"&gt;="&amp;7723950000,Данные!$A$2:$A$722,"&lt;="&amp;7723951099)</f>
        <v>0</v>
      </c>
      <c r="BR63" s="66" t="n">
        <f aca="false">COUNTIFS(Данные!$B$2:$B$722,29,Данные!$C$2:$C$722,1,Данные!$A$2:$A$722,"&gt;="&amp;7723020000,Данные!$A$2:$A$722,"&lt;="&amp;7723020999)</f>
        <v>0</v>
      </c>
      <c r="BS63" s="66" t="n">
        <f aca="false">COUNTIFS(Данные!$B$2:$B$722,29,Данные!$C$2:$C$722,1,Данные!$A$2:$A$722,"&gt;="&amp;7723029000,Данные!$A$2:$A$722,"&lt;="&amp;7723029999)</f>
        <v>0</v>
      </c>
      <c r="BT63" s="66" t="n">
        <f aca="false">COUNTIFS(Данные!$B$2:$B$722,29,Данные!$C$2:$C$722,1,Данные!$A$2:$A$722,"&gt;="&amp;7723055000,Данные!$A$2:$A$722,"&lt;="&amp;7723056549)</f>
        <v>0</v>
      </c>
      <c r="BU63" s="65" t="n">
        <f aca="false">COUNTIFS(Данные!$B$2:$B$722,29,Данные!$C$2:$C$722,1,Данные!$A$2:$A$722,"&gt;="&amp;7725250000,Данные!$A$2:$A$722,"&lt;="&amp;7725250499)</f>
        <v>0</v>
      </c>
      <c r="BV63" s="66" t="n">
        <f aca="false">COUNTIFS(Данные!$B$2:$B$722,29,Данные!$C$2:$C$722,1,Данные!$A$2:$A$722,"&gt;="&amp;7183841400,Данные!$A$2:$A$722,"&lt;="&amp;7183841499)</f>
        <v>0</v>
      </c>
      <c r="BW63" s="49" t="n">
        <v>300</v>
      </c>
      <c r="BX63" s="67" t="n">
        <f aca="false">F63-BW63</f>
        <v>-300</v>
      </c>
    </row>
    <row r="64" s="15" customFormat="true" ht="12" hidden="false" customHeight="true" outlineLevel="0" collapsed="false">
      <c r="A64" s="47"/>
      <c r="B64" s="48"/>
      <c r="C64" s="50" t="n">
        <v>2</v>
      </c>
      <c r="D64" s="50" t="n">
        <v>292</v>
      </c>
      <c r="E64" s="51"/>
      <c r="F64" s="65" t="n">
        <f aca="false">COUNTIFS(Данные!$B$2:$B$722,29,Данные!$C$2:$C$722,2)</f>
        <v>0</v>
      </c>
      <c r="G64" s="65" t="n">
        <f aca="false">COUNTIFS(Данные!$B$2:$B$722,29,Данные!$C$2:$C$722,2,Данные!$A$2:$A$722,"&gt;="&amp;77232210840,Данные!$A$2:$A$722,"&lt;="&amp;77232216999)</f>
        <v>0</v>
      </c>
      <c r="H64" s="65" t="n">
        <f aca="false">COUNTIFS(Данные!$B$2:$B$722,29,Данные!$C$2:$C$722,2,Данные!$A$2:$A$722,"&gt;="&amp;77232510512,Данные!$A$2:$A$722,"&lt;="&amp;77232519487)</f>
        <v>0</v>
      </c>
      <c r="I64" s="65" t="n">
        <f aca="false">COUNTIFS(Данные!$B$2:$B$722,29,Данные!$C$2:$C$722,2,Данные!$A$2:$A$722,"&gt;="&amp;77232524160,Данные!$A$2:$A$722,"&lt;="&amp;77232529999)</f>
        <v>0</v>
      </c>
      <c r="J64" s="65" t="n">
        <f aca="false">COUNTIFS(Данные!$B$2:$B$722,29,Данные!$C$2:$C$722,2,Данные!$A$2:$A$722,"&gt;="&amp;77232544000,Данные!$A$2:$A$722,"&lt;="&amp;77232544999)</f>
        <v>0</v>
      </c>
      <c r="K64" s="65" t="n">
        <f aca="false">COUNTIFS(Данные!$B$2:$B$722,29,Данные!$C$2:$C$722,2,Данные!$A$2:$A$722,"&gt;="&amp;77232295504,Данные!$A$2:$A$722,"&lt;="&amp;77232296999)</f>
        <v>0</v>
      </c>
      <c r="L64" s="65" t="n">
        <f aca="false">COUNTIFS(Данные!$B$2:$B$722,29,Данные!$C$2:$C$722,2,Данные!$A$2:$A$722,"&gt;="&amp;77232785000,Данные!$A$2:$A$722,"&lt;="&amp;77232789999)</f>
        <v>0</v>
      </c>
      <c r="M64" s="65" t="n">
        <f aca="false">COUNTIFS(Данные!$B$2:$B$722,29,Данные!$C$2:$C$722,2,Данные!$A$2:$A$722,"&gt;="&amp;77233150000,Данные!$A$2:$A$722,"&lt;="&amp;77233155999)</f>
        <v>0</v>
      </c>
      <c r="N64" s="65" t="n">
        <f aca="false">COUNTIFS(Данные!$B$2:$B$722,29,Данные!$C$2:$C$722,2,Данные!$A$2:$A$722,"&gt;="&amp;77233235000,Данные!$A$2:$A$722,"&lt;="&amp;77233235999)</f>
        <v>0</v>
      </c>
      <c r="O64" s="65" t="n">
        <f aca="false">COUNTIFS(Данные!$B$2:$B$722,29,Данные!$C$2:$C$722,2,Данные!$A$2:$A$722,"&gt;="&amp;77233239000,Данные!$A$2:$A$722,"&lt;="&amp;77233239999)</f>
        <v>0</v>
      </c>
      <c r="P64" s="65" t="n">
        <f aca="false">COUNTIFS(Данные!$B$2:$B$722,29,Данные!$C$2:$C$722,2,Данные!$A$2:$A$722,"&gt;="&amp;77233272000,Данные!$A$2:$A$722,"&lt;="&amp;77233272999)</f>
        <v>0</v>
      </c>
      <c r="Q64" s="65" t="n">
        <f aca="false">COUNTIFS(Данные!$B$2:$B$722,29,Данные!$C$2:$C$722,2,Данные!$A$2:$A$722,"&gt;="&amp;77233291100,Данные!$A$2:$A$722,"&lt;="&amp;77233292999)</f>
        <v>0</v>
      </c>
      <c r="R64" s="65" t="n">
        <f aca="false">COUNTIFS(Данные!$B$2:$B$722,29,Данные!$C$2:$C$722,2,Данные!$A$2:$A$722,"&gt;="&amp;77233297000,Данные!$A$2:$A$722,"&lt;="&amp;77233298399)</f>
        <v>0</v>
      </c>
      <c r="S64" s="65" t="n">
        <f aca="false">COUNTIFS(Данные!$B$2:$B$722,29,Данные!$C$2:$C$722,2,Данные!$A$2:$A$722,"&gt;="&amp;77235124000,Данные!$A$2:$A$722,"&lt;="&amp;77235128499)</f>
        <v>0</v>
      </c>
      <c r="T64" s="65" t="n">
        <f aca="false">COUNTIFS(Данные!$B$2:$B$722,29,Данные!$C$2:$C$722,2,Данные!$A$2:$A$722,"&gt;="&amp;77235320000,Данные!$A$2:$A$722,"&lt;="&amp;77235320999)</f>
        <v>0</v>
      </c>
      <c r="U64" s="65" t="n">
        <f aca="false">COUNTIFS(Данные!$B$2:$B$722,29,Данные!$C$2:$C$722,2,Данные!$A$2:$A$722,"&gt;="&amp;77233620000,Данные!$A$2:$A$722,"&lt;="&amp;77233623339)</f>
        <v>0</v>
      </c>
      <c r="V64" s="65" t="n">
        <f aca="false">COUNTIFS(Данные!$B$2:$B$722,29,Данные!$C$2:$C$722,2,Данные!$A$2:$A$722,"&gt;="&amp;77233630000,Данные!$A$2:$A$722,"&lt;="&amp;77233630999)</f>
        <v>0</v>
      </c>
      <c r="W64" s="65" t="n">
        <f aca="false">COUNTIFS(Данные!$B$2:$B$722,29,Данные!$C$2:$C$722,2,Данные!$A$2:$A$722,"&gt;="&amp;77233637000,Данные!$A$2:$A$722,"&lt;="&amp;77233637599)</f>
        <v>0</v>
      </c>
      <c r="X64" s="65" t="n">
        <f aca="false">COUNTIFS(Данные!$B$2:$B$722,29,Данные!$C$2:$C$722,2,Данные!$A$2:$A$722,"&gt;="&amp;77233550000,Данные!$A$2:$A$722,"&lt;="&amp;77233550999)</f>
        <v>0</v>
      </c>
      <c r="Y64" s="65" t="n">
        <f aca="false">COUNTIFS(Данные!$B$2:$B$722,29,Данные!$C$2:$C$722,2,Данные!$A$2:$A$722,"&gt;="&amp;77233554000,Данные!$A$2:$A$722,"&lt;="&amp;77233554999)</f>
        <v>0</v>
      </c>
      <c r="Z64" s="65" t="n">
        <f aca="false">COUNTIFS(Данные!$B$2:$B$722,29,Данные!$C$2:$C$722,2,Данные!$A$2:$A$722,"&gt;="&amp;77233555000,Данные!$A$2:$A$722,"&lt;="&amp;77233556999)</f>
        <v>0</v>
      </c>
      <c r="AA64" s="65" t="n">
        <f aca="false">COUNTIFS(Данные!$B$2:$B$722,29,Данные!$C$2:$C$722,2,Данные!$A$2:$A$722,"&gt;="&amp;77233726000,Данные!$A$2:$A$722,"&lt;="&amp;77233726999)</f>
        <v>0</v>
      </c>
      <c r="AB64" s="65" t="n">
        <f aca="false">COUNTIFS(Данные!$B$2:$B$722,29,Данные!$C$2:$C$722,2,Данные!$A$2:$A$722,"&gt;="&amp;77233820000,Данные!$A$2:$A$722,"&lt;="&amp;77233820999)</f>
        <v>0</v>
      </c>
      <c r="AC64" s="65" t="n">
        <f aca="false">COUNTIFS(Данные!$B$2:$B$722,29,Данные!$C$2:$C$722,2,Данные!$A$2:$A$722,"&gt;="&amp;77233850000,Данные!$A$2:$A$722,"&lt;="&amp;77233850999)</f>
        <v>0</v>
      </c>
      <c r="AD64" s="65" t="n">
        <f aca="false">COUNTIFS(Данные!$B$2:$B$722,29,Данные!$C$2:$C$722,2,Данные!$A$2:$A$722,"&gt;="&amp;77233420000,Данные!$A$2:$A$722,"&lt;="&amp;77233420999)</f>
        <v>0</v>
      </c>
      <c r="AE64" s="65" t="n">
        <f aca="false">COUNTIFS(Данные!$B$2:$B$722,29,Данные!$C$2:$C$722,2,Данные!$A$2:$A$722,"&gt;="&amp;77234740000,Данные!$A$2:$A$722,"&lt;="&amp;77234742999)</f>
        <v>0</v>
      </c>
      <c r="AF64" s="65" t="n">
        <f aca="false">COUNTIFS(Данные!$B$2:$B$722,29,Данные!$C$2:$C$722,2,Данные!$A$2:$A$722,"&gt;="&amp;77234767000,Данные!$A$2:$A$722,"&lt;="&amp;77234767999)</f>
        <v>0</v>
      </c>
      <c r="AG64" s="65" t="n">
        <f aca="false">COUNTIFS(Данные!$B$2:$B$722,29,Данные!$C$2:$C$722,2,Данные!$A$2:$A$722,"&gt;="&amp;77234120000,Данные!$A$2:$A$722,"&lt;="&amp;77234120999)</f>
        <v>0</v>
      </c>
      <c r="AH64" s="65" t="n">
        <f aca="false">COUNTIFS(Данные!$B$2:$B$722,29,Данные!$C$2:$C$722,2,Данные!$A$2:$A$722,"&gt;="&amp;77234127000,Данные!$A$2:$A$722,"&lt;="&amp;77234127999)</f>
        <v>0</v>
      </c>
      <c r="AI64" s="65" t="n">
        <f aca="false">COUNTIFS(Данные!$B$2:$B$722,29,Данные!$C$2:$C$722,2,Данные!$A$2:$A$722,"&gt;="&amp;77234220000,Данные!$A$2:$A$722,"&lt;="&amp;77234220999)</f>
        <v>0</v>
      </c>
      <c r="AJ64" s="65" t="n">
        <f aca="false">COUNTIFS(Данные!$B$2:$B$722,29,Данные!$C$2:$C$722,2,Данные!$A$2:$A$722,"&gt;="&amp;77234250000,Данные!$A$2:$A$722,"&lt;="&amp;77234250999)</f>
        <v>0</v>
      </c>
      <c r="AK64" s="65" t="n">
        <f aca="false">COUNTIFS(Данные!$B$2:$B$722,29,Данные!$C$2:$C$722,2,Данные!$A$2:$A$722,"&gt;="&amp;77233922950,Данные!$A$2:$A$722,"&lt;="&amp;77233924999)</f>
        <v>0</v>
      </c>
      <c r="AL64" s="65" t="n">
        <f aca="false">COUNTIFS(Данные!$B$2:$B$722,29,Данные!$C$2:$C$722,2,Данные!$A$2:$A$722,"&gt;="&amp;77234320000,Данные!$A$2:$A$722,"&lt;="&amp;77234320999)</f>
        <v>0</v>
      </c>
      <c r="AM64" s="65" t="n">
        <f aca="false">COUNTIFS(Данные!$B$2:$B$722,29,Данные!$C$2:$C$722,2,Данные!$A$2:$A$722,"&gt;="&amp;77234350000,Данные!$A$2:$A$722,"&lt;="&amp;77234350999)</f>
        <v>0</v>
      </c>
      <c r="AN64" s="65" t="n">
        <f aca="false">COUNTIFS(Данные!$B$2:$B$722,29,Данные!$C$2:$C$722,2,Данные!$A$2:$A$722,"&gt;="&amp;77234020000,Данные!$A$2:$A$722,"&lt;="&amp;77234020999)</f>
        <v>0</v>
      </c>
      <c r="AO64" s="65" t="n">
        <f aca="false">COUNTIFS(Данные!$B$2:$B$722,29,Данные!$C$2:$C$722,2,Данные!$A$2:$A$722,"&gt;="&amp;77234029000,Данные!$A$2:$A$722,"&lt;="&amp;77234029999)</f>
        <v>0</v>
      </c>
      <c r="AP64" s="65" t="n">
        <f aca="false">COUNTIFS(Данные!$B$2:$B$722,29,Данные!$C$2:$C$722,2,Данные!$A$2:$A$722,"&gt;="&amp;77234050000,Данные!$A$2:$A$722,"&lt;="&amp;77234050999)</f>
        <v>0</v>
      </c>
      <c r="AQ64" s="65" t="n">
        <f aca="false">COUNTIFS(Данные!$B$2:$B$722,29,Данные!$C$2:$C$722,2,Данные!$A$2:$A$722,"&gt;="&amp;77234427000,Данные!$A$2:$A$722,"&lt;="&amp;77234428999)</f>
        <v>0</v>
      </c>
      <c r="AR64" s="65" t="n">
        <f aca="false">COUNTIFS(Данные!$B$2:$B$722,29,Данные!$C$2:$C$722,2,Данные!$A$2:$A$722,"&gt;="&amp;77234450000,Данные!$A$2:$A$722,"&lt;="&amp;77234450999)</f>
        <v>0</v>
      </c>
      <c r="AS64" s="65" t="n">
        <f aca="false">COUNTIFS(Данные!$B$2:$B$722,29,Данные!$C$2:$C$722,2,Данные!$A$2:$A$722,"&gt;="&amp;77234620000,Данные!$A$2:$A$722,"&lt;="&amp;77234620999)</f>
        <v>0</v>
      </c>
      <c r="AT64" s="65" t="n">
        <f aca="false">COUNTIFS(Данные!$B$2:$B$722,29,Данные!$C$2:$C$722,2,Данные!$A$2:$A$722,"&gt;="&amp;77234650000,Данные!$A$2:$A$722,"&lt;="&amp;77234650999)</f>
        <v>0</v>
      </c>
      <c r="AU64" s="65" t="n">
        <f aca="false">COUNTIFS(Данные!$B$2:$B$722,29,Данные!$C$2:$C$722,2,Данные!$A$2:$A$722,"&gt;="&amp;77234820000,Данные!$A$2:$A$722,"&lt;="&amp;77234820999)</f>
        <v>0</v>
      </c>
      <c r="AV64" s="65" t="n">
        <f aca="false">COUNTIFS(Данные!$B$2:$B$722,29,Данные!$C$2:$C$722,2,Данные!$A$2:$A$722,"&gt;="&amp;77234850000,Данные!$A$2:$A$722,"&lt;="&amp;77234850999)</f>
        <v>0</v>
      </c>
      <c r="AW64" s="65" t="n">
        <f aca="false">COUNTIFS(Данные!$B$2:$B$722,29,Данные!$C$2:$C$722,2,Данные!$A$2:$A$722,"&gt;="&amp;77233327000,Данные!$A$2:$A$722,"&lt;="&amp;77233327999)</f>
        <v>0</v>
      </c>
      <c r="AX64" s="65" t="n">
        <f aca="false">COUNTIFS(Данные!$B$2:$B$722,29,Данные!$C$2:$C$722,2,Данные!$A$2:$A$722,"&gt;="&amp;77233350000,Данные!$A$2:$A$722,"&lt;="&amp;77233350599)</f>
        <v>0</v>
      </c>
      <c r="AY64" s="65" t="n">
        <f aca="false">COUNTIFS(Данные!$B$2:$B$722,29,Данные!$C$2:$C$722,2,Данные!$A$2:$A$722,"&gt;="&amp;77233351000,Данные!$A$2:$A$722,"&lt;="&amp;77233351999)</f>
        <v>0</v>
      </c>
      <c r="AZ64" s="66" t="n">
        <f aca="false">COUNTIFS(Данные!$B$2:$B$722,29,Данные!$C$2:$C$722,2,Данные!$A$2:$A$722,"&gt;="&amp;7722440000,Данные!$A$2:$A$722,"&lt;="&amp;7722440999)</f>
        <v>0</v>
      </c>
      <c r="BA64" s="66" t="n">
        <f aca="false">COUNTIFS(Данные!$B$2:$B$722,29,Данные!$C$2:$C$722,2,Данные!$A$2:$A$722,"&gt;="&amp;7722442000,Данные!$A$2:$A$722,"&lt;="&amp;7722445659)</f>
        <v>0</v>
      </c>
      <c r="BB64" s="66" t="n">
        <f aca="false">COUNTIFS(Данные!$B$2:$B$722,29,Данные!$C$2:$C$722,2,Данные!$A$2:$A$722,"&gt;="&amp;7722450000,Данные!$A$2:$A$722,"&lt;="&amp;7722450199)</f>
        <v>0</v>
      </c>
      <c r="BC64" s="66" t="n">
        <f aca="false">COUNTIFS(Данные!$B$2:$B$722,29,Данные!$C$2:$C$722,2,Данные!$A$2:$A$722,"&gt;="&amp;7722451000,Данные!$A$2:$A$722,"&lt;="&amp;7722451374)</f>
        <v>0</v>
      </c>
      <c r="BD64" s="66" t="n">
        <f aca="false">COUNTIFS(Данные!$B$2:$B$722,29,Данные!$C$2:$C$722,2,Данные!$A$2:$A$722,"&gt;="&amp;7722452000,Данные!$A$2:$A$722,"&lt;="&amp;7722452299)</f>
        <v>0</v>
      </c>
      <c r="BE64" s="66" t="n">
        <f aca="false">COUNTIFS(Данные!$B$2:$B$722,29,Данные!$C$2:$C$722,2,Данные!$A$2:$A$722,"&gt;="&amp;7722453000,Данные!$A$2:$A$722,"&lt;="&amp;7722453816)</f>
        <v>0</v>
      </c>
      <c r="BF64" s="66" t="n">
        <f aca="false">COUNTIFS(Данные!$B$2:$B$722,29,Данные!$C$2:$C$722,2,Данные!$A$2:$A$722,"&gt;="&amp;7722454000,Данные!$A$2:$A$722,"&lt;="&amp;7722454099)</f>
        <v>0</v>
      </c>
      <c r="BG64" s="66" t="n">
        <f aca="false">COUNTIFS(Данные!$B$2:$B$722,29,Данные!$C$2:$C$722,2,Данные!$A$2:$A$722,"&gt;="&amp;7722458000,Данные!$A$2:$A$722,"&lt;="&amp;7722458999)</f>
        <v>0</v>
      </c>
      <c r="BH64" s="66" t="n">
        <f aca="false">COUNTIFS(Данные!$B$2:$B$722,29,Данные!$C$2:$C$722,2,Данные!$A$2:$A$722,"&gt;="&amp;7722630000,Данные!$A$2:$A$722,"&lt;="&amp;7722638549)</f>
        <v>0</v>
      </c>
      <c r="BI64" s="66" t="n">
        <f aca="false">COUNTIFS(Данные!$B$2:$B$722,29,Данные!$C$2:$C$722,2,Данные!$A$2:$A$722,"&gt;="&amp;7722639400,Данные!$A$2:$A$722,"&lt;="&amp;7722639899)</f>
        <v>0</v>
      </c>
      <c r="BJ64" s="66" t="n">
        <f aca="false">COUNTIFS(Данные!$B$2:$B$722,29,Данные!$C$2:$C$722,2,Данные!$A$2:$A$722,"&gt;="&amp;7725750000,Данные!$A$2:$A$722,"&lt;="&amp;7725750399)</f>
        <v>0</v>
      </c>
      <c r="BK64" s="66" t="n">
        <f aca="false">COUNTIFS(Данные!$B$2:$B$722,29,Данные!$C$2:$C$722,2,Данные!$A$2:$A$722,"&gt;="&amp;7723620000,Данные!$A$2:$A$722,"&lt;="&amp;7723621299)</f>
        <v>0</v>
      </c>
      <c r="BL64" s="66" t="n">
        <f aca="false">COUNTIFS(Данные!$B$2:$B$722,29,Данные!$C$2:$C$722,2,Данные!$A$2:$A$722,"&gt;="&amp;7723621600,Данные!$A$2:$A$722,"&lt;="&amp;7723623399)</f>
        <v>0</v>
      </c>
      <c r="BM64" s="66" t="n">
        <f aca="false">COUNTIFS(Данные!$B$2:$B$722,29,Данные!$C$2:$C$722,2,Данные!$A$2:$A$722,"&gt;="&amp;7725127000,Данные!$A$2:$A$722,"&lt;="&amp;7725127999)</f>
        <v>0</v>
      </c>
      <c r="BN64" s="66" t="n">
        <f aca="false">COUNTIFS(Данные!$B$2:$B$722,29,Данные!$C$2:$C$722,2,Данные!$A$2:$A$722,"&gt;="&amp;7723772000,Данные!$A$2:$A$722,"&lt;="&amp;7723724999)</f>
        <v>0</v>
      </c>
      <c r="BO64" s="65" t="n">
        <f aca="false">COUNTIFS(Данные!$B$2:$B$722,29,Данные!$C$2:$C$722,2,Данные!$A$2:$A$722,"&gt;="&amp;7723765000,Данные!$A$2:$A$722,"&lt;="&amp;7723765499)</f>
        <v>0</v>
      </c>
      <c r="BP64" s="66" t="n">
        <f aca="false">COUNTIFS(Данные!$B$2:$B$722,29,Данные!$C$2:$C$722,2,Данные!$A$2:$A$722,"&gt;="&amp;7723948000,Данные!$A$2:$A$722,"&lt;="&amp;7723948999)</f>
        <v>0</v>
      </c>
      <c r="BQ64" s="66" t="n">
        <f aca="false">COUNTIFS(Данные!$B$2:$B$722,29,Данные!$C$2:$C$722,2,Данные!$A$2:$A$722,"&gt;="&amp;7723950000,Данные!$A$2:$A$722,"&lt;="&amp;7723951099)</f>
        <v>0</v>
      </c>
      <c r="BR64" s="66" t="n">
        <f aca="false">COUNTIFS(Данные!$B$2:$B$722,29,Данные!$C$2:$C$722,2,Данные!$A$2:$A$722,"&gt;="&amp;7723020000,Данные!$A$2:$A$722,"&lt;="&amp;7723020999)</f>
        <v>0</v>
      </c>
      <c r="BS64" s="66" t="n">
        <f aca="false">COUNTIFS(Данные!$B$2:$B$722,29,Данные!$C$2:$C$722,2,Данные!$A$2:$A$722,"&gt;="&amp;7723029000,Данные!$A$2:$A$722,"&lt;="&amp;7723029999)</f>
        <v>0</v>
      </c>
      <c r="BT64" s="66" t="n">
        <f aca="false">COUNTIFS(Данные!$B$2:$B$722,29,Данные!$C$2:$C$722,2,Данные!$A$2:$A$722,"&gt;="&amp;7723055000,Данные!$A$2:$A$722,"&lt;="&amp;7723056549)</f>
        <v>0</v>
      </c>
      <c r="BU64" s="65" t="n">
        <f aca="false">COUNTIFS(Данные!$B$2:$B$722,29,Данные!$C$2:$C$722,2,Данные!$A$2:$A$722,"&gt;="&amp;7725250000,Данные!$A$2:$A$722,"&lt;="&amp;7725250499)</f>
        <v>0</v>
      </c>
      <c r="BV64" s="66" t="n">
        <f aca="false">COUNTIFS(Данные!$B$2:$B$722,29,Данные!$C$2:$C$722,2,Данные!$A$2:$A$722,"&gt;="&amp;7183841400,Данные!$A$2:$A$722,"&lt;="&amp;7183841499)</f>
        <v>0</v>
      </c>
      <c r="BW64" s="49" t="n">
        <v>300</v>
      </c>
      <c r="BX64" s="67" t="n">
        <f aca="false">F64-BW64</f>
        <v>-300</v>
      </c>
    </row>
    <row r="65" s="15" customFormat="true" ht="12" hidden="false" customHeight="true" outlineLevel="0" collapsed="false">
      <c r="A65" s="38" t="n">
        <v>30</v>
      </c>
      <c r="B65" s="39" t="s">
        <v>81</v>
      </c>
      <c r="C65" s="41" t="n">
        <v>0</v>
      </c>
      <c r="D65" s="41" t="n">
        <v>300</v>
      </c>
      <c r="E65" s="42" t="n">
        <f aca="false">SUM(F65:F67)</f>
        <v>9</v>
      </c>
      <c r="F65" s="62" t="n">
        <f aca="false">COUNTIFS(Данные!$B$2:$B$722,30,Данные!$C$2:$C$722,0)</f>
        <v>2</v>
      </c>
      <c r="G65" s="62" t="n">
        <f aca="false">COUNTIFS(Данные!$B$2:$B$722,30,Данные!$C$2:$C$722,0,Данные!$A$2:$A$722,"&gt;="&amp;77232210840,Данные!$A$2:$A$722,"&lt;="&amp;77232216999)</f>
        <v>0</v>
      </c>
      <c r="H65" s="62" t="n">
        <f aca="false">COUNTIFS(Данные!$B$2:$B$722,30,Данные!$C$2:$C$722,0,Данные!$A$2:$A$722,"&gt;="&amp;77232510512,Данные!$A$2:$A$722,"&lt;="&amp;77232519487)</f>
        <v>0</v>
      </c>
      <c r="I65" s="62" t="n">
        <f aca="false">COUNTIFS(Данные!$B$2:$B$722,30,Данные!$C$2:$C$722,0,Данные!$A$2:$A$722,"&gt;="&amp;77232524160,Данные!$A$2:$A$722,"&lt;="&amp;77232529999)</f>
        <v>0</v>
      </c>
      <c r="J65" s="62" t="n">
        <f aca="false">COUNTIFS(Данные!$B$2:$B$722,30,Данные!$C$2:$C$722,0,Данные!$A$2:$A$722,"&gt;="&amp;77232544000,Данные!$A$2:$A$722,"&lt;="&amp;77232544999)</f>
        <v>0</v>
      </c>
      <c r="K65" s="62" t="n">
        <f aca="false">COUNTIFS(Данные!$B$2:$B$722,30,Данные!$C$2:$C$722,0,Данные!$A$2:$A$722,"&gt;="&amp;77232295504,Данные!$A$2:$A$722,"&lt;="&amp;77232296999)</f>
        <v>0</v>
      </c>
      <c r="L65" s="62" t="n">
        <f aca="false">COUNTIFS(Данные!$B$2:$B$722,30,Данные!$C$2:$C$722,0,Данные!$A$2:$A$722,"&gt;="&amp;77232785000,Данные!$A$2:$A$722,"&lt;="&amp;77232789999)</f>
        <v>0</v>
      </c>
      <c r="M65" s="62" t="n">
        <f aca="false">COUNTIFS(Данные!$B$2:$B$722,30,Данные!$C$2:$C$722,0,Данные!$A$2:$A$722,"&gt;="&amp;77233150000,Данные!$A$2:$A$722,"&lt;="&amp;77233155999)</f>
        <v>0</v>
      </c>
      <c r="N65" s="62" t="n">
        <f aca="false">COUNTIFS(Данные!$B$2:$B$722,30,Данные!$C$2:$C$722,0,Данные!$A$2:$A$722,"&gt;="&amp;77233235000,Данные!$A$2:$A$722,"&lt;="&amp;77233235999)</f>
        <v>0</v>
      </c>
      <c r="O65" s="62" t="n">
        <f aca="false">COUNTIFS(Данные!$B$2:$B$722,30,Данные!$C$2:$C$722,0,Данные!$A$2:$A$722,"&gt;="&amp;77233239000,Данные!$A$2:$A$722,"&lt;="&amp;77233239999)</f>
        <v>0</v>
      </c>
      <c r="P65" s="62" t="n">
        <f aca="false">COUNTIFS(Данные!$B$2:$B$722,30,Данные!$C$2:$C$722,0,Данные!$A$2:$A$722,"&gt;="&amp;77233272000,Данные!$A$2:$A$722,"&lt;="&amp;77233272999)</f>
        <v>0</v>
      </c>
      <c r="Q65" s="62" t="n">
        <f aca="false">COUNTIFS(Данные!$B$2:$B$722,30,Данные!$C$2:$C$722,0,Данные!$A$2:$A$722,"&gt;="&amp;77233291100,Данные!$A$2:$A$722,"&lt;="&amp;77233292999)</f>
        <v>0</v>
      </c>
      <c r="R65" s="62" t="n">
        <f aca="false">COUNTIFS(Данные!$B$2:$B$722,30,Данные!$C$2:$C$722,0,Данные!$A$2:$A$722,"&gt;="&amp;77233297000,Данные!$A$2:$A$722,"&lt;="&amp;77233298399)</f>
        <v>0</v>
      </c>
      <c r="S65" s="62" t="n">
        <f aca="false">COUNTIFS(Данные!$B$2:$B$722,30,Данные!$C$2:$C$722,0,Данные!$A$2:$A$722,"&gt;="&amp;77235124000,Данные!$A$2:$A$722,"&lt;="&amp;77235128499)</f>
        <v>0</v>
      </c>
      <c r="T65" s="62" t="n">
        <f aca="false">COUNTIFS(Данные!$B$2:$B$722,30,Данные!$C$2:$C$722,0,Данные!$A$2:$A$722,"&gt;="&amp;77235320000,Данные!$A$2:$A$722,"&lt;="&amp;77235320999)</f>
        <v>0</v>
      </c>
      <c r="U65" s="62" t="n">
        <f aca="false">COUNTIFS(Данные!$B$2:$B$722,30,Данные!$C$2:$C$722,0,Данные!$A$2:$A$722,"&gt;="&amp;77233620000,Данные!$A$2:$A$722,"&lt;="&amp;77233623339)</f>
        <v>0</v>
      </c>
      <c r="V65" s="62" t="n">
        <f aca="false">COUNTIFS(Данные!$B$2:$B$722,30,Данные!$C$2:$C$722,0,Данные!$A$2:$A$722,"&gt;="&amp;77233630000,Данные!$A$2:$A$722,"&lt;="&amp;77233630999)</f>
        <v>0</v>
      </c>
      <c r="W65" s="62" t="n">
        <f aca="false">COUNTIFS(Данные!$B$2:$B$722,30,Данные!$C$2:$C$722,0,Данные!$A$2:$A$722,"&gt;="&amp;77233637000,Данные!$A$2:$A$722,"&lt;="&amp;77233637599)</f>
        <v>0</v>
      </c>
      <c r="X65" s="62" t="n">
        <f aca="false">COUNTIFS(Данные!$B$2:$B$722,30,Данные!$C$2:$C$722,0,Данные!$A$2:$A$722,"&gt;="&amp;77233550000,Данные!$A$2:$A$722,"&lt;="&amp;77233550999)</f>
        <v>0</v>
      </c>
      <c r="Y65" s="62" t="n">
        <f aca="false">COUNTIFS(Данные!$B$2:$B$722,30,Данные!$C$2:$C$722,0,Данные!$A$2:$A$722,"&gt;="&amp;77233554000,Данные!$A$2:$A$722,"&lt;="&amp;77233554999)</f>
        <v>0</v>
      </c>
      <c r="Z65" s="62" t="n">
        <f aca="false">COUNTIFS(Данные!$B$2:$B$722,30,Данные!$C$2:$C$722,0,Данные!$A$2:$A$722,"&gt;="&amp;77233555000,Данные!$A$2:$A$722,"&lt;="&amp;77233556999)</f>
        <v>0</v>
      </c>
      <c r="AA65" s="62" t="n">
        <f aca="false">COUNTIFS(Данные!$B$2:$B$722,30,Данные!$C$2:$C$722,0,Данные!$A$2:$A$722,"&gt;="&amp;77233726000,Данные!$A$2:$A$722,"&lt;="&amp;77233726999)</f>
        <v>0</v>
      </c>
      <c r="AB65" s="62" t="n">
        <f aca="false">COUNTIFS(Данные!$B$2:$B$722,30,Данные!$C$2:$C$722,0,Данные!$A$2:$A$722,"&gt;="&amp;77233820000,Данные!$A$2:$A$722,"&lt;="&amp;77233820999)</f>
        <v>0</v>
      </c>
      <c r="AC65" s="62" t="n">
        <f aca="false">COUNTIFS(Данные!$B$2:$B$722,30,Данные!$C$2:$C$722,0,Данные!$A$2:$A$722,"&gt;="&amp;77233850000,Данные!$A$2:$A$722,"&lt;="&amp;77233850999)</f>
        <v>0</v>
      </c>
      <c r="AD65" s="62" t="n">
        <f aca="false">COUNTIFS(Данные!$B$2:$B$722,30,Данные!$C$2:$C$722,0,Данные!$A$2:$A$722,"&gt;="&amp;77233420000,Данные!$A$2:$A$722,"&lt;="&amp;77233420999)</f>
        <v>0</v>
      </c>
      <c r="AE65" s="62" t="n">
        <f aca="false">COUNTIFS(Данные!$B$2:$B$722,30,Данные!$C$2:$C$722,0,Данные!$A$2:$A$722,"&gt;="&amp;77234740000,Данные!$A$2:$A$722,"&lt;="&amp;77234742999)</f>
        <v>2</v>
      </c>
      <c r="AF65" s="62" t="n">
        <f aca="false">COUNTIFS(Данные!$B$2:$B$722,30,Данные!$C$2:$C$722,0,Данные!$A$2:$A$722,"&gt;="&amp;77234767000,Данные!$A$2:$A$722,"&lt;="&amp;77234767999)</f>
        <v>0</v>
      </c>
      <c r="AG65" s="62" t="n">
        <f aca="false">COUNTIFS(Данные!$B$2:$B$722,30,Данные!$C$2:$C$722,0,Данные!$A$2:$A$722,"&gt;="&amp;77234120000,Данные!$A$2:$A$722,"&lt;="&amp;77234120999)</f>
        <v>0</v>
      </c>
      <c r="AH65" s="62" t="n">
        <f aca="false">COUNTIFS(Данные!$B$2:$B$722,30,Данные!$C$2:$C$722,0,Данные!$A$2:$A$722,"&gt;="&amp;77234127000,Данные!$A$2:$A$722,"&lt;="&amp;77234127999)</f>
        <v>0</v>
      </c>
      <c r="AI65" s="62" t="n">
        <f aca="false">COUNTIFS(Данные!$B$2:$B$722,30,Данные!$C$2:$C$722,0,Данные!$A$2:$A$722,"&gt;="&amp;77234220000,Данные!$A$2:$A$722,"&lt;="&amp;77234220999)</f>
        <v>0</v>
      </c>
      <c r="AJ65" s="62" t="n">
        <f aca="false">COUNTIFS(Данные!$B$2:$B$722,30,Данные!$C$2:$C$722,0,Данные!$A$2:$A$722,"&gt;="&amp;77234250000,Данные!$A$2:$A$722,"&lt;="&amp;77234250999)</f>
        <v>0</v>
      </c>
      <c r="AK65" s="62" t="n">
        <f aca="false">COUNTIFS(Данные!$B$2:$B$722,30,Данные!$C$2:$C$722,0,Данные!$A$2:$A$722,"&gt;="&amp;77233922950,Данные!$A$2:$A$722,"&lt;="&amp;77233924999)</f>
        <v>0</v>
      </c>
      <c r="AL65" s="62" t="n">
        <f aca="false">COUNTIFS(Данные!$B$2:$B$722,30,Данные!$C$2:$C$722,0,Данные!$A$2:$A$722,"&gt;="&amp;77234320000,Данные!$A$2:$A$722,"&lt;="&amp;77234320999)</f>
        <v>0</v>
      </c>
      <c r="AM65" s="62" t="n">
        <f aca="false">COUNTIFS(Данные!$B$2:$B$722,30,Данные!$C$2:$C$722,0,Данные!$A$2:$A$722,"&gt;="&amp;77234350000,Данные!$A$2:$A$722,"&lt;="&amp;77234350999)</f>
        <v>0</v>
      </c>
      <c r="AN65" s="62" t="n">
        <f aca="false">COUNTIFS(Данные!$B$2:$B$722,30,Данные!$C$2:$C$722,0,Данные!$A$2:$A$722,"&gt;="&amp;77234020000,Данные!$A$2:$A$722,"&lt;="&amp;77234020999)</f>
        <v>0</v>
      </c>
      <c r="AO65" s="62" t="n">
        <f aca="false">COUNTIFS(Данные!$B$2:$B$722,30,Данные!$C$2:$C$722,0,Данные!$A$2:$A$722,"&gt;="&amp;77234029000,Данные!$A$2:$A$722,"&lt;="&amp;77234029999)</f>
        <v>0</v>
      </c>
      <c r="AP65" s="62" t="n">
        <f aca="false">COUNTIFS(Данные!$B$2:$B$722,30,Данные!$C$2:$C$722,0,Данные!$A$2:$A$722,"&gt;="&amp;77234050000,Данные!$A$2:$A$722,"&lt;="&amp;77234050999)</f>
        <v>0</v>
      </c>
      <c r="AQ65" s="62" t="n">
        <f aca="false">COUNTIFS(Данные!$B$2:$B$722,30,Данные!$C$2:$C$722,0,Данные!$A$2:$A$722,"&gt;="&amp;77234427000,Данные!$A$2:$A$722,"&lt;="&amp;77234428999)</f>
        <v>0</v>
      </c>
      <c r="AR65" s="62" t="n">
        <f aca="false">COUNTIFS(Данные!$B$2:$B$722,30,Данные!$C$2:$C$722,0,Данные!$A$2:$A$722,"&gt;="&amp;77234450000,Данные!$A$2:$A$722,"&lt;="&amp;77234450999)</f>
        <v>0</v>
      </c>
      <c r="AS65" s="62" t="n">
        <f aca="false">COUNTIFS(Данные!$B$2:$B$722,30,Данные!$C$2:$C$722,0,Данные!$A$2:$A$722,"&gt;="&amp;77234620000,Данные!$A$2:$A$722,"&lt;="&amp;77234620999)</f>
        <v>0</v>
      </c>
      <c r="AT65" s="62" t="n">
        <f aca="false">COUNTIFS(Данные!$B$2:$B$722,30,Данные!$C$2:$C$722,0,Данные!$A$2:$A$722,"&gt;="&amp;77234650000,Данные!$A$2:$A$722,"&lt;="&amp;77234650999)</f>
        <v>0</v>
      </c>
      <c r="AU65" s="62" t="n">
        <f aca="false">COUNTIFS(Данные!$B$2:$B$722,30,Данные!$C$2:$C$722,0,Данные!$A$2:$A$722,"&gt;="&amp;77234820000,Данные!$A$2:$A$722,"&lt;="&amp;77234820999)</f>
        <v>0</v>
      </c>
      <c r="AV65" s="62" t="n">
        <f aca="false">COUNTIFS(Данные!$B$2:$B$722,30,Данные!$C$2:$C$722,0,Данные!$A$2:$A$722,"&gt;="&amp;77234850000,Данные!$A$2:$A$722,"&lt;="&amp;77234850999)</f>
        <v>0</v>
      </c>
      <c r="AW65" s="62" t="n">
        <f aca="false">COUNTIFS(Данные!$B$2:$B$722,30,Данные!$C$2:$C$722,0,Данные!$A$2:$A$722,"&gt;="&amp;77233327000,Данные!$A$2:$A$722,"&lt;="&amp;77233327999)</f>
        <v>0</v>
      </c>
      <c r="AX65" s="62" t="n">
        <f aca="false">COUNTIFS(Данные!$B$2:$B$722,30,Данные!$C$2:$C$722,0,Данные!$A$2:$A$722,"&gt;="&amp;77233350000,Данные!$A$2:$A$722,"&lt;="&amp;77233350599)</f>
        <v>0</v>
      </c>
      <c r="AY65" s="62" t="n">
        <f aca="false">COUNTIFS(Данные!$B$2:$B$722,30,Данные!$C$2:$C$722,0,Данные!$A$2:$A$722,"&gt;="&amp;77233351000,Данные!$A$2:$A$722,"&lt;="&amp;77233351999)</f>
        <v>0</v>
      </c>
      <c r="AZ65" s="62" t="n">
        <f aca="false">COUNTIFS(Данные!$B$2:$B$722,30,Данные!$C$2:$C$722,0,Данные!$A$2:$A$722,"&gt;="&amp;7722440000,Данные!$A$2:$A$722,"&lt;="&amp;7722440999)</f>
        <v>0</v>
      </c>
      <c r="BA65" s="63" t="n">
        <f aca="false">COUNTIFS(Данные!$B$2:$B$722,30,Данные!$C$2:$C$722,0,Данные!$A$2:$A$722,"&gt;="&amp;7722442000,Данные!$A$2:$A$722,"&lt;="&amp;7722445659)</f>
        <v>0</v>
      </c>
      <c r="BB65" s="63" t="n">
        <f aca="false">COUNTIFS(Данные!$B$2:$B$722,30,Данные!$C$2:$C$722,0,Данные!$A$2:$A$722,"&gt;="&amp;7722450000,Данные!$A$2:$A$722,"&lt;="&amp;7722450199)</f>
        <v>0</v>
      </c>
      <c r="BC65" s="63" t="n">
        <f aca="false">COUNTIFS(Данные!$B$2:$B$722,30,Данные!$C$2:$C$722,0,Данные!$A$2:$A$722,"&gt;="&amp;7722451000,Данные!$A$2:$A$722,"&lt;="&amp;7722451374)</f>
        <v>0</v>
      </c>
      <c r="BD65" s="63" t="n">
        <f aca="false">COUNTIFS(Данные!$B$2:$B$722,30,Данные!$C$2:$C$722,0,Данные!$A$2:$A$722,"&gt;="&amp;7722452000,Данные!$A$2:$A$722,"&lt;="&amp;7722452299)</f>
        <v>0</v>
      </c>
      <c r="BE65" s="63" t="n">
        <f aca="false">COUNTIFS(Данные!$B$2:$B$722,30,Данные!$C$2:$C$722,0,Данные!$A$2:$A$722,"&gt;="&amp;7722453000,Данные!$A$2:$A$722,"&lt;="&amp;7722453816)</f>
        <v>0</v>
      </c>
      <c r="BF65" s="63" t="n">
        <f aca="false">COUNTIFS(Данные!$B$2:$B$722,30,Данные!$C$2:$C$722,0,Данные!$A$2:$A$722,"&gt;="&amp;7722454000,Данные!$A$2:$A$722,"&lt;="&amp;7722454099)</f>
        <v>0</v>
      </c>
      <c r="BG65" s="63" t="n">
        <f aca="false">COUNTIFS(Данные!$B$2:$B$722,30,Данные!$C$2:$C$722,0,Данные!$A$2:$A$722,"&gt;="&amp;7722458000,Данные!$A$2:$A$722,"&lt;="&amp;7722458999)</f>
        <v>0</v>
      </c>
      <c r="BH65" s="63" t="n">
        <f aca="false">COUNTIFS(Данные!$B$2:$B$722,30,Данные!$C$2:$C$722,0,Данные!$A$2:$A$722,"&gt;="&amp;7722630000,Данные!$A$2:$A$722,"&lt;="&amp;7722638549)</f>
        <v>0</v>
      </c>
      <c r="BI65" s="63" t="n">
        <f aca="false">COUNTIFS(Данные!$B$2:$B$722,30,Данные!$C$2:$C$722,0,Данные!$A$2:$A$722,"&gt;="&amp;7722639400,Данные!$A$2:$A$722,"&lt;="&amp;7722639899)</f>
        <v>0</v>
      </c>
      <c r="BJ65" s="63" t="n">
        <f aca="false">COUNTIFS(Данные!$B$2:$B$722,30,Данные!$C$2:$C$722,0,Данные!$A$2:$A$722,"&gt;="&amp;7725750000,Данные!$A$2:$A$722,"&lt;="&amp;7725750399)</f>
        <v>0</v>
      </c>
      <c r="BK65" s="63" t="n">
        <f aca="false">COUNTIFS(Данные!$B$2:$B$722,30,Данные!$C$2:$C$722,0,Данные!$A$2:$A$722,"&gt;="&amp;7723620000,Данные!$A$2:$A$722,"&lt;="&amp;7723621299)</f>
        <v>0</v>
      </c>
      <c r="BL65" s="63" t="n">
        <f aca="false">COUNTIFS(Данные!$B$2:$B$722,30,Данные!$C$2:$C$722,0,Данные!$A$2:$A$722,"&gt;="&amp;7723621600,Данные!$A$2:$A$722,"&lt;="&amp;7723623399)</f>
        <v>0</v>
      </c>
      <c r="BM65" s="63" t="n">
        <f aca="false">COUNTIFS(Данные!$B$2:$B$722,30,Данные!$C$2:$C$722,0,Данные!$A$2:$A$722,"&gt;="&amp;7725127000,Данные!$A$2:$A$722,"&lt;="&amp;7725127999)</f>
        <v>0</v>
      </c>
      <c r="BN65" s="63" t="n">
        <f aca="false">COUNTIFS(Данные!$B$2:$B$722,30,Данные!$C$2:$C$722,0,Данные!$A$2:$A$722,"&gt;="&amp;7723772000,Данные!$A$2:$A$722,"&lt;="&amp;7723724999)</f>
        <v>0</v>
      </c>
      <c r="BO65" s="62" t="n">
        <f aca="false">COUNTIFS(Данные!$B$2:$B$722,30,Данные!$C$2:$C$722,0,Данные!$A$2:$A$722,"&gt;="&amp;7723765000,Данные!$A$2:$A$722,"&lt;="&amp;7723765499)</f>
        <v>0</v>
      </c>
      <c r="BP65" s="63" t="n">
        <f aca="false">COUNTIFS(Данные!$B$2:$B$722,30,Данные!$C$2:$C$722,0,Данные!$A$2:$A$722,"&gt;="&amp;7723948000,Данные!$A$2:$A$722,"&lt;="&amp;7723948999)</f>
        <v>0</v>
      </c>
      <c r="BQ65" s="63" t="n">
        <f aca="false">COUNTIFS(Данные!$B$2:$B$722,30,Данные!$C$2:$C$722,0,Данные!$A$2:$A$722,"&gt;="&amp;7723950000,Данные!$A$2:$A$722,"&lt;="&amp;7723951099)</f>
        <v>0</v>
      </c>
      <c r="BR65" s="63" t="n">
        <f aca="false">COUNTIFS(Данные!$B$2:$B$722,30,Данные!$C$2:$C$722,0,Данные!$A$2:$A$722,"&gt;="&amp;7723020000,Данные!$A$2:$A$722,"&lt;="&amp;7723020999)</f>
        <v>0</v>
      </c>
      <c r="BS65" s="63" t="n">
        <f aca="false">COUNTIFS(Данные!$B$2:$B$722,30,Данные!$C$2:$C$722,0,Данные!$A$2:$A$722,"&gt;="&amp;7723029000,Данные!$A$2:$A$722,"&lt;="&amp;7723029999)</f>
        <v>0</v>
      </c>
      <c r="BT65" s="63" t="n">
        <f aca="false">COUNTIFS(Данные!$B$2:$B$722,30,Данные!$C$2:$C$722,0,Данные!$A$2:$A$722,"&gt;="&amp;7723055000,Данные!$A$2:$A$722,"&lt;="&amp;7723056549)</f>
        <v>0</v>
      </c>
      <c r="BU65" s="62" t="n">
        <f aca="false">COUNTIFS(Данные!$B$2:$B$722,30,Данные!$C$2:$C$722,0,Данные!$A$2:$A$722,"&gt;="&amp;7725250000,Данные!$A$2:$A$722,"&lt;="&amp;7725250499)</f>
        <v>0</v>
      </c>
      <c r="BV65" s="63" t="n">
        <f aca="false">COUNTIFS(Данные!$B$2:$B$722,30,Данные!$C$2:$C$722,0,Данные!$A$2:$A$722,"&gt;="&amp;7183841400,Данные!$A$2:$A$722,"&lt;="&amp;7183841499)</f>
        <v>0</v>
      </c>
      <c r="BW65" s="40" t="n">
        <v>300</v>
      </c>
      <c r="BX65" s="64" t="n">
        <f aca="false">F65-BW65</f>
        <v>-298</v>
      </c>
    </row>
    <row r="66" s="15" customFormat="true" ht="12" hidden="false" customHeight="true" outlineLevel="0" collapsed="false">
      <c r="A66" s="38"/>
      <c r="B66" s="39"/>
      <c r="C66" s="41" t="n">
        <v>1</v>
      </c>
      <c r="D66" s="41" t="n">
        <v>301</v>
      </c>
      <c r="E66" s="42"/>
      <c r="F66" s="62" t="n">
        <f aca="false">COUNTIFS(Данные!$B$2:$B$722,30,Данные!$C$2:$C$722,1)</f>
        <v>0</v>
      </c>
      <c r="G66" s="62" t="n">
        <f aca="false">COUNTIFS(Данные!$B$2:$B$722,30,Данные!$C$2:$C$722,1,Данные!$A$2:$A$722,"&gt;="&amp;77232210840,Данные!$A$2:$A$722,"&lt;="&amp;77232216999)</f>
        <v>0</v>
      </c>
      <c r="H66" s="62" t="n">
        <f aca="false">COUNTIFS(Данные!$B$2:$B$722,30,Данные!$C$2:$C$722,1,Данные!$A$2:$A$722,"&gt;="&amp;77232510512,Данные!$A$2:$A$722,"&lt;="&amp;77232519487)</f>
        <v>0</v>
      </c>
      <c r="I66" s="62" t="n">
        <f aca="false">COUNTIFS(Данные!$B$2:$B$722,30,Данные!$C$2:$C$722,1,Данные!$A$2:$A$722,"&gt;="&amp;77232524160,Данные!$A$2:$A$722,"&lt;="&amp;77232529999)</f>
        <v>0</v>
      </c>
      <c r="J66" s="62" t="n">
        <f aca="false">COUNTIFS(Данные!$B$2:$B$722,30,Данные!$C$2:$C$722,1,Данные!$A$2:$A$722,"&gt;="&amp;77232544000,Данные!$A$2:$A$722,"&lt;="&amp;77232544999)</f>
        <v>0</v>
      </c>
      <c r="K66" s="62" t="n">
        <f aca="false">COUNTIFS(Данные!$B$2:$B$722,30,Данные!$C$2:$C$722,1,Данные!$A$2:$A$722,"&gt;="&amp;77232295504,Данные!$A$2:$A$722,"&lt;="&amp;77232296999)</f>
        <v>0</v>
      </c>
      <c r="L66" s="62" t="n">
        <f aca="false">COUNTIFS(Данные!$B$2:$B$722,30,Данные!$C$2:$C$722,1,Данные!$A$2:$A$722,"&gt;="&amp;77232785000,Данные!$A$2:$A$722,"&lt;="&amp;77232789999)</f>
        <v>0</v>
      </c>
      <c r="M66" s="62" t="n">
        <f aca="false">COUNTIFS(Данные!$B$2:$B$722,30,Данные!$C$2:$C$722,1,Данные!$A$2:$A$722,"&gt;="&amp;77233150000,Данные!$A$2:$A$722,"&lt;="&amp;77233155999)</f>
        <v>0</v>
      </c>
      <c r="N66" s="62" t="n">
        <f aca="false">COUNTIFS(Данные!$B$2:$B$722,30,Данные!$C$2:$C$722,1,Данные!$A$2:$A$722,"&gt;="&amp;77233235000,Данные!$A$2:$A$722,"&lt;="&amp;77233235999)</f>
        <v>0</v>
      </c>
      <c r="O66" s="62" t="n">
        <f aca="false">COUNTIFS(Данные!$B$2:$B$722,30,Данные!$C$2:$C$722,1,Данные!$A$2:$A$722,"&gt;="&amp;77233239000,Данные!$A$2:$A$722,"&lt;="&amp;77233239999)</f>
        <v>0</v>
      </c>
      <c r="P66" s="62" t="n">
        <f aca="false">COUNTIFS(Данные!$B$2:$B$722,30,Данные!$C$2:$C$722,1,Данные!$A$2:$A$722,"&gt;="&amp;77233272000,Данные!$A$2:$A$722,"&lt;="&amp;77233272999)</f>
        <v>0</v>
      </c>
      <c r="Q66" s="62" t="n">
        <f aca="false">COUNTIFS(Данные!$B$2:$B$722,30,Данные!$C$2:$C$722,1,Данные!$A$2:$A$722,"&gt;="&amp;77233291100,Данные!$A$2:$A$722,"&lt;="&amp;77233292999)</f>
        <v>0</v>
      </c>
      <c r="R66" s="62" t="n">
        <f aca="false">COUNTIFS(Данные!$B$2:$B$722,30,Данные!$C$2:$C$722,1,Данные!$A$2:$A$722,"&gt;="&amp;77233297000,Данные!$A$2:$A$722,"&lt;="&amp;77233298399)</f>
        <v>0</v>
      </c>
      <c r="S66" s="62" t="n">
        <f aca="false">COUNTIFS(Данные!$B$2:$B$722,30,Данные!$C$2:$C$722,1,Данные!$A$2:$A$722,"&gt;="&amp;77235124000,Данные!$A$2:$A$722,"&lt;="&amp;77235128499)</f>
        <v>0</v>
      </c>
      <c r="T66" s="62" t="n">
        <f aca="false">COUNTIFS(Данные!$B$2:$B$722,30,Данные!$C$2:$C$722,1,Данные!$A$2:$A$722,"&gt;="&amp;77235320000,Данные!$A$2:$A$722,"&lt;="&amp;77235320999)</f>
        <v>0</v>
      </c>
      <c r="U66" s="62" t="n">
        <f aca="false">COUNTIFS(Данные!$B$2:$B$722,30,Данные!$C$2:$C$722,1,Данные!$A$2:$A$722,"&gt;="&amp;77233620000,Данные!$A$2:$A$722,"&lt;="&amp;77233623339)</f>
        <v>0</v>
      </c>
      <c r="V66" s="62" t="n">
        <f aca="false">COUNTIFS(Данные!$B$2:$B$722,30,Данные!$C$2:$C$722,1,Данные!$A$2:$A$722,"&gt;="&amp;77233630000,Данные!$A$2:$A$722,"&lt;="&amp;77233630999)</f>
        <v>0</v>
      </c>
      <c r="W66" s="62" t="n">
        <f aca="false">COUNTIFS(Данные!$B$2:$B$722,30,Данные!$C$2:$C$722,1,Данные!$A$2:$A$722,"&gt;="&amp;77233637000,Данные!$A$2:$A$722,"&lt;="&amp;77233637599)</f>
        <v>0</v>
      </c>
      <c r="X66" s="62" t="n">
        <f aca="false">COUNTIFS(Данные!$B$2:$B$722,30,Данные!$C$2:$C$722,1,Данные!$A$2:$A$722,"&gt;="&amp;77233550000,Данные!$A$2:$A$722,"&lt;="&amp;77233550999)</f>
        <v>0</v>
      </c>
      <c r="Y66" s="62" t="n">
        <f aca="false">COUNTIFS(Данные!$B$2:$B$722,30,Данные!$C$2:$C$722,1,Данные!$A$2:$A$722,"&gt;="&amp;77233554000,Данные!$A$2:$A$722,"&lt;="&amp;77233554999)</f>
        <v>0</v>
      </c>
      <c r="Z66" s="62" t="n">
        <f aca="false">COUNTIFS(Данные!$B$2:$B$722,30,Данные!$C$2:$C$722,1,Данные!$A$2:$A$722,"&gt;="&amp;77233555000,Данные!$A$2:$A$722,"&lt;="&amp;77233556999)</f>
        <v>0</v>
      </c>
      <c r="AA66" s="62" t="n">
        <f aca="false">COUNTIFS(Данные!$B$2:$B$722,30,Данные!$C$2:$C$722,1,Данные!$A$2:$A$722,"&gt;="&amp;77233726000,Данные!$A$2:$A$722,"&lt;="&amp;77233726999)</f>
        <v>0</v>
      </c>
      <c r="AB66" s="62" t="n">
        <f aca="false">COUNTIFS(Данные!$B$2:$B$722,30,Данные!$C$2:$C$722,1,Данные!$A$2:$A$722,"&gt;="&amp;77233820000,Данные!$A$2:$A$722,"&lt;="&amp;77233820999)</f>
        <v>0</v>
      </c>
      <c r="AC66" s="62" t="n">
        <f aca="false">COUNTIFS(Данные!$B$2:$B$722,30,Данные!$C$2:$C$722,1,Данные!$A$2:$A$722,"&gt;="&amp;77233850000,Данные!$A$2:$A$722,"&lt;="&amp;77233850999)</f>
        <v>0</v>
      </c>
      <c r="AD66" s="62" t="n">
        <f aca="false">COUNTIFS(Данные!$B$2:$B$722,30,Данные!$C$2:$C$722,1,Данные!$A$2:$A$722,"&gt;="&amp;77233420000,Данные!$A$2:$A$722,"&lt;="&amp;77233420999)</f>
        <v>0</v>
      </c>
      <c r="AE66" s="62" t="n">
        <f aca="false">COUNTIFS(Данные!$B$2:$B$722,30,Данные!$C$2:$C$722,1,Данные!$A$2:$A$722,"&gt;="&amp;77234740000,Данные!$A$2:$A$722,"&lt;="&amp;77234742999)</f>
        <v>0</v>
      </c>
      <c r="AF66" s="62" t="n">
        <f aca="false">COUNTIFS(Данные!$B$2:$B$722,30,Данные!$C$2:$C$722,1,Данные!$A$2:$A$722,"&gt;="&amp;77234767000,Данные!$A$2:$A$722,"&lt;="&amp;77234767999)</f>
        <v>0</v>
      </c>
      <c r="AG66" s="62" t="n">
        <f aca="false">COUNTIFS(Данные!$B$2:$B$722,30,Данные!$C$2:$C$722,1,Данные!$A$2:$A$722,"&gt;="&amp;77234120000,Данные!$A$2:$A$722,"&lt;="&amp;77234120999)</f>
        <v>0</v>
      </c>
      <c r="AH66" s="62" t="n">
        <f aca="false">COUNTIFS(Данные!$B$2:$B$722,30,Данные!$C$2:$C$722,1,Данные!$A$2:$A$722,"&gt;="&amp;77234127000,Данные!$A$2:$A$722,"&lt;="&amp;77234127999)</f>
        <v>0</v>
      </c>
      <c r="AI66" s="62" t="n">
        <f aca="false">COUNTIFS(Данные!$B$2:$B$722,30,Данные!$C$2:$C$722,1,Данные!$A$2:$A$722,"&gt;="&amp;77234220000,Данные!$A$2:$A$722,"&lt;="&amp;77234220999)</f>
        <v>0</v>
      </c>
      <c r="AJ66" s="62" t="n">
        <f aca="false">COUNTIFS(Данные!$B$2:$B$722,30,Данные!$C$2:$C$722,1,Данные!$A$2:$A$722,"&gt;="&amp;77234250000,Данные!$A$2:$A$722,"&lt;="&amp;77234250999)</f>
        <v>0</v>
      </c>
      <c r="AK66" s="62" t="n">
        <f aca="false">COUNTIFS(Данные!$B$2:$B$722,30,Данные!$C$2:$C$722,1,Данные!$A$2:$A$722,"&gt;="&amp;77233922950,Данные!$A$2:$A$722,"&lt;="&amp;77233924999)</f>
        <v>0</v>
      </c>
      <c r="AL66" s="62" t="n">
        <f aca="false">COUNTIFS(Данные!$B$2:$B$722,30,Данные!$C$2:$C$722,1,Данные!$A$2:$A$722,"&gt;="&amp;77234320000,Данные!$A$2:$A$722,"&lt;="&amp;77234320999)</f>
        <v>0</v>
      </c>
      <c r="AM66" s="62" t="n">
        <f aca="false">COUNTIFS(Данные!$B$2:$B$722,30,Данные!$C$2:$C$722,1,Данные!$A$2:$A$722,"&gt;="&amp;77234350000,Данные!$A$2:$A$722,"&lt;="&amp;77234350999)</f>
        <v>0</v>
      </c>
      <c r="AN66" s="62" t="n">
        <f aca="false">COUNTIFS(Данные!$B$2:$B$722,30,Данные!$C$2:$C$722,1,Данные!$A$2:$A$722,"&gt;="&amp;77234020000,Данные!$A$2:$A$722,"&lt;="&amp;77234020999)</f>
        <v>0</v>
      </c>
      <c r="AO66" s="62" t="n">
        <f aca="false">COUNTIFS(Данные!$B$2:$B$722,30,Данные!$C$2:$C$722,1,Данные!$A$2:$A$722,"&gt;="&amp;77234029000,Данные!$A$2:$A$722,"&lt;="&amp;77234029999)</f>
        <v>0</v>
      </c>
      <c r="AP66" s="62" t="n">
        <f aca="false">COUNTIFS(Данные!$B$2:$B$722,30,Данные!$C$2:$C$722,1,Данные!$A$2:$A$722,"&gt;="&amp;77234050000,Данные!$A$2:$A$722,"&lt;="&amp;77234050999)</f>
        <v>0</v>
      </c>
      <c r="AQ66" s="62" t="n">
        <f aca="false">COUNTIFS(Данные!$B$2:$B$722,30,Данные!$C$2:$C$722,1,Данные!$A$2:$A$722,"&gt;="&amp;77234427000,Данные!$A$2:$A$722,"&lt;="&amp;77234428999)</f>
        <v>0</v>
      </c>
      <c r="AR66" s="62" t="n">
        <f aca="false">COUNTIFS(Данные!$B$2:$B$722,30,Данные!$C$2:$C$722,1,Данные!$A$2:$A$722,"&gt;="&amp;77234450000,Данные!$A$2:$A$722,"&lt;="&amp;77234450999)</f>
        <v>0</v>
      </c>
      <c r="AS66" s="62" t="n">
        <f aca="false">COUNTIFS(Данные!$B$2:$B$722,30,Данные!$C$2:$C$722,1,Данные!$A$2:$A$722,"&gt;="&amp;77234620000,Данные!$A$2:$A$722,"&lt;="&amp;77234620999)</f>
        <v>0</v>
      </c>
      <c r="AT66" s="62" t="n">
        <f aca="false">COUNTIFS(Данные!$B$2:$B$722,30,Данные!$C$2:$C$722,1,Данные!$A$2:$A$722,"&gt;="&amp;77234650000,Данные!$A$2:$A$722,"&lt;="&amp;77234650999)</f>
        <v>0</v>
      </c>
      <c r="AU66" s="62" t="n">
        <f aca="false">COUNTIFS(Данные!$B$2:$B$722,30,Данные!$C$2:$C$722,1,Данные!$A$2:$A$722,"&gt;="&amp;77234820000,Данные!$A$2:$A$722,"&lt;="&amp;77234820999)</f>
        <v>0</v>
      </c>
      <c r="AV66" s="62" t="n">
        <f aca="false">COUNTIFS(Данные!$B$2:$B$722,30,Данные!$C$2:$C$722,1,Данные!$A$2:$A$722,"&gt;="&amp;77234850000,Данные!$A$2:$A$722,"&lt;="&amp;77234850999)</f>
        <v>0</v>
      </c>
      <c r="AW66" s="62" t="n">
        <f aca="false">COUNTIFS(Данные!$B$2:$B$722,30,Данные!$C$2:$C$722,1,Данные!$A$2:$A$722,"&gt;="&amp;77233327000,Данные!$A$2:$A$722,"&lt;="&amp;77233327999)</f>
        <v>0</v>
      </c>
      <c r="AX66" s="62" t="n">
        <f aca="false">COUNTIFS(Данные!$B$2:$B$722,30,Данные!$C$2:$C$722,1,Данные!$A$2:$A$722,"&gt;="&amp;77233350000,Данные!$A$2:$A$722,"&lt;="&amp;77233350599)</f>
        <v>0</v>
      </c>
      <c r="AY66" s="62" t="n">
        <f aca="false">COUNTIFS(Данные!$B$2:$B$722,30,Данные!$C$2:$C$722,1,Данные!$A$2:$A$722,"&gt;="&amp;77233351000,Данные!$A$2:$A$722,"&lt;="&amp;77233351999)</f>
        <v>0</v>
      </c>
      <c r="AZ66" s="63" t="n">
        <f aca="false">COUNTIFS(Данные!$B$2:$B$722,30,Данные!$C$2:$C$722,1,Данные!$A$2:$A$722,"&gt;="&amp;7722440000,Данные!$A$2:$A$722,"&lt;="&amp;7722440999)</f>
        <v>0</v>
      </c>
      <c r="BA66" s="63" t="n">
        <f aca="false">COUNTIFS(Данные!$B$2:$B$722,30,Данные!$C$2:$C$722,1,Данные!$A$2:$A$722,"&gt;="&amp;7722442000,Данные!$A$2:$A$722,"&lt;="&amp;7722445659)</f>
        <v>0</v>
      </c>
      <c r="BB66" s="63" t="n">
        <f aca="false">COUNTIFS(Данные!$B$2:$B$722,30,Данные!$C$2:$C$722,1,Данные!$A$2:$A$722,"&gt;="&amp;7722450000,Данные!$A$2:$A$722,"&lt;="&amp;7722450199)</f>
        <v>0</v>
      </c>
      <c r="BC66" s="63" t="n">
        <f aca="false">COUNTIFS(Данные!$B$2:$B$722,30,Данные!$C$2:$C$722,1,Данные!$A$2:$A$722,"&gt;="&amp;7722451000,Данные!$A$2:$A$722,"&lt;="&amp;7722451374)</f>
        <v>0</v>
      </c>
      <c r="BD66" s="63" t="n">
        <f aca="false">COUNTIFS(Данные!$B$2:$B$722,30,Данные!$C$2:$C$722,1,Данные!$A$2:$A$722,"&gt;="&amp;7722452000,Данные!$A$2:$A$722,"&lt;="&amp;7722452299)</f>
        <v>0</v>
      </c>
      <c r="BE66" s="63" t="n">
        <f aca="false">COUNTIFS(Данные!$B$2:$B$722,30,Данные!$C$2:$C$722,1,Данные!$A$2:$A$722,"&gt;="&amp;7722453000,Данные!$A$2:$A$722,"&lt;="&amp;7722453816)</f>
        <v>0</v>
      </c>
      <c r="BF66" s="63" t="n">
        <f aca="false">COUNTIFS(Данные!$B$2:$B$722,30,Данные!$C$2:$C$722,1,Данные!$A$2:$A$722,"&gt;="&amp;7722454000,Данные!$A$2:$A$722,"&lt;="&amp;7722454099)</f>
        <v>0</v>
      </c>
      <c r="BG66" s="63" t="n">
        <f aca="false">COUNTIFS(Данные!$B$2:$B$722,30,Данные!$C$2:$C$722,1,Данные!$A$2:$A$722,"&gt;="&amp;7722458000,Данные!$A$2:$A$722,"&lt;="&amp;7722458999)</f>
        <v>0</v>
      </c>
      <c r="BH66" s="63" t="n">
        <f aca="false">COUNTIFS(Данные!$B$2:$B$722,30,Данные!$C$2:$C$722,1,Данные!$A$2:$A$722,"&gt;="&amp;7722630000,Данные!$A$2:$A$722,"&lt;="&amp;7722638549)</f>
        <v>0</v>
      </c>
      <c r="BI66" s="63" t="n">
        <f aca="false">COUNTIFS(Данные!$B$2:$B$722,30,Данные!$C$2:$C$722,1,Данные!$A$2:$A$722,"&gt;="&amp;7722639400,Данные!$A$2:$A$722,"&lt;="&amp;7722639899)</f>
        <v>0</v>
      </c>
      <c r="BJ66" s="63" t="n">
        <f aca="false">COUNTIFS(Данные!$B$2:$B$722,30,Данные!$C$2:$C$722,1,Данные!$A$2:$A$722,"&gt;="&amp;7725750000,Данные!$A$2:$A$722,"&lt;="&amp;7725750399)</f>
        <v>0</v>
      </c>
      <c r="BK66" s="63" t="n">
        <f aca="false">COUNTIFS(Данные!$B$2:$B$722,30,Данные!$C$2:$C$722,1,Данные!$A$2:$A$722,"&gt;="&amp;7723620000,Данные!$A$2:$A$722,"&lt;="&amp;7723621299)</f>
        <v>0</v>
      </c>
      <c r="BL66" s="63" t="n">
        <f aca="false">COUNTIFS(Данные!$B$2:$B$722,30,Данные!$C$2:$C$722,1,Данные!$A$2:$A$722,"&gt;="&amp;7723621600,Данные!$A$2:$A$722,"&lt;="&amp;7723623399)</f>
        <v>0</v>
      </c>
      <c r="BM66" s="63" t="n">
        <f aca="false">COUNTIFS(Данные!$B$2:$B$722,30,Данные!$C$2:$C$722,1,Данные!$A$2:$A$722,"&gt;="&amp;7725127000,Данные!$A$2:$A$722,"&lt;="&amp;7725127999)</f>
        <v>0</v>
      </c>
      <c r="BN66" s="63" t="n">
        <f aca="false">COUNTIFS(Данные!$B$2:$B$722,30,Данные!$C$2:$C$722,1,Данные!$A$2:$A$722,"&gt;="&amp;7723772000,Данные!$A$2:$A$722,"&lt;="&amp;7723724999)</f>
        <v>0</v>
      </c>
      <c r="BO66" s="62" t="n">
        <f aca="false">COUNTIFS(Данные!$B$2:$B$722,30,Данные!$C$2:$C$722,1,Данные!$A$2:$A$722,"&gt;="&amp;7723765000,Данные!$A$2:$A$722,"&lt;="&amp;7723765499)</f>
        <v>0</v>
      </c>
      <c r="BP66" s="63" t="n">
        <f aca="false">COUNTIFS(Данные!$B$2:$B$722,30,Данные!$C$2:$C$722,1,Данные!$A$2:$A$722,"&gt;="&amp;7723948000,Данные!$A$2:$A$722,"&lt;="&amp;7723948999)</f>
        <v>0</v>
      </c>
      <c r="BQ66" s="63" t="n">
        <f aca="false">COUNTIFS(Данные!$B$2:$B$722,30,Данные!$C$2:$C$722,1,Данные!$A$2:$A$722,"&gt;="&amp;7723950000,Данные!$A$2:$A$722,"&lt;="&amp;7723951099)</f>
        <v>0</v>
      </c>
      <c r="BR66" s="63" t="n">
        <f aca="false">COUNTIFS(Данные!$B$2:$B$722,30,Данные!$C$2:$C$722,1,Данные!$A$2:$A$722,"&gt;="&amp;7723020000,Данные!$A$2:$A$722,"&lt;="&amp;7723020999)</f>
        <v>0</v>
      </c>
      <c r="BS66" s="63" t="n">
        <f aca="false">COUNTIFS(Данные!$B$2:$B$722,30,Данные!$C$2:$C$722,1,Данные!$A$2:$A$722,"&gt;="&amp;7723029000,Данные!$A$2:$A$722,"&lt;="&amp;7723029999)</f>
        <v>0</v>
      </c>
      <c r="BT66" s="63" t="n">
        <f aca="false">COUNTIFS(Данные!$B$2:$B$722,30,Данные!$C$2:$C$722,1,Данные!$A$2:$A$722,"&gt;="&amp;7723055000,Данные!$A$2:$A$722,"&lt;="&amp;7723056549)</f>
        <v>0</v>
      </c>
      <c r="BU66" s="62" t="n">
        <f aca="false">COUNTIFS(Данные!$B$2:$B$722,30,Данные!$C$2:$C$722,1,Данные!$A$2:$A$722,"&gt;="&amp;7725250000,Данные!$A$2:$A$722,"&lt;="&amp;7725250499)</f>
        <v>0</v>
      </c>
      <c r="BV66" s="63" t="n">
        <f aca="false">COUNTIFS(Данные!$B$2:$B$722,30,Данные!$C$2:$C$722,1,Данные!$A$2:$A$722,"&gt;="&amp;7183841400,Данные!$A$2:$A$722,"&lt;="&amp;7183841499)</f>
        <v>0</v>
      </c>
      <c r="BW66" s="40" t="n">
        <v>300</v>
      </c>
      <c r="BX66" s="64" t="n">
        <f aca="false">F66-BW66</f>
        <v>-300</v>
      </c>
    </row>
    <row r="67" s="15" customFormat="true" ht="12" hidden="false" customHeight="true" outlineLevel="0" collapsed="false">
      <c r="A67" s="38"/>
      <c r="B67" s="39"/>
      <c r="C67" s="41" t="n">
        <v>2</v>
      </c>
      <c r="D67" s="41" t="n">
        <v>302</v>
      </c>
      <c r="E67" s="42"/>
      <c r="F67" s="62" t="n">
        <f aca="false">COUNTIFS(Данные!$B$2:$B$722,30,Данные!$C$2:$C$722,2)</f>
        <v>7</v>
      </c>
      <c r="G67" s="62" t="n">
        <f aca="false">COUNTIFS(Данные!$B$2:$B$722,30,Данные!$C$2:$C$722,2,Данные!$A$2:$A$722,"&gt;="&amp;77232210840,Данные!$A$2:$A$722,"&lt;="&amp;77232216999)</f>
        <v>0</v>
      </c>
      <c r="H67" s="62" t="n">
        <f aca="false">COUNTIFS(Данные!$B$2:$B$722,30,Данные!$C$2:$C$722,2,Данные!$A$2:$A$722,"&gt;="&amp;77232510512,Данные!$A$2:$A$722,"&lt;="&amp;77232519487)</f>
        <v>0</v>
      </c>
      <c r="I67" s="62" t="n">
        <f aca="false">COUNTIFS(Данные!$B$2:$B$722,30,Данные!$C$2:$C$722,2,Данные!$A$2:$A$722,"&gt;="&amp;77232524160,Данные!$A$2:$A$722,"&lt;="&amp;77232529999)</f>
        <v>0</v>
      </c>
      <c r="J67" s="62" t="n">
        <f aca="false">COUNTIFS(Данные!$B$2:$B$722,30,Данные!$C$2:$C$722,2,Данные!$A$2:$A$722,"&gt;="&amp;77232544000,Данные!$A$2:$A$722,"&lt;="&amp;77232544999)</f>
        <v>0</v>
      </c>
      <c r="K67" s="62" t="n">
        <f aca="false">COUNTIFS(Данные!$B$2:$B$722,30,Данные!$C$2:$C$722,2,Данные!$A$2:$A$722,"&gt;="&amp;77232295504,Данные!$A$2:$A$722,"&lt;="&amp;77232296999)</f>
        <v>0</v>
      </c>
      <c r="L67" s="62" t="n">
        <f aca="false">COUNTIFS(Данные!$B$2:$B$722,30,Данные!$C$2:$C$722,2,Данные!$A$2:$A$722,"&gt;="&amp;77232785000,Данные!$A$2:$A$722,"&lt;="&amp;77232789999)</f>
        <v>0</v>
      </c>
      <c r="M67" s="62" t="n">
        <f aca="false">COUNTIFS(Данные!$B$2:$B$722,30,Данные!$C$2:$C$722,2,Данные!$A$2:$A$722,"&gt;="&amp;77233150000,Данные!$A$2:$A$722,"&lt;="&amp;77233155999)</f>
        <v>0</v>
      </c>
      <c r="N67" s="62" t="n">
        <f aca="false">COUNTIFS(Данные!$B$2:$B$722,30,Данные!$C$2:$C$722,2,Данные!$A$2:$A$722,"&gt;="&amp;77233235000,Данные!$A$2:$A$722,"&lt;="&amp;77233235999)</f>
        <v>0</v>
      </c>
      <c r="O67" s="62" t="n">
        <f aca="false">COUNTIFS(Данные!$B$2:$B$722,30,Данные!$C$2:$C$722,2,Данные!$A$2:$A$722,"&gt;="&amp;77233239000,Данные!$A$2:$A$722,"&lt;="&amp;77233239999)</f>
        <v>0</v>
      </c>
      <c r="P67" s="62" t="n">
        <f aca="false">COUNTIFS(Данные!$B$2:$B$722,30,Данные!$C$2:$C$722,2,Данные!$A$2:$A$722,"&gt;="&amp;77233272000,Данные!$A$2:$A$722,"&lt;="&amp;77233272999)</f>
        <v>0</v>
      </c>
      <c r="Q67" s="62" t="n">
        <f aca="false">COUNTIFS(Данные!$B$2:$B$722,30,Данные!$C$2:$C$722,2,Данные!$A$2:$A$722,"&gt;="&amp;77233291100,Данные!$A$2:$A$722,"&lt;="&amp;77233292999)</f>
        <v>0</v>
      </c>
      <c r="R67" s="62" t="n">
        <f aca="false">COUNTIFS(Данные!$B$2:$B$722,30,Данные!$C$2:$C$722,2,Данные!$A$2:$A$722,"&gt;="&amp;77233297000,Данные!$A$2:$A$722,"&lt;="&amp;77233298399)</f>
        <v>0</v>
      </c>
      <c r="S67" s="62" t="n">
        <f aca="false">COUNTIFS(Данные!$B$2:$B$722,30,Данные!$C$2:$C$722,2,Данные!$A$2:$A$722,"&gt;="&amp;77235124000,Данные!$A$2:$A$722,"&lt;="&amp;77235128499)</f>
        <v>0</v>
      </c>
      <c r="T67" s="62" t="n">
        <f aca="false">COUNTIFS(Данные!$B$2:$B$722,30,Данные!$C$2:$C$722,2,Данные!$A$2:$A$722,"&gt;="&amp;77235320000,Данные!$A$2:$A$722,"&lt;="&amp;77235320999)</f>
        <v>0</v>
      </c>
      <c r="U67" s="62" t="n">
        <f aca="false">COUNTIFS(Данные!$B$2:$B$722,30,Данные!$C$2:$C$722,2,Данные!$A$2:$A$722,"&gt;="&amp;77233620000,Данные!$A$2:$A$722,"&lt;="&amp;77233623339)</f>
        <v>0</v>
      </c>
      <c r="V67" s="62" t="n">
        <f aca="false">COUNTIFS(Данные!$B$2:$B$722,30,Данные!$C$2:$C$722,2,Данные!$A$2:$A$722,"&gt;="&amp;77233630000,Данные!$A$2:$A$722,"&lt;="&amp;77233630999)</f>
        <v>0</v>
      </c>
      <c r="W67" s="62" t="n">
        <f aca="false">COUNTIFS(Данные!$B$2:$B$722,30,Данные!$C$2:$C$722,2,Данные!$A$2:$A$722,"&gt;="&amp;77233637000,Данные!$A$2:$A$722,"&lt;="&amp;77233637599)</f>
        <v>0</v>
      </c>
      <c r="X67" s="62" t="n">
        <f aca="false">COUNTIFS(Данные!$B$2:$B$722,30,Данные!$C$2:$C$722,2,Данные!$A$2:$A$722,"&gt;="&amp;77233550000,Данные!$A$2:$A$722,"&lt;="&amp;77233550999)</f>
        <v>0</v>
      </c>
      <c r="Y67" s="62" t="n">
        <f aca="false">COUNTIFS(Данные!$B$2:$B$722,30,Данные!$C$2:$C$722,2,Данные!$A$2:$A$722,"&gt;="&amp;77233554000,Данные!$A$2:$A$722,"&lt;="&amp;77233554999)</f>
        <v>0</v>
      </c>
      <c r="Z67" s="62" t="n">
        <f aca="false">COUNTIFS(Данные!$B$2:$B$722,30,Данные!$C$2:$C$722,2,Данные!$A$2:$A$722,"&gt;="&amp;77233555000,Данные!$A$2:$A$722,"&lt;="&amp;77233556999)</f>
        <v>0</v>
      </c>
      <c r="AA67" s="62" t="n">
        <f aca="false">COUNTIFS(Данные!$B$2:$B$722,30,Данные!$C$2:$C$722,2,Данные!$A$2:$A$722,"&gt;="&amp;77233726000,Данные!$A$2:$A$722,"&lt;="&amp;77233726999)</f>
        <v>0</v>
      </c>
      <c r="AB67" s="62" t="n">
        <f aca="false">COUNTIFS(Данные!$B$2:$B$722,30,Данные!$C$2:$C$722,2,Данные!$A$2:$A$722,"&gt;="&amp;77233820000,Данные!$A$2:$A$722,"&lt;="&amp;77233820999)</f>
        <v>0</v>
      </c>
      <c r="AC67" s="62" t="n">
        <f aca="false">COUNTIFS(Данные!$B$2:$B$722,30,Данные!$C$2:$C$722,2,Данные!$A$2:$A$722,"&gt;="&amp;77233850000,Данные!$A$2:$A$722,"&lt;="&amp;77233850999)</f>
        <v>0</v>
      </c>
      <c r="AD67" s="62" t="n">
        <f aca="false">COUNTIFS(Данные!$B$2:$B$722,30,Данные!$C$2:$C$722,2,Данные!$A$2:$A$722,"&gt;="&amp;77233420000,Данные!$A$2:$A$722,"&lt;="&amp;77233420999)</f>
        <v>0</v>
      </c>
      <c r="AE67" s="62" t="n">
        <f aca="false">COUNTIFS(Данные!$B$2:$B$722,30,Данные!$C$2:$C$722,2,Данные!$A$2:$A$722,"&gt;="&amp;77234740000,Данные!$A$2:$A$722,"&lt;="&amp;77234742999)</f>
        <v>7</v>
      </c>
      <c r="AF67" s="62" t="n">
        <f aca="false">COUNTIFS(Данные!$B$2:$B$722,30,Данные!$C$2:$C$722,2,Данные!$A$2:$A$722,"&gt;="&amp;77234767000,Данные!$A$2:$A$722,"&lt;="&amp;77234767999)</f>
        <v>0</v>
      </c>
      <c r="AG67" s="62" t="n">
        <f aca="false">COUNTIFS(Данные!$B$2:$B$722,30,Данные!$C$2:$C$722,2,Данные!$A$2:$A$722,"&gt;="&amp;77234120000,Данные!$A$2:$A$722,"&lt;="&amp;77234120999)</f>
        <v>0</v>
      </c>
      <c r="AH67" s="62" t="n">
        <f aca="false">COUNTIFS(Данные!$B$2:$B$722,30,Данные!$C$2:$C$722,2,Данные!$A$2:$A$722,"&gt;="&amp;77234127000,Данные!$A$2:$A$722,"&lt;="&amp;77234127999)</f>
        <v>0</v>
      </c>
      <c r="AI67" s="62" t="n">
        <f aca="false">COUNTIFS(Данные!$B$2:$B$722,30,Данные!$C$2:$C$722,2,Данные!$A$2:$A$722,"&gt;="&amp;77234220000,Данные!$A$2:$A$722,"&lt;="&amp;77234220999)</f>
        <v>0</v>
      </c>
      <c r="AJ67" s="62" t="n">
        <f aca="false">COUNTIFS(Данные!$B$2:$B$722,30,Данные!$C$2:$C$722,2,Данные!$A$2:$A$722,"&gt;="&amp;77234250000,Данные!$A$2:$A$722,"&lt;="&amp;77234250999)</f>
        <v>0</v>
      </c>
      <c r="AK67" s="62" t="n">
        <f aca="false">COUNTIFS(Данные!$B$2:$B$722,30,Данные!$C$2:$C$722,2,Данные!$A$2:$A$722,"&gt;="&amp;77233922950,Данные!$A$2:$A$722,"&lt;="&amp;77233924999)</f>
        <v>0</v>
      </c>
      <c r="AL67" s="62" t="n">
        <f aca="false">COUNTIFS(Данные!$B$2:$B$722,30,Данные!$C$2:$C$722,2,Данные!$A$2:$A$722,"&gt;="&amp;77234320000,Данные!$A$2:$A$722,"&lt;="&amp;77234320999)</f>
        <v>0</v>
      </c>
      <c r="AM67" s="62" t="n">
        <f aca="false">COUNTIFS(Данные!$B$2:$B$722,30,Данные!$C$2:$C$722,2,Данные!$A$2:$A$722,"&gt;="&amp;77234350000,Данные!$A$2:$A$722,"&lt;="&amp;77234350999)</f>
        <v>0</v>
      </c>
      <c r="AN67" s="62" t="n">
        <f aca="false">COUNTIFS(Данные!$B$2:$B$722,30,Данные!$C$2:$C$722,2,Данные!$A$2:$A$722,"&gt;="&amp;77234020000,Данные!$A$2:$A$722,"&lt;="&amp;77234020999)</f>
        <v>0</v>
      </c>
      <c r="AO67" s="62" t="n">
        <f aca="false">COUNTIFS(Данные!$B$2:$B$722,30,Данные!$C$2:$C$722,2,Данные!$A$2:$A$722,"&gt;="&amp;77234029000,Данные!$A$2:$A$722,"&lt;="&amp;77234029999)</f>
        <v>0</v>
      </c>
      <c r="AP67" s="62" t="n">
        <f aca="false">COUNTIFS(Данные!$B$2:$B$722,30,Данные!$C$2:$C$722,2,Данные!$A$2:$A$722,"&gt;="&amp;77234050000,Данные!$A$2:$A$722,"&lt;="&amp;77234050999)</f>
        <v>0</v>
      </c>
      <c r="AQ67" s="62" t="n">
        <f aca="false">COUNTIFS(Данные!$B$2:$B$722,30,Данные!$C$2:$C$722,2,Данные!$A$2:$A$722,"&gt;="&amp;77234427000,Данные!$A$2:$A$722,"&lt;="&amp;77234428999)</f>
        <v>0</v>
      </c>
      <c r="AR67" s="62" t="n">
        <f aca="false">COUNTIFS(Данные!$B$2:$B$722,30,Данные!$C$2:$C$722,2,Данные!$A$2:$A$722,"&gt;="&amp;77234450000,Данные!$A$2:$A$722,"&lt;="&amp;77234450999)</f>
        <v>0</v>
      </c>
      <c r="AS67" s="62" t="n">
        <f aca="false">COUNTIFS(Данные!$B$2:$B$722,30,Данные!$C$2:$C$722,2,Данные!$A$2:$A$722,"&gt;="&amp;77234620000,Данные!$A$2:$A$722,"&lt;="&amp;77234620999)</f>
        <v>0</v>
      </c>
      <c r="AT67" s="62" t="n">
        <f aca="false">COUNTIFS(Данные!$B$2:$B$722,30,Данные!$C$2:$C$722,2,Данные!$A$2:$A$722,"&gt;="&amp;77234650000,Данные!$A$2:$A$722,"&lt;="&amp;77234650999)</f>
        <v>0</v>
      </c>
      <c r="AU67" s="62" t="n">
        <f aca="false">COUNTIFS(Данные!$B$2:$B$722,30,Данные!$C$2:$C$722,2,Данные!$A$2:$A$722,"&gt;="&amp;77234820000,Данные!$A$2:$A$722,"&lt;="&amp;77234820999)</f>
        <v>0</v>
      </c>
      <c r="AV67" s="62" t="n">
        <f aca="false">COUNTIFS(Данные!$B$2:$B$722,30,Данные!$C$2:$C$722,2,Данные!$A$2:$A$722,"&gt;="&amp;77234850000,Данные!$A$2:$A$722,"&lt;="&amp;77234850999)</f>
        <v>0</v>
      </c>
      <c r="AW67" s="62" t="n">
        <f aca="false">COUNTIFS(Данные!$B$2:$B$722,30,Данные!$C$2:$C$722,2,Данные!$A$2:$A$722,"&gt;="&amp;77233327000,Данные!$A$2:$A$722,"&lt;="&amp;77233327999)</f>
        <v>0</v>
      </c>
      <c r="AX67" s="62" t="n">
        <f aca="false">COUNTIFS(Данные!$B$2:$B$722,30,Данные!$C$2:$C$722,2,Данные!$A$2:$A$722,"&gt;="&amp;77233350000,Данные!$A$2:$A$722,"&lt;="&amp;77233350599)</f>
        <v>0</v>
      </c>
      <c r="AY67" s="62" t="n">
        <f aca="false">COUNTIFS(Данные!$B$2:$B$722,30,Данные!$C$2:$C$722,2,Данные!$A$2:$A$722,"&gt;="&amp;77233351000,Данные!$A$2:$A$722,"&lt;="&amp;77233351999)</f>
        <v>0</v>
      </c>
      <c r="AZ67" s="63" t="n">
        <f aca="false">COUNTIFS(Данные!$B$2:$B$722,30,Данные!$C$2:$C$722,2,Данные!$A$2:$A$722,"&gt;="&amp;7722440000,Данные!$A$2:$A$722,"&lt;="&amp;7722440999)</f>
        <v>0</v>
      </c>
      <c r="BA67" s="63" t="n">
        <f aca="false">COUNTIFS(Данные!$B$2:$B$722,30,Данные!$C$2:$C$722,2,Данные!$A$2:$A$722,"&gt;="&amp;7722442000,Данные!$A$2:$A$722,"&lt;="&amp;7722445659)</f>
        <v>0</v>
      </c>
      <c r="BB67" s="63" t="n">
        <f aca="false">COUNTIFS(Данные!$B$2:$B$722,30,Данные!$C$2:$C$722,2,Данные!$A$2:$A$722,"&gt;="&amp;7722450000,Данные!$A$2:$A$722,"&lt;="&amp;7722450199)</f>
        <v>0</v>
      </c>
      <c r="BC67" s="63" t="n">
        <f aca="false">COUNTIFS(Данные!$B$2:$B$722,30,Данные!$C$2:$C$722,2,Данные!$A$2:$A$722,"&gt;="&amp;7722451000,Данные!$A$2:$A$722,"&lt;="&amp;7722451374)</f>
        <v>0</v>
      </c>
      <c r="BD67" s="63" t="n">
        <f aca="false">COUNTIFS(Данные!$B$2:$B$722,30,Данные!$C$2:$C$722,2,Данные!$A$2:$A$722,"&gt;="&amp;7722452000,Данные!$A$2:$A$722,"&lt;="&amp;7722452299)</f>
        <v>0</v>
      </c>
      <c r="BE67" s="63" t="n">
        <f aca="false">COUNTIFS(Данные!$B$2:$B$722,30,Данные!$C$2:$C$722,2,Данные!$A$2:$A$722,"&gt;="&amp;7722453000,Данные!$A$2:$A$722,"&lt;="&amp;7722453816)</f>
        <v>0</v>
      </c>
      <c r="BF67" s="63" t="n">
        <f aca="false">COUNTIFS(Данные!$B$2:$B$722,30,Данные!$C$2:$C$722,2,Данные!$A$2:$A$722,"&gt;="&amp;7722454000,Данные!$A$2:$A$722,"&lt;="&amp;7722454099)</f>
        <v>0</v>
      </c>
      <c r="BG67" s="63" t="n">
        <f aca="false">COUNTIFS(Данные!$B$2:$B$722,30,Данные!$C$2:$C$722,2,Данные!$A$2:$A$722,"&gt;="&amp;7722458000,Данные!$A$2:$A$722,"&lt;="&amp;7722458999)</f>
        <v>0</v>
      </c>
      <c r="BH67" s="63" t="n">
        <f aca="false">COUNTIFS(Данные!$B$2:$B$722,30,Данные!$C$2:$C$722,2,Данные!$A$2:$A$722,"&gt;="&amp;7722630000,Данные!$A$2:$A$722,"&lt;="&amp;7722638549)</f>
        <v>0</v>
      </c>
      <c r="BI67" s="63" t="n">
        <f aca="false">COUNTIFS(Данные!$B$2:$B$722,30,Данные!$C$2:$C$722,2,Данные!$A$2:$A$722,"&gt;="&amp;7722639400,Данные!$A$2:$A$722,"&lt;="&amp;7722639899)</f>
        <v>0</v>
      </c>
      <c r="BJ67" s="63" t="n">
        <f aca="false">COUNTIFS(Данные!$B$2:$B$722,30,Данные!$C$2:$C$722,2,Данные!$A$2:$A$722,"&gt;="&amp;7725750000,Данные!$A$2:$A$722,"&lt;="&amp;7725750399)</f>
        <v>0</v>
      </c>
      <c r="BK67" s="63" t="n">
        <f aca="false">COUNTIFS(Данные!$B$2:$B$722,30,Данные!$C$2:$C$722,2,Данные!$A$2:$A$722,"&gt;="&amp;7723620000,Данные!$A$2:$A$722,"&lt;="&amp;7723621299)</f>
        <v>0</v>
      </c>
      <c r="BL67" s="63" t="n">
        <f aca="false">COUNTIFS(Данные!$B$2:$B$722,30,Данные!$C$2:$C$722,2,Данные!$A$2:$A$722,"&gt;="&amp;7723621600,Данные!$A$2:$A$722,"&lt;="&amp;7723623399)</f>
        <v>0</v>
      </c>
      <c r="BM67" s="63" t="n">
        <f aca="false">COUNTIFS(Данные!$B$2:$B$722,30,Данные!$C$2:$C$722,2,Данные!$A$2:$A$722,"&gt;="&amp;7725127000,Данные!$A$2:$A$722,"&lt;="&amp;7725127999)</f>
        <v>0</v>
      </c>
      <c r="BN67" s="63" t="n">
        <f aca="false">COUNTIFS(Данные!$B$2:$B$722,30,Данные!$C$2:$C$722,2,Данные!$A$2:$A$722,"&gt;="&amp;7723772000,Данные!$A$2:$A$722,"&lt;="&amp;7723724999)</f>
        <v>0</v>
      </c>
      <c r="BO67" s="62" t="n">
        <f aca="false">COUNTIFS(Данные!$B$2:$B$722,30,Данные!$C$2:$C$722,2,Данные!$A$2:$A$722,"&gt;="&amp;7723765000,Данные!$A$2:$A$722,"&lt;="&amp;7723765499)</f>
        <v>0</v>
      </c>
      <c r="BP67" s="63" t="n">
        <f aca="false">COUNTIFS(Данные!$B$2:$B$722,30,Данные!$C$2:$C$722,2,Данные!$A$2:$A$722,"&gt;="&amp;7723948000,Данные!$A$2:$A$722,"&lt;="&amp;7723948999)</f>
        <v>0</v>
      </c>
      <c r="BQ67" s="63" t="n">
        <f aca="false">COUNTIFS(Данные!$B$2:$B$722,30,Данные!$C$2:$C$722,2,Данные!$A$2:$A$722,"&gt;="&amp;7723950000,Данные!$A$2:$A$722,"&lt;="&amp;7723951099)</f>
        <v>0</v>
      </c>
      <c r="BR67" s="63" t="n">
        <f aca="false">COUNTIFS(Данные!$B$2:$B$722,30,Данные!$C$2:$C$722,2,Данные!$A$2:$A$722,"&gt;="&amp;7723020000,Данные!$A$2:$A$722,"&lt;="&amp;7723020999)</f>
        <v>0</v>
      </c>
      <c r="BS67" s="63" t="n">
        <f aca="false">COUNTIFS(Данные!$B$2:$B$722,30,Данные!$C$2:$C$722,2,Данные!$A$2:$A$722,"&gt;="&amp;7723029000,Данные!$A$2:$A$722,"&lt;="&amp;7723029999)</f>
        <v>0</v>
      </c>
      <c r="BT67" s="63" t="n">
        <f aca="false">COUNTIFS(Данные!$B$2:$B$722,30,Данные!$C$2:$C$722,2,Данные!$A$2:$A$722,"&gt;="&amp;7723055000,Данные!$A$2:$A$722,"&lt;="&amp;7723056549)</f>
        <v>0</v>
      </c>
      <c r="BU67" s="62" t="n">
        <f aca="false">COUNTIFS(Данные!$B$2:$B$722,30,Данные!$C$2:$C$722,2,Данные!$A$2:$A$722,"&gt;="&amp;7725250000,Данные!$A$2:$A$722,"&lt;="&amp;7725250499)</f>
        <v>0</v>
      </c>
      <c r="BV67" s="63" t="n">
        <f aca="false">COUNTIFS(Данные!$B$2:$B$722,30,Данные!$C$2:$C$722,2,Данные!$A$2:$A$722,"&gt;="&amp;7183841400,Данные!$A$2:$A$722,"&lt;="&amp;7183841499)</f>
        <v>0</v>
      </c>
      <c r="BW67" s="40" t="n">
        <v>300</v>
      </c>
      <c r="BX67" s="64" t="n">
        <f aca="false">F67-BW67</f>
        <v>-293</v>
      </c>
    </row>
    <row r="68" s="15" customFormat="true" ht="12" hidden="false" customHeight="true" outlineLevel="0" collapsed="false">
      <c r="A68" s="47" t="n">
        <v>31</v>
      </c>
      <c r="B68" s="48" t="s">
        <v>82</v>
      </c>
      <c r="C68" s="50" t="n">
        <v>0</v>
      </c>
      <c r="D68" s="50" t="n">
        <v>310</v>
      </c>
      <c r="E68" s="51" t="n">
        <f aca="false">SUM(F68:F70)</f>
        <v>25</v>
      </c>
      <c r="F68" s="65" t="n">
        <f aca="false">COUNTIFS(Данные!$B$2:$B$722,31,Данные!$C$2:$C$722,0)</f>
        <v>0</v>
      </c>
      <c r="G68" s="65" t="n">
        <f aca="false">COUNTIFS(Данные!$B$2:$B$722,31,Данные!$C$2:$C$722,0,Данные!$A$2:$A$722,"&gt;="&amp;77232210840,Данные!$A$2:$A$722,"&lt;="&amp;77232216999)</f>
        <v>0</v>
      </c>
      <c r="H68" s="65" t="n">
        <f aca="false">COUNTIFS(Данные!$B$2:$B$722,31,Данные!$C$2:$C$722,0,Данные!$A$2:$A$722,"&gt;="&amp;77232510512,Данные!$A$2:$A$722,"&lt;="&amp;77232519487)</f>
        <v>0</v>
      </c>
      <c r="I68" s="65" t="n">
        <f aca="false">COUNTIFS(Данные!$B$2:$B$722,31,Данные!$C$2:$C$722,0,Данные!$A$2:$A$722,"&gt;="&amp;77232524160,Данные!$A$2:$A$722,"&lt;="&amp;77232529999)</f>
        <v>0</v>
      </c>
      <c r="J68" s="65" t="n">
        <f aca="false">COUNTIFS(Данные!$B$2:$B$722,31,Данные!$C$2:$C$722,0,Данные!$A$2:$A$722,"&gt;="&amp;77232544000,Данные!$A$2:$A$722,"&lt;="&amp;77232544999)</f>
        <v>0</v>
      </c>
      <c r="K68" s="65" t="n">
        <f aca="false">COUNTIFS(Данные!$B$2:$B$722,31,Данные!$C$2:$C$722,0,Данные!$A$2:$A$722,"&gt;="&amp;77232295504,Данные!$A$2:$A$722,"&lt;="&amp;77232296999)</f>
        <v>0</v>
      </c>
      <c r="L68" s="65" t="n">
        <f aca="false">COUNTIFS(Данные!$B$2:$B$722,31,Данные!$C$2:$C$722,0,Данные!$A$2:$A$722,"&gt;="&amp;77232785000,Данные!$A$2:$A$722,"&lt;="&amp;77232789999)</f>
        <v>0</v>
      </c>
      <c r="M68" s="65" t="n">
        <f aca="false">COUNTIFS(Данные!$B$2:$B$722,31,Данные!$C$2:$C$722,0,Данные!$A$2:$A$722,"&gt;="&amp;77233150000,Данные!$A$2:$A$722,"&lt;="&amp;77233155999)</f>
        <v>0</v>
      </c>
      <c r="N68" s="65" t="n">
        <f aca="false">COUNTIFS(Данные!$B$2:$B$722,31,Данные!$C$2:$C$722,0,Данные!$A$2:$A$722,"&gt;="&amp;77233235000,Данные!$A$2:$A$722,"&lt;="&amp;77233235999)</f>
        <v>0</v>
      </c>
      <c r="O68" s="65" t="n">
        <f aca="false">COUNTIFS(Данные!$B$2:$B$722,31,Данные!$C$2:$C$722,0,Данные!$A$2:$A$722,"&gt;="&amp;77233239000,Данные!$A$2:$A$722,"&lt;="&amp;77233239999)</f>
        <v>0</v>
      </c>
      <c r="P68" s="65" t="n">
        <f aca="false">COUNTIFS(Данные!$B$2:$B$722,31,Данные!$C$2:$C$722,0,Данные!$A$2:$A$722,"&gt;="&amp;77233272000,Данные!$A$2:$A$722,"&lt;="&amp;77233272999)</f>
        <v>0</v>
      </c>
      <c r="Q68" s="65" t="n">
        <f aca="false">COUNTIFS(Данные!$B$2:$B$722,31,Данные!$C$2:$C$722,0,Данные!$A$2:$A$722,"&gt;="&amp;77233291100,Данные!$A$2:$A$722,"&lt;="&amp;77233292999)</f>
        <v>0</v>
      </c>
      <c r="R68" s="65" t="n">
        <f aca="false">COUNTIFS(Данные!$B$2:$B$722,31,Данные!$C$2:$C$722,0,Данные!$A$2:$A$722,"&gt;="&amp;77233297000,Данные!$A$2:$A$722,"&lt;="&amp;77233298399)</f>
        <v>0</v>
      </c>
      <c r="S68" s="65" t="n">
        <f aca="false">COUNTIFS(Данные!$B$2:$B$722,31,Данные!$C$2:$C$722,0,Данные!$A$2:$A$722,"&gt;="&amp;77235124000,Данные!$A$2:$A$722,"&lt;="&amp;77235128499)</f>
        <v>0</v>
      </c>
      <c r="T68" s="65" t="n">
        <f aca="false">COUNTIFS(Данные!$B$2:$B$722,31,Данные!$C$2:$C$722,0,Данные!$A$2:$A$722,"&gt;="&amp;77235320000,Данные!$A$2:$A$722,"&lt;="&amp;77235320999)</f>
        <v>0</v>
      </c>
      <c r="U68" s="65" t="n">
        <f aca="false">COUNTIFS(Данные!$B$2:$B$722,31,Данные!$C$2:$C$722,0,Данные!$A$2:$A$722,"&gt;="&amp;77233620000,Данные!$A$2:$A$722,"&lt;="&amp;77233623339)</f>
        <v>0</v>
      </c>
      <c r="V68" s="65" t="n">
        <f aca="false">COUNTIFS(Данные!$B$2:$B$722,31,Данные!$C$2:$C$722,0,Данные!$A$2:$A$722,"&gt;="&amp;77233630000,Данные!$A$2:$A$722,"&lt;="&amp;77233630999)</f>
        <v>0</v>
      </c>
      <c r="W68" s="65" t="n">
        <f aca="false">COUNTIFS(Данные!$B$2:$B$722,31,Данные!$C$2:$C$722,0,Данные!$A$2:$A$722,"&gt;="&amp;77233637000,Данные!$A$2:$A$722,"&lt;="&amp;77233637599)</f>
        <v>0</v>
      </c>
      <c r="X68" s="65" t="n">
        <f aca="false">COUNTIFS(Данные!$B$2:$B$722,31,Данные!$C$2:$C$722,0,Данные!$A$2:$A$722,"&gt;="&amp;77233550000,Данные!$A$2:$A$722,"&lt;="&amp;77233550999)</f>
        <v>0</v>
      </c>
      <c r="Y68" s="65" t="n">
        <f aca="false">COUNTIFS(Данные!$B$2:$B$722,31,Данные!$C$2:$C$722,0,Данные!$A$2:$A$722,"&gt;="&amp;77233554000,Данные!$A$2:$A$722,"&lt;="&amp;77233554999)</f>
        <v>0</v>
      </c>
      <c r="Z68" s="65" t="n">
        <f aca="false">COUNTIFS(Данные!$B$2:$B$722,31,Данные!$C$2:$C$722,0,Данные!$A$2:$A$722,"&gt;="&amp;77233555000,Данные!$A$2:$A$722,"&lt;="&amp;77233556999)</f>
        <v>0</v>
      </c>
      <c r="AA68" s="65" t="n">
        <f aca="false">COUNTIFS(Данные!$B$2:$B$722,31,Данные!$C$2:$C$722,0,Данные!$A$2:$A$722,"&gt;="&amp;77233726000,Данные!$A$2:$A$722,"&lt;="&amp;77233726999)</f>
        <v>0</v>
      </c>
      <c r="AB68" s="65" t="n">
        <f aca="false">COUNTIFS(Данные!$B$2:$B$722,31,Данные!$C$2:$C$722,0,Данные!$A$2:$A$722,"&gt;="&amp;77233820000,Данные!$A$2:$A$722,"&lt;="&amp;77233820999)</f>
        <v>0</v>
      </c>
      <c r="AC68" s="65" t="n">
        <f aca="false">COUNTIFS(Данные!$B$2:$B$722,31,Данные!$C$2:$C$722,0,Данные!$A$2:$A$722,"&gt;="&amp;77233850000,Данные!$A$2:$A$722,"&lt;="&amp;77233850999)</f>
        <v>0</v>
      </c>
      <c r="AD68" s="65" t="n">
        <f aca="false">COUNTIFS(Данные!$B$2:$B$722,31,Данные!$C$2:$C$722,0,Данные!$A$2:$A$722,"&gt;="&amp;77233420000,Данные!$A$2:$A$722,"&lt;="&amp;77233420999)</f>
        <v>0</v>
      </c>
      <c r="AE68" s="65" t="n">
        <f aca="false">COUNTIFS(Данные!$B$2:$B$722,31,Данные!$C$2:$C$722,0,Данные!$A$2:$A$722,"&gt;="&amp;77234740000,Данные!$A$2:$A$722,"&lt;="&amp;77234742999)</f>
        <v>0</v>
      </c>
      <c r="AF68" s="65" t="n">
        <f aca="false">COUNTIFS(Данные!$B$2:$B$722,31,Данные!$C$2:$C$722,0,Данные!$A$2:$A$722,"&gt;="&amp;77234767000,Данные!$A$2:$A$722,"&lt;="&amp;77234767999)</f>
        <v>0</v>
      </c>
      <c r="AG68" s="65" t="n">
        <f aca="false">COUNTIFS(Данные!$B$2:$B$722,31,Данные!$C$2:$C$722,0,Данные!$A$2:$A$722,"&gt;="&amp;77234120000,Данные!$A$2:$A$722,"&lt;="&amp;77234120999)</f>
        <v>0</v>
      </c>
      <c r="AH68" s="65" t="n">
        <f aca="false">COUNTIFS(Данные!$B$2:$B$722,31,Данные!$C$2:$C$722,0,Данные!$A$2:$A$722,"&gt;="&amp;77234127000,Данные!$A$2:$A$722,"&lt;="&amp;77234127999)</f>
        <v>0</v>
      </c>
      <c r="AI68" s="65" t="n">
        <f aca="false">COUNTIFS(Данные!$B$2:$B$722,31,Данные!$C$2:$C$722,0,Данные!$A$2:$A$722,"&gt;="&amp;77234220000,Данные!$A$2:$A$722,"&lt;="&amp;77234220999)</f>
        <v>0</v>
      </c>
      <c r="AJ68" s="65" t="n">
        <f aca="false">COUNTIFS(Данные!$B$2:$B$722,31,Данные!$C$2:$C$722,0,Данные!$A$2:$A$722,"&gt;="&amp;77234250000,Данные!$A$2:$A$722,"&lt;="&amp;77234250999)</f>
        <v>0</v>
      </c>
      <c r="AK68" s="65" t="n">
        <f aca="false">COUNTIFS(Данные!$B$2:$B$722,31,Данные!$C$2:$C$722,0,Данные!$A$2:$A$722,"&gt;="&amp;77233922950,Данные!$A$2:$A$722,"&lt;="&amp;77233924999)</f>
        <v>0</v>
      </c>
      <c r="AL68" s="65" t="n">
        <f aca="false">COUNTIFS(Данные!$B$2:$B$722,31,Данные!$C$2:$C$722,0,Данные!$A$2:$A$722,"&gt;="&amp;77234320000,Данные!$A$2:$A$722,"&lt;="&amp;77234320999)</f>
        <v>0</v>
      </c>
      <c r="AM68" s="65" t="n">
        <f aca="false">COUNTIFS(Данные!$B$2:$B$722,31,Данные!$C$2:$C$722,0,Данные!$A$2:$A$722,"&gt;="&amp;77234350000,Данные!$A$2:$A$722,"&lt;="&amp;77234350999)</f>
        <v>0</v>
      </c>
      <c r="AN68" s="65" t="n">
        <f aca="false">COUNTIFS(Данные!$B$2:$B$722,31,Данные!$C$2:$C$722,0,Данные!$A$2:$A$722,"&gt;="&amp;77234020000,Данные!$A$2:$A$722,"&lt;="&amp;77234020999)</f>
        <v>0</v>
      </c>
      <c r="AO68" s="65" t="n">
        <f aca="false">COUNTIFS(Данные!$B$2:$B$722,31,Данные!$C$2:$C$722,0,Данные!$A$2:$A$722,"&gt;="&amp;77234029000,Данные!$A$2:$A$722,"&lt;="&amp;77234029999)</f>
        <v>0</v>
      </c>
      <c r="AP68" s="65" t="n">
        <f aca="false">COUNTIFS(Данные!$B$2:$B$722,31,Данные!$C$2:$C$722,0,Данные!$A$2:$A$722,"&gt;="&amp;77234050000,Данные!$A$2:$A$722,"&lt;="&amp;77234050999)</f>
        <v>0</v>
      </c>
      <c r="AQ68" s="65" t="n">
        <f aca="false">COUNTIFS(Данные!$B$2:$B$722,31,Данные!$C$2:$C$722,0,Данные!$A$2:$A$722,"&gt;="&amp;77234427000,Данные!$A$2:$A$722,"&lt;="&amp;77234428999)</f>
        <v>0</v>
      </c>
      <c r="AR68" s="65" t="n">
        <f aca="false">COUNTIFS(Данные!$B$2:$B$722,31,Данные!$C$2:$C$722,0,Данные!$A$2:$A$722,"&gt;="&amp;77234450000,Данные!$A$2:$A$722,"&lt;="&amp;77234450999)</f>
        <v>0</v>
      </c>
      <c r="AS68" s="65" t="n">
        <f aca="false">COUNTIFS(Данные!$B$2:$B$722,31,Данные!$C$2:$C$722,0,Данные!$A$2:$A$722,"&gt;="&amp;77234620000,Данные!$A$2:$A$722,"&lt;="&amp;77234620999)</f>
        <v>0</v>
      </c>
      <c r="AT68" s="65" t="n">
        <f aca="false">COUNTIFS(Данные!$B$2:$B$722,31,Данные!$C$2:$C$722,0,Данные!$A$2:$A$722,"&gt;="&amp;77234650000,Данные!$A$2:$A$722,"&lt;="&amp;77234650999)</f>
        <v>0</v>
      </c>
      <c r="AU68" s="65" t="n">
        <f aca="false">COUNTIFS(Данные!$B$2:$B$722,31,Данные!$C$2:$C$722,0,Данные!$A$2:$A$722,"&gt;="&amp;77234820000,Данные!$A$2:$A$722,"&lt;="&amp;77234820999)</f>
        <v>0</v>
      </c>
      <c r="AV68" s="65" t="n">
        <f aca="false">COUNTIFS(Данные!$B$2:$B$722,31,Данные!$C$2:$C$722,0,Данные!$A$2:$A$722,"&gt;="&amp;77234850000,Данные!$A$2:$A$722,"&lt;="&amp;77234850999)</f>
        <v>0</v>
      </c>
      <c r="AW68" s="65" t="n">
        <f aca="false">COUNTIFS(Данные!$B$2:$B$722,31,Данные!$C$2:$C$722,0,Данные!$A$2:$A$722,"&gt;="&amp;77233327000,Данные!$A$2:$A$722,"&lt;="&amp;77233327999)</f>
        <v>0</v>
      </c>
      <c r="AX68" s="65" t="n">
        <f aca="false">COUNTIFS(Данные!$B$2:$B$722,31,Данные!$C$2:$C$722,0,Данные!$A$2:$A$722,"&gt;="&amp;77233350000,Данные!$A$2:$A$722,"&lt;="&amp;77233350599)</f>
        <v>0</v>
      </c>
      <c r="AY68" s="65" t="n">
        <f aca="false">COUNTIFS(Данные!$B$2:$B$722,31,Данные!$C$2:$C$722,0,Данные!$A$2:$A$722,"&gt;="&amp;77233351000,Данные!$A$2:$A$722,"&lt;="&amp;77233351999)</f>
        <v>0</v>
      </c>
      <c r="AZ68" s="66" t="n">
        <f aca="false">COUNTIFS(Данные!$B$2:$B$722,31,Данные!$C$2:$C$722,0,Данные!$A$2:$A$722,"&gt;="&amp;7722440000,Данные!$A$2:$A$722,"&lt;="&amp;7722440999)</f>
        <v>0</v>
      </c>
      <c r="BA68" s="66" t="n">
        <f aca="false">COUNTIFS(Данные!$B$2:$B$722,31,Данные!$C$2:$C$722,0,Данные!$A$2:$A$722,"&gt;="&amp;7722442000,Данные!$A$2:$A$722,"&lt;="&amp;7722445659)</f>
        <v>0</v>
      </c>
      <c r="BB68" s="66" t="n">
        <f aca="false">COUNTIFS(Данные!$B$2:$B$722,31,Данные!$C$2:$C$722,0,Данные!$A$2:$A$722,"&gt;="&amp;7722450000,Данные!$A$2:$A$722,"&lt;="&amp;7722450199)</f>
        <v>0</v>
      </c>
      <c r="BC68" s="66" t="n">
        <f aca="false">COUNTIFS(Данные!$B$2:$B$722,31,Данные!$C$2:$C$722,0,Данные!$A$2:$A$722,"&gt;="&amp;7722451000,Данные!$A$2:$A$722,"&lt;="&amp;7722451374)</f>
        <v>0</v>
      </c>
      <c r="BD68" s="66" t="n">
        <f aca="false">COUNTIFS(Данные!$B$2:$B$722,31,Данные!$C$2:$C$722,0,Данные!$A$2:$A$722,"&gt;="&amp;7722452000,Данные!$A$2:$A$722,"&lt;="&amp;7722452299)</f>
        <v>0</v>
      </c>
      <c r="BE68" s="66" t="n">
        <f aca="false">COUNTIFS(Данные!$B$2:$B$722,31,Данные!$C$2:$C$722,0,Данные!$A$2:$A$722,"&gt;="&amp;7722453000,Данные!$A$2:$A$722,"&lt;="&amp;7722453816)</f>
        <v>0</v>
      </c>
      <c r="BF68" s="66" t="n">
        <f aca="false">COUNTIFS(Данные!$B$2:$B$722,31,Данные!$C$2:$C$722,0,Данные!$A$2:$A$722,"&gt;="&amp;7722454000,Данные!$A$2:$A$722,"&lt;="&amp;7722454099)</f>
        <v>0</v>
      </c>
      <c r="BG68" s="66" t="n">
        <f aca="false">COUNTIFS(Данные!$B$2:$B$722,31,Данные!$C$2:$C$722,0,Данные!$A$2:$A$722,"&gt;="&amp;7722458000,Данные!$A$2:$A$722,"&lt;="&amp;7722458999)</f>
        <v>0</v>
      </c>
      <c r="BH68" s="66" t="n">
        <f aca="false">COUNTIFS(Данные!$B$2:$B$722,31,Данные!$C$2:$C$722,0,Данные!$A$2:$A$722,"&gt;="&amp;7722630000,Данные!$A$2:$A$722,"&lt;="&amp;7722638549)</f>
        <v>0</v>
      </c>
      <c r="BI68" s="66" t="n">
        <f aca="false">COUNTIFS(Данные!$B$2:$B$722,31,Данные!$C$2:$C$722,0,Данные!$A$2:$A$722,"&gt;="&amp;7722639400,Данные!$A$2:$A$722,"&lt;="&amp;7722639899)</f>
        <v>0</v>
      </c>
      <c r="BJ68" s="66" t="n">
        <f aca="false">COUNTIFS(Данные!$B$2:$B$722,31,Данные!$C$2:$C$722,0,Данные!$A$2:$A$722,"&gt;="&amp;7725750000,Данные!$A$2:$A$722,"&lt;="&amp;7725750399)</f>
        <v>0</v>
      </c>
      <c r="BK68" s="66" t="n">
        <f aca="false">COUNTIFS(Данные!$B$2:$B$722,31,Данные!$C$2:$C$722,0,Данные!$A$2:$A$722,"&gt;="&amp;7723620000,Данные!$A$2:$A$722,"&lt;="&amp;7723621299)</f>
        <v>0</v>
      </c>
      <c r="BL68" s="66" t="n">
        <f aca="false">COUNTIFS(Данные!$B$2:$B$722,31,Данные!$C$2:$C$722,0,Данные!$A$2:$A$722,"&gt;="&amp;7723621600,Данные!$A$2:$A$722,"&lt;="&amp;7723623399)</f>
        <v>0</v>
      </c>
      <c r="BM68" s="66" t="n">
        <f aca="false">COUNTIFS(Данные!$B$2:$B$722,31,Данные!$C$2:$C$722,0,Данные!$A$2:$A$722,"&gt;="&amp;7725127000,Данные!$A$2:$A$722,"&lt;="&amp;7725127999)</f>
        <v>0</v>
      </c>
      <c r="BN68" s="66" t="n">
        <f aca="false">COUNTIFS(Данные!$B$2:$B$722,31,Данные!$C$2:$C$722,0,Данные!$A$2:$A$722,"&gt;="&amp;7723772000,Данные!$A$2:$A$722,"&lt;="&amp;7723724999)</f>
        <v>0</v>
      </c>
      <c r="BO68" s="65" t="n">
        <f aca="false">COUNTIFS(Данные!$B$2:$B$722,31,Данные!$C$2:$C$722,0,Данные!$A$2:$A$722,"&gt;="&amp;7723765000,Данные!$A$2:$A$722,"&lt;="&amp;7723765499)</f>
        <v>0</v>
      </c>
      <c r="BP68" s="66" t="n">
        <f aca="false">COUNTIFS(Данные!$B$2:$B$722,31,Данные!$C$2:$C$722,0,Данные!$A$2:$A$722,"&gt;="&amp;7723948000,Данные!$A$2:$A$722,"&lt;="&amp;7723948999)</f>
        <v>0</v>
      </c>
      <c r="BQ68" s="66" t="n">
        <f aca="false">COUNTIFS(Данные!$B$2:$B$722,31,Данные!$C$2:$C$722,0,Данные!$A$2:$A$722,"&gt;="&amp;7723950000,Данные!$A$2:$A$722,"&lt;="&amp;7723951099)</f>
        <v>0</v>
      </c>
      <c r="BR68" s="66" t="n">
        <f aca="false">COUNTIFS(Данные!$B$2:$B$722,31,Данные!$C$2:$C$722,0,Данные!$A$2:$A$722,"&gt;="&amp;7723020000,Данные!$A$2:$A$722,"&lt;="&amp;7723020999)</f>
        <v>0</v>
      </c>
      <c r="BS68" s="66" t="n">
        <f aca="false">COUNTIFS(Данные!$B$2:$B$722,31,Данные!$C$2:$C$722,0,Данные!$A$2:$A$722,"&gt;="&amp;7723029000,Данные!$A$2:$A$722,"&lt;="&amp;7723029999)</f>
        <v>0</v>
      </c>
      <c r="BT68" s="66" t="n">
        <f aca="false">COUNTIFS(Данные!$B$2:$B$722,31,Данные!$C$2:$C$722,0,Данные!$A$2:$A$722,"&gt;="&amp;7723055000,Данные!$A$2:$A$722,"&lt;="&amp;7723056549)</f>
        <v>0</v>
      </c>
      <c r="BU68" s="65" t="n">
        <f aca="false">COUNTIFS(Данные!$B$2:$B$722,31,Данные!$C$2:$C$722,0,Данные!$A$2:$A$722,"&gt;="&amp;7725250000,Данные!$A$2:$A$722,"&lt;="&amp;7725250499)</f>
        <v>0</v>
      </c>
      <c r="BV68" s="66" t="n">
        <f aca="false">COUNTIFS(Данные!$B$2:$B$722,31,Данные!$C$2:$C$722,0,Данные!$A$2:$A$722,"&gt;="&amp;7183841400,Данные!$A$2:$A$722,"&lt;="&amp;7183841499)</f>
        <v>0</v>
      </c>
      <c r="BW68" s="49" t="n">
        <v>300</v>
      </c>
      <c r="BX68" s="67" t="n">
        <f aca="false">F68-BW68</f>
        <v>-300</v>
      </c>
    </row>
    <row r="69" s="15" customFormat="true" ht="12" hidden="false" customHeight="true" outlineLevel="0" collapsed="false">
      <c r="A69" s="47"/>
      <c r="B69" s="48"/>
      <c r="C69" s="50" t="n">
        <v>1</v>
      </c>
      <c r="D69" s="50" t="n">
        <v>311</v>
      </c>
      <c r="E69" s="51"/>
      <c r="F69" s="65" t="n">
        <f aca="false">COUNTIFS(Данные!$B$2:$B$722,31,Данные!$C$2:$C$722,1)</f>
        <v>21</v>
      </c>
      <c r="G69" s="65" t="n">
        <f aca="false">COUNTIFS(Данные!$B$2:$B$722,31,Данные!$C$2:$C$722,1,Данные!$A$2:$A$722,"&gt;="&amp;77232210840,Данные!$A$2:$A$722,"&lt;="&amp;77232216999)</f>
        <v>0</v>
      </c>
      <c r="H69" s="65" t="n">
        <f aca="false">COUNTIFS(Данные!$B$2:$B$722,31,Данные!$C$2:$C$722,1,Данные!$A$2:$A$722,"&gt;="&amp;77232510512,Данные!$A$2:$A$722,"&lt;="&amp;77232519487)</f>
        <v>0</v>
      </c>
      <c r="I69" s="65" t="n">
        <f aca="false">COUNTIFS(Данные!$B$2:$B$722,31,Данные!$C$2:$C$722,1,Данные!$A$2:$A$722,"&gt;="&amp;77232524160,Данные!$A$2:$A$722,"&lt;="&amp;77232529999)</f>
        <v>0</v>
      </c>
      <c r="J69" s="65" t="n">
        <f aca="false">COUNTIFS(Данные!$B$2:$B$722,31,Данные!$C$2:$C$722,1,Данные!$A$2:$A$722,"&gt;="&amp;77232544000,Данные!$A$2:$A$722,"&lt;="&amp;77232544999)</f>
        <v>0</v>
      </c>
      <c r="K69" s="65" t="n">
        <f aca="false">COUNTIFS(Данные!$B$2:$B$722,31,Данные!$C$2:$C$722,1,Данные!$A$2:$A$722,"&gt;="&amp;77232295504,Данные!$A$2:$A$722,"&lt;="&amp;77232296999)</f>
        <v>0</v>
      </c>
      <c r="L69" s="65" t="n">
        <f aca="false">COUNTIFS(Данные!$B$2:$B$722,31,Данные!$C$2:$C$722,1,Данные!$A$2:$A$722,"&gt;="&amp;77232785000,Данные!$A$2:$A$722,"&lt;="&amp;77232789999)</f>
        <v>0</v>
      </c>
      <c r="M69" s="65" t="n">
        <f aca="false">COUNTIFS(Данные!$B$2:$B$722,31,Данные!$C$2:$C$722,1,Данные!$A$2:$A$722,"&gt;="&amp;77233150000,Данные!$A$2:$A$722,"&lt;="&amp;77233155999)</f>
        <v>0</v>
      </c>
      <c r="N69" s="65" t="n">
        <f aca="false">COUNTIFS(Данные!$B$2:$B$722,31,Данные!$C$2:$C$722,1,Данные!$A$2:$A$722,"&gt;="&amp;77233235000,Данные!$A$2:$A$722,"&lt;="&amp;77233235999)</f>
        <v>0</v>
      </c>
      <c r="O69" s="65" t="n">
        <f aca="false">COUNTIFS(Данные!$B$2:$B$722,31,Данные!$C$2:$C$722,1,Данные!$A$2:$A$722,"&gt;="&amp;77233239000,Данные!$A$2:$A$722,"&lt;="&amp;77233239999)</f>
        <v>0</v>
      </c>
      <c r="P69" s="65" t="n">
        <f aca="false">COUNTIFS(Данные!$B$2:$B$722,31,Данные!$C$2:$C$722,1,Данные!$A$2:$A$722,"&gt;="&amp;77233272000,Данные!$A$2:$A$722,"&lt;="&amp;77233272999)</f>
        <v>0</v>
      </c>
      <c r="Q69" s="65" t="n">
        <f aca="false">COUNTIFS(Данные!$B$2:$B$722,31,Данные!$C$2:$C$722,1,Данные!$A$2:$A$722,"&gt;="&amp;77233291100,Данные!$A$2:$A$722,"&lt;="&amp;77233292999)</f>
        <v>0</v>
      </c>
      <c r="R69" s="65" t="n">
        <f aca="false">COUNTIFS(Данные!$B$2:$B$722,31,Данные!$C$2:$C$722,1,Данные!$A$2:$A$722,"&gt;="&amp;77233297000,Данные!$A$2:$A$722,"&lt;="&amp;77233298399)</f>
        <v>0</v>
      </c>
      <c r="S69" s="65" t="n">
        <f aca="false">COUNTIFS(Данные!$B$2:$B$722,31,Данные!$C$2:$C$722,1,Данные!$A$2:$A$722,"&gt;="&amp;77235124000,Данные!$A$2:$A$722,"&lt;="&amp;77235128499)</f>
        <v>0</v>
      </c>
      <c r="T69" s="65" t="n">
        <f aca="false">COUNTIFS(Данные!$B$2:$B$722,31,Данные!$C$2:$C$722,1,Данные!$A$2:$A$722,"&gt;="&amp;77235320000,Данные!$A$2:$A$722,"&lt;="&amp;77235320999)</f>
        <v>19</v>
      </c>
      <c r="U69" s="65" t="n">
        <f aca="false">COUNTIFS(Данные!$B$2:$B$722,31,Данные!$C$2:$C$722,1,Данные!$A$2:$A$722,"&gt;="&amp;77233620000,Данные!$A$2:$A$722,"&lt;="&amp;77233623339)</f>
        <v>0</v>
      </c>
      <c r="V69" s="65" t="n">
        <f aca="false">COUNTIFS(Данные!$B$2:$B$722,31,Данные!$C$2:$C$722,1,Данные!$A$2:$A$722,"&gt;="&amp;77233630000,Данные!$A$2:$A$722,"&lt;="&amp;77233630999)</f>
        <v>0</v>
      </c>
      <c r="W69" s="65" t="n">
        <f aca="false">COUNTIFS(Данные!$B$2:$B$722,31,Данные!$C$2:$C$722,1,Данные!$A$2:$A$722,"&gt;="&amp;77233637000,Данные!$A$2:$A$722,"&lt;="&amp;77233637599)</f>
        <v>0</v>
      </c>
      <c r="X69" s="65" t="n">
        <f aca="false">COUNTIFS(Данные!$B$2:$B$722,31,Данные!$C$2:$C$722,1,Данные!$A$2:$A$722,"&gt;="&amp;77233550000,Данные!$A$2:$A$722,"&lt;="&amp;77233550999)</f>
        <v>0</v>
      </c>
      <c r="Y69" s="65" t="n">
        <f aca="false">COUNTIFS(Данные!$B$2:$B$722,31,Данные!$C$2:$C$722,1,Данные!$A$2:$A$722,"&gt;="&amp;77233554000,Данные!$A$2:$A$722,"&lt;="&amp;77233554999)</f>
        <v>0</v>
      </c>
      <c r="Z69" s="65" t="n">
        <f aca="false">COUNTIFS(Данные!$B$2:$B$722,31,Данные!$C$2:$C$722,1,Данные!$A$2:$A$722,"&gt;="&amp;77233555000,Данные!$A$2:$A$722,"&lt;="&amp;77233556999)</f>
        <v>0</v>
      </c>
      <c r="AA69" s="65" t="n">
        <f aca="false">COUNTIFS(Данные!$B$2:$B$722,31,Данные!$C$2:$C$722,1,Данные!$A$2:$A$722,"&gt;="&amp;77233726000,Данные!$A$2:$A$722,"&lt;="&amp;77233726999)</f>
        <v>0</v>
      </c>
      <c r="AB69" s="65" t="n">
        <f aca="false">COUNTIFS(Данные!$B$2:$B$722,31,Данные!$C$2:$C$722,1,Данные!$A$2:$A$722,"&gt;="&amp;77233820000,Данные!$A$2:$A$722,"&lt;="&amp;77233820999)</f>
        <v>0</v>
      </c>
      <c r="AC69" s="65" t="n">
        <f aca="false">COUNTIFS(Данные!$B$2:$B$722,31,Данные!$C$2:$C$722,1,Данные!$A$2:$A$722,"&gt;="&amp;77233850000,Данные!$A$2:$A$722,"&lt;="&amp;77233850999)</f>
        <v>0</v>
      </c>
      <c r="AD69" s="65" t="n">
        <f aca="false">COUNTIFS(Данные!$B$2:$B$722,31,Данные!$C$2:$C$722,1,Данные!$A$2:$A$722,"&gt;="&amp;77233420000,Данные!$A$2:$A$722,"&lt;="&amp;77233420999)</f>
        <v>0</v>
      </c>
      <c r="AE69" s="65" t="n">
        <f aca="false">COUNTIFS(Данные!$B$2:$B$722,31,Данные!$C$2:$C$722,1,Данные!$A$2:$A$722,"&gt;="&amp;77234740000,Данные!$A$2:$A$722,"&lt;="&amp;77234742999)</f>
        <v>0</v>
      </c>
      <c r="AF69" s="65" t="n">
        <f aca="false">COUNTIFS(Данные!$B$2:$B$722,31,Данные!$C$2:$C$722,1,Данные!$A$2:$A$722,"&gt;="&amp;77234767000,Данные!$A$2:$A$722,"&lt;="&amp;77234767999)</f>
        <v>0</v>
      </c>
      <c r="AG69" s="65" t="n">
        <f aca="false">COUNTIFS(Данные!$B$2:$B$722,31,Данные!$C$2:$C$722,1,Данные!$A$2:$A$722,"&gt;="&amp;77234120000,Данные!$A$2:$A$722,"&lt;="&amp;77234120999)</f>
        <v>0</v>
      </c>
      <c r="AH69" s="65" t="n">
        <f aca="false">COUNTIFS(Данные!$B$2:$B$722,31,Данные!$C$2:$C$722,1,Данные!$A$2:$A$722,"&gt;="&amp;77234127000,Данные!$A$2:$A$722,"&lt;="&amp;77234127999)</f>
        <v>0</v>
      </c>
      <c r="AI69" s="65" t="n">
        <f aca="false">COUNTIFS(Данные!$B$2:$B$722,31,Данные!$C$2:$C$722,1,Данные!$A$2:$A$722,"&gt;="&amp;77234220000,Данные!$A$2:$A$722,"&lt;="&amp;77234220999)</f>
        <v>0</v>
      </c>
      <c r="AJ69" s="65" t="n">
        <f aca="false">COUNTIFS(Данные!$B$2:$B$722,31,Данные!$C$2:$C$722,1,Данные!$A$2:$A$722,"&gt;="&amp;77234250000,Данные!$A$2:$A$722,"&lt;="&amp;77234250999)</f>
        <v>0</v>
      </c>
      <c r="AK69" s="65" t="n">
        <f aca="false">COUNTIFS(Данные!$B$2:$B$722,31,Данные!$C$2:$C$722,1,Данные!$A$2:$A$722,"&gt;="&amp;77233922950,Данные!$A$2:$A$722,"&lt;="&amp;77233924999)</f>
        <v>0</v>
      </c>
      <c r="AL69" s="65" t="n">
        <f aca="false">COUNTIFS(Данные!$B$2:$B$722,31,Данные!$C$2:$C$722,1,Данные!$A$2:$A$722,"&gt;="&amp;77234320000,Данные!$A$2:$A$722,"&lt;="&amp;77234320999)</f>
        <v>0</v>
      </c>
      <c r="AM69" s="65" t="n">
        <f aca="false">COUNTIFS(Данные!$B$2:$B$722,31,Данные!$C$2:$C$722,1,Данные!$A$2:$A$722,"&gt;="&amp;77234350000,Данные!$A$2:$A$722,"&lt;="&amp;77234350999)</f>
        <v>0</v>
      </c>
      <c r="AN69" s="65" t="n">
        <f aca="false">COUNTIFS(Данные!$B$2:$B$722,31,Данные!$C$2:$C$722,1,Данные!$A$2:$A$722,"&gt;="&amp;77234020000,Данные!$A$2:$A$722,"&lt;="&amp;77234020999)</f>
        <v>0</v>
      </c>
      <c r="AO69" s="65" t="n">
        <f aca="false">COUNTIFS(Данные!$B$2:$B$722,31,Данные!$C$2:$C$722,1,Данные!$A$2:$A$722,"&gt;="&amp;77234029000,Данные!$A$2:$A$722,"&lt;="&amp;77234029999)</f>
        <v>0</v>
      </c>
      <c r="AP69" s="65" t="n">
        <f aca="false">COUNTIFS(Данные!$B$2:$B$722,31,Данные!$C$2:$C$722,1,Данные!$A$2:$A$722,"&gt;="&amp;77234050000,Данные!$A$2:$A$722,"&lt;="&amp;77234050999)</f>
        <v>0</v>
      </c>
      <c r="AQ69" s="65" t="n">
        <f aca="false">COUNTIFS(Данные!$B$2:$B$722,31,Данные!$C$2:$C$722,1,Данные!$A$2:$A$722,"&gt;="&amp;77234427000,Данные!$A$2:$A$722,"&lt;="&amp;77234428999)</f>
        <v>0</v>
      </c>
      <c r="AR69" s="65" t="n">
        <f aca="false">COUNTIFS(Данные!$B$2:$B$722,31,Данные!$C$2:$C$722,1,Данные!$A$2:$A$722,"&gt;="&amp;77234450000,Данные!$A$2:$A$722,"&lt;="&amp;77234450999)</f>
        <v>0</v>
      </c>
      <c r="AS69" s="65" t="n">
        <f aca="false">COUNTIFS(Данные!$B$2:$B$722,31,Данные!$C$2:$C$722,1,Данные!$A$2:$A$722,"&gt;="&amp;77234620000,Данные!$A$2:$A$722,"&lt;="&amp;77234620999)</f>
        <v>0</v>
      </c>
      <c r="AT69" s="65" t="n">
        <f aca="false">COUNTIFS(Данные!$B$2:$B$722,31,Данные!$C$2:$C$722,1,Данные!$A$2:$A$722,"&gt;="&amp;77234650000,Данные!$A$2:$A$722,"&lt;="&amp;77234650999)</f>
        <v>0</v>
      </c>
      <c r="AU69" s="65" t="n">
        <f aca="false">COUNTIFS(Данные!$B$2:$B$722,31,Данные!$C$2:$C$722,1,Данные!$A$2:$A$722,"&gt;="&amp;77234820000,Данные!$A$2:$A$722,"&lt;="&amp;77234820999)</f>
        <v>0</v>
      </c>
      <c r="AV69" s="65" t="n">
        <f aca="false">COUNTIFS(Данные!$B$2:$B$722,31,Данные!$C$2:$C$722,1,Данные!$A$2:$A$722,"&gt;="&amp;77234850000,Данные!$A$2:$A$722,"&lt;="&amp;77234850999)</f>
        <v>0</v>
      </c>
      <c r="AW69" s="65" t="n">
        <f aca="false">COUNTIFS(Данные!$B$2:$B$722,31,Данные!$C$2:$C$722,1,Данные!$A$2:$A$722,"&gt;="&amp;77233327000,Данные!$A$2:$A$722,"&lt;="&amp;77233327999)</f>
        <v>0</v>
      </c>
      <c r="AX69" s="65" t="n">
        <f aca="false">COUNTIFS(Данные!$B$2:$B$722,31,Данные!$C$2:$C$722,1,Данные!$A$2:$A$722,"&gt;="&amp;77233350000,Данные!$A$2:$A$722,"&lt;="&amp;77233350599)</f>
        <v>0</v>
      </c>
      <c r="AY69" s="65" t="n">
        <f aca="false">COUNTIFS(Данные!$B$2:$B$722,31,Данные!$C$2:$C$722,1,Данные!$A$2:$A$722,"&gt;="&amp;77233351000,Данные!$A$2:$A$722,"&lt;="&amp;77233351999)</f>
        <v>0</v>
      </c>
      <c r="AZ69" s="66" t="n">
        <f aca="false">COUNTIFS(Данные!$B$2:$B$722,31,Данные!$C$2:$C$722,1,Данные!$A$2:$A$722,"&gt;="&amp;7722440000,Данные!$A$2:$A$722,"&lt;="&amp;7722440999)</f>
        <v>0</v>
      </c>
      <c r="BA69" s="66" t="n">
        <f aca="false">COUNTIFS(Данные!$B$2:$B$722,31,Данные!$C$2:$C$722,1,Данные!$A$2:$A$722,"&gt;="&amp;7722442000,Данные!$A$2:$A$722,"&lt;="&amp;7722445659)</f>
        <v>0</v>
      </c>
      <c r="BB69" s="66" t="n">
        <f aca="false">COUNTIFS(Данные!$B$2:$B$722,31,Данные!$C$2:$C$722,1,Данные!$A$2:$A$722,"&gt;="&amp;7722450000,Данные!$A$2:$A$722,"&lt;="&amp;7722450199)</f>
        <v>0</v>
      </c>
      <c r="BC69" s="66" t="n">
        <f aca="false">COUNTIFS(Данные!$B$2:$B$722,31,Данные!$C$2:$C$722,1,Данные!$A$2:$A$722,"&gt;="&amp;7722451000,Данные!$A$2:$A$722,"&lt;="&amp;7722451374)</f>
        <v>0</v>
      </c>
      <c r="BD69" s="66" t="n">
        <f aca="false">COUNTIFS(Данные!$B$2:$B$722,31,Данные!$C$2:$C$722,1,Данные!$A$2:$A$722,"&gt;="&amp;7722452000,Данные!$A$2:$A$722,"&lt;="&amp;7722452299)</f>
        <v>0</v>
      </c>
      <c r="BE69" s="66" t="n">
        <f aca="false">COUNTIFS(Данные!$B$2:$B$722,31,Данные!$C$2:$C$722,1,Данные!$A$2:$A$722,"&gt;="&amp;7722453000,Данные!$A$2:$A$722,"&lt;="&amp;7722453816)</f>
        <v>0</v>
      </c>
      <c r="BF69" s="66" t="n">
        <f aca="false">COUNTIFS(Данные!$B$2:$B$722,31,Данные!$C$2:$C$722,1,Данные!$A$2:$A$722,"&gt;="&amp;7722454000,Данные!$A$2:$A$722,"&lt;="&amp;7722454099)</f>
        <v>0</v>
      </c>
      <c r="BG69" s="66" t="n">
        <f aca="false">COUNTIFS(Данные!$B$2:$B$722,31,Данные!$C$2:$C$722,1,Данные!$A$2:$A$722,"&gt;="&amp;7722458000,Данные!$A$2:$A$722,"&lt;="&amp;7722458999)</f>
        <v>0</v>
      </c>
      <c r="BH69" s="66" t="n">
        <f aca="false">COUNTIFS(Данные!$B$2:$B$722,31,Данные!$C$2:$C$722,1,Данные!$A$2:$A$722,"&gt;="&amp;7722630000,Данные!$A$2:$A$722,"&lt;="&amp;7722638549)</f>
        <v>0</v>
      </c>
      <c r="BI69" s="66" t="n">
        <f aca="false">COUNTIFS(Данные!$B$2:$B$722,31,Данные!$C$2:$C$722,1,Данные!$A$2:$A$722,"&gt;="&amp;7722639400,Данные!$A$2:$A$722,"&lt;="&amp;7722639899)</f>
        <v>0</v>
      </c>
      <c r="BJ69" s="66" t="n">
        <f aca="false">COUNTIFS(Данные!$B$2:$B$722,31,Данные!$C$2:$C$722,1,Данные!$A$2:$A$722,"&gt;="&amp;7725750000,Данные!$A$2:$A$722,"&lt;="&amp;7725750399)</f>
        <v>0</v>
      </c>
      <c r="BK69" s="66" t="n">
        <f aca="false">COUNTIFS(Данные!$B$2:$B$722,31,Данные!$C$2:$C$722,1,Данные!$A$2:$A$722,"&gt;="&amp;7723620000,Данные!$A$2:$A$722,"&lt;="&amp;7723621299)</f>
        <v>0</v>
      </c>
      <c r="BL69" s="66" t="n">
        <f aca="false">COUNTIFS(Данные!$B$2:$B$722,31,Данные!$C$2:$C$722,1,Данные!$A$2:$A$722,"&gt;="&amp;7723621600,Данные!$A$2:$A$722,"&lt;="&amp;7723623399)</f>
        <v>0</v>
      </c>
      <c r="BM69" s="66" t="n">
        <f aca="false">COUNTIFS(Данные!$B$2:$B$722,31,Данные!$C$2:$C$722,1,Данные!$A$2:$A$722,"&gt;="&amp;7725127000,Данные!$A$2:$A$722,"&lt;="&amp;7725127999)</f>
        <v>0</v>
      </c>
      <c r="BN69" s="66" t="n">
        <f aca="false">COUNTIFS(Данные!$B$2:$B$722,31,Данные!$C$2:$C$722,1,Данные!$A$2:$A$722,"&gt;="&amp;7723772000,Данные!$A$2:$A$722,"&lt;="&amp;7723724999)</f>
        <v>0</v>
      </c>
      <c r="BO69" s="65" t="n">
        <f aca="false">COUNTIFS(Данные!$B$2:$B$722,31,Данные!$C$2:$C$722,1,Данные!$A$2:$A$722,"&gt;="&amp;7723765000,Данные!$A$2:$A$722,"&lt;="&amp;7723765499)</f>
        <v>0</v>
      </c>
      <c r="BP69" s="66" t="n">
        <f aca="false">COUNTIFS(Данные!$B$2:$B$722,31,Данные!$C$2:$C$722,1,Данные!$A$2:$A$722,"&gt;="&amp;7723948000,Данные!$A$2:$A$722,"&lt;="&amp;7723948999)</f>
        <v>0</v>
      </c>
      <c r="BQ69" s="66" t="n">
        <f aca="false">COUNTIFS(Данные!$B$2:$B$722,31,Данные!$C$2:$C$722,1,Данные!$A$2:$A$722,"&gt;="&amp;7723950000,Данные!$A$2:$A$722,"&lt;="&amp;7723951099)</f>
        <v>0</v>
      </c>
      <c r="BR69" s="66" t="n">
        <f aca="false">COUNTIFS(Данные!$B$2:$B$722,31,Данные!$C$2:$C$722,1,Данные!$A$2:$A$722,"&gt;="&amp;7723020000,Данные!$A$2:$A$722,"&lt;="&amp;7723020999)</f>
        <v>0</v>
      </c>
      <c r="BS69" s="66" t="n">
        <f aca="false">COUNTIFS(Данные!$B$2:$B$722,31,Данные!$C$2:$C$722,1,Данные!$A$2:$A$722,"&gt;="&amp;7723029000,Данные!$A$2:$A$722,"&lt;="&amp;7723029999)</f>
        <v>0</v>
      </c>
      <c r="BT69" s="66" t="n">
        <f aca="false">COUNTIFS(Данные!$B$2:$B$722,31,Данные!$C$2:$C$722,1,Данные!$A$2:$A$722,"&gt;="&amp;7723055000,Данные!$A$2:$A$722,"&lt;="&amp;7723056549)</f>
        <v>0</v>
      </c>
      <c r="BU69" s="65" t="n">
        <f aca="false">COUNTIFS(Данные!$B$2:$B$722,31,Данные!$C$2:$C$722,1,Данные!$A$2:$A$722,"&gt;="&amp;7725250000,Данные!$A$2:$A$722,"&lt;="&amp;7725250499)</f>
        <v>0</v>
      </c>
      <c r="BV69" s="66" t="n">
        <f aca="false">COUNTIFS(Данные!$B$2:$B$722,31,Данные!$C$2:$C$722,1,Данные!$A$2:$A$722,"&gt;="&amp;7183841400,Данные!$A$2:$A$722,"&lt;="&amp;7183841499)</f>
        <v>0</v>
      </c>
      <c r="BW69" s="49" t="n">
        <v>300</v>
      </c>
      <c r="BX69" s="67" t="n">
        <f aca="false">F69-BW69</f>
        <v>-279</v>
      </c>
    </row>
    <row r="70" s="15" customFormat="true" ht="12" hidden="false" customHeight="true" outlineLevel="0" collapsed="false">
      <c r="A70" s="47"/>
      <c r="B70" s="48"/>
      <c r="C70" s="50" t="n">
        <v>2</v>
      </c>
      <c r="D70" s="50" t="n">
        <v>312</v>
      </c>
      <c r="E70" s="51"/>
      <c r="F70" s="65" t="n">
        <f aca="false">COUNTIFS(Данные!$B$2:$B$722,31,Данные!$C$2:$C$722,2)</f>
        <v>4</v>
      </c>
      <c r="G70" s="65" t="n">
        <f aca="false">COUNTIFS(Данные!$B$2:$B$722,31,Данные!$C$2:$C$722,2,Данные!$A$2:$A$722,"&gt;="&amp;77232210840,Данные!$A$2:$A$722,"&lt;="&amp;77232216999)</f>
        <v>0</v>
      </c>
      <c r="H70" s="65" t="n">
        <f aca="false">COUNTIFS(Данные!$B$2:$B$722,31,Данные!$C$2:$C$722,2,Данные!$A$2:$A$722,"&gt;="&amp;77232510512,Данные!$A$2:$A$722,"&lt;="&amp;77232519487)</f>
        <v>0</v>
      </c>
      <c r="I70" s="65" t="n">
        <f aca="false">COUNTIFS(Данные!$B$2:$B$722,31,Данные!$C$2:$C$722,2,Данные!$A$2:$A$722,"&gt;="&amp;77232524160,Данные!$A$2:$A$722,"&lt;="&amp;77232529999)</f>
        <v>0</v>
      </c>
      <c r="J70" s="65" t="n">
        <f aca="false">COUNTIFS(Данные!$B$2:$B$722,31,Данные!$C$2:$C$722,2,Данные!$A$2:$A$722,"&gt;="&amp;77232544000,Данные!$A$2:$A$722,"&lt;="&amp;77232544999)</f>
        <v>0</v>
      </c>
      <c r="K70" s="65" t="n">
        <f aca="false">COUNTIFS(Данные!$B$2:$B$722,31,Данные!$C$2:$C$722,2,Данные!$A$2:$A$722,"&gt;="&amp;77232295504,Данные!$A$2:$A$722,"&lt;="&amp;77232296999)</f>
        <v>0</v>
      </c>
      <c r="L70" s="65" t="n">
        <f aca="false">COUNTIFS(Данные!$B$2:$B$722,31,Данные!$C$2:$C$722,2,Данные!$A$2:$A$722,"&gt;="&amp;77232785000,Данные!$A$2:$A$722,"&lt;="&amp;77232789999)</f>
        <v>0</v>
      </c>
      <c r="M70" s="65" t="n">
        <f aca="false">COUNTIFS(Данные!$B$2:$B$722,31,Данные!$C$2:$C$722,2,Данные!$A$2:$A$722,"&gt;="&amp;77233150000,Данные!$A$2:$A$722,"&lt;="&amp;77233155999)</f>
        <v>0</v>
      </c>
      <c r="N70" s="65" t="n">
        <f aca="false">COUNTIFS(Данные!$B$2:$B$722,31,Данные!$C$2:$C$722,2,Данные!$A$2:$A$722,"&gt;="&amp;77233235000,Данные!$A$2:$A$722,"&lt;="&amp;77233235999)</f>
        <v>0</v>
      </c>
      <c r="O70" s="65" t="n">
        <f aca="false">COUNTIFS(Данные!$B$2:$B$722,31,Данные!$C$2:$C$722,2,Данные!$A$2:$A$722,"&gt;="&amp;77233239000,Данные!$A$2:$A$722,"&lt;="&amp;77233239999)</f>
        <v>0</v>
      </c>
      <c r="P70" s="65" t="n">
        <f aca="false">COUNTIFS(Данные!$B$2:$B$722,31,Данные!$C$2:$C$722,2,Данные!$A$2:$A$722,"&gt;="&amp;77233272000,Данные!$A$2:$A$722,"&lt;="&amp;77233272999)</f>
        <v>0</v>
      </c>
      <c r="Q70" s="65" t="n">
        <f aca="false">COUNTIFS(Данные!$B$2:$B$722,31,Данные!$C$2:$C$722,2,Данные!$A$2:$A$722,"&gt;="&amp;77233291100,Данные!$A$2:$A$722,"&lt;="&amp;77233292999)</f>
        <v>0</v>
      </c>
      <c r="R70" s="65" t="n">
        <f aca="false">COUNTIFS(Данные!$B$2:$B$722,31,Данные!$C$2:$C$722,2,Данные!$A$2:$A$722,"&gt;="&amp;77233297000,Данные!$A$2:$A$722,"&lt;="&amp;77233298399)</f>
        <v>0</v>
      </c>
      <c r="S70" s="65" t="n">
        <f aca="false">COUNTIFS(Данные!$B$2:$B$722,31,Данные!$C$2:$C$722,2,Данные!$A$2:$A$722,"&gt;="&amp;77235124000,Данные!$A$2:$A$722,"&lt;="&amp;77235128499)</f>
        <v>0</v>
      </c>
      <c r="T70" s="65" t="n">
        <f aca="false">COUNTIFS(Данные!$B$2:$B$722,31,Данные!$C$2:$C$722,2,Данные!$A$2:$A$722,"&gt;="&amp;77235320000,Данные!$A$2:$A$722,"&lt;="&amp;77235320999)</f>
        <v>4</v>
      </c>
      <c r="U70" s="65" t="n">
        <f aca="false">COUNTIFS(Данные!$B$2:$B$722,31,Данные!$C$2:$C$722,2,Данные!$A$2:$A$722,"&gt;="&amp;77233620000,Данные!$A$2:$A$722,"&lt;="&amp;77233623339)</f>
        <v>0</v>
      </c>
      <c r="V70" s="65" t="n">
        <f aca="false">COUNTIFS(Данные!$B$2:$B$722,31,Данные!$C$2:$C$722,2,Данные!$A$2:$A$722,"&gt;="&amp;77233630000,Данные!$A$2:$A$722,"&lt;="&amp;77233630999)</f>
        <v>0</v>
      </c>
      <c r="W70" s="65" t="n">
        <f aca="false">COUNTIFS(Данные!$B$2:$B$722,31,Данные!$C$2:$C$722,2,Данные!$A$2:$A$722,"&gt;="&amp;77233637000,Данные!$A$2:$A$722,"&lt;="&amp;77233637599)</f>
        <v>0</v>
      </c>
      <c r="X70" s="65" t="n">
        <f aca="false">COUNTIFS(Данные!$B$2:$B$722,31,Данные!$C$2:$C$722,2,Данные!$A$2:$A$722,"&gt;="&amp;77233550000,Данные!$A$2:$A$722,"&lt;="&amp;77233550999)</f>
        <v>0</v>
      </c>
      <c r="Y70" s="65" t="n">
        <f aca="false">COUNTIFS(Данные!$B$2:$B$722,31,Данные!$C$2:$C$722,2,Данные!$A$2:$A$722,"&gt;="&amp;77233554000,Данные!$A$2:$A$722,"&lt;="&amp;77233554999)</f>
        <v>0</v>
      </c>
      <c r="Z70" s="65" t="n">
        <f aca="false">COUNTIFS(Данные!$B$2:$B$722,31,Данные!$C$2:$C$722,2,Данные!$A$2:$A$722,"&gt;="&amp;77233555000,Данные!$A$2:$A$722,"&lt;="&amp;77233556999)</f>
        <v>0</v>
      </c>
      <c r="AA70" s="65" t="n">
        <f aca="false">COUNTIFS(Данные!$B$2:$B$722,31,Данные!$C$2:$C$722,2,Данные!$A$2:$A$722,"&gt;="&amp;77233726000,Данные!$A$2:$A$722,"&lt;="&amp;77233726999)</f>
        <v>0</v>
      </c>
      <c r="AB70" s="65" t="n">
        <f aca="false">COUNTIFS(Данные!$B$2:$B$722,31,Данные!$C$2:$C$722,2,Данные!$A$2:$A$722,"&gt;="&amp;77233820000,Данные!$A$2:$A$722,"&lt;="&amp;77233820999)</f>
        <v>0</v>
      </c>
      <c r="AC70" s="65" t="n">
        <f aca="false">COUNTIFS(Данные!$B$2:$B$722,31,Данные!$C$2:$C$722,2,Данные!$A$2:$A$722,"&gt;="&amp;77233850000,Данные!$A$2:$A$722,"&lt;="&amp;77233850999)</f>
        <v>0</v>
      </c>
      <c r="AD70" s="65" t="n">
        <f aca="false">COUNTIFS(Данные!$B$2:$B$722,31,Данные!$C$2:$C$722,2,Данные!$A$2:$A$722,"&gt;="&amp;77233420000,Данные!$A$2:$A$722,"&lt;="&amp;77233420999)</f>
        <v>0</v>
      </c>
      <c r="AE70" s="65" t="n">
        <f aca="false">COUNTIFS(Данные!$B$2:$B$722,31,Данные!$C$2:$C$722,2,Данные!$A$2:$A$722,"&gt;="&amp;77234740000,Данные!$A$2:$A$722,"&lt;="&amp;77234742999)</f>
        <v>0</v>
      </c>
      <c r="AF70" s="65" t="n">
        <f aca="false">COUNTIFS(Данные!$B$2:$B$722,31,Данные!$C$2:$C$722,2,Данные!$A$2:$A$722,"&gt;="&amp;77234767000,Данные!$A$2:$A$722,"&lt;="&amp;77234767999)</f>
        <v>0</v>
      </c>
      <c r="AG70" s="65" t="n">
        <f aca="false">COUNTIFS(Данные!$B$2:$B$722,31,Данные!$C$2:$C$722,2,Данные!$A$2:$A$722,"&gt;="&amp;77234120000,Данные!$A$2:$A$722,"&lt;="&amp;77234120999)</f>
        <v>0</v>
      </c>
      <c r="AH70" s="65" t="n">
        <f aca="false">COUNTIFS(Данные!$B$2:$B$722,31,Данные!$C$2:$C$722,2,Данные!$A$2:$A$722,"&gt;="&amp;77234127000,Данные!$A$2:$A$722,"&lt;="&amp;77234127999)</f>
        <v>0</v>
      </c>
      <c r="AI70" s="65" t="n">
        <f aca="false">COUNTIFS(Данные!$B$2:$B$722,31,Данные!$C$2:$C$722,2,Данные!$A$2:$A$722,"&gt;="&amp;77234220000,Данные!$A$2:$A$722,"&lt;="&amp;77234220999)</f>
        <v>0</v>
      </c>
      <c r="AJ70" s="65" t="n">
        <f aca="false">COUNTIFS(Данные!$B$2:$B$722,31,Данные!$C$2:$C$722,2,Данные!$A$2:$A$722,"&gt;="&amp;77234250000,Данные!$A$2:$A$722,"&lt;="&amp;77234250999)</f>
        <v>0</v>
      </c>
      <c r="AK70" s="65" t="n">
        <f aca="false">COUNTIFS(Данные!$B$2:$B$722,31,Данные!$C$2:$C$722,2,Данные!$A$2:$A$722,"&gt;="&amp;77233922950,Данные!$A$2:$A$722,"&lt;="&amp;77233924999)</f>
        <v>0</v>
      </c>
      <c r="AL70" s="65" t="n">
        <f aca="false">COUNTIFS(Данные!$B$2:$B$722,31,Данные!$C$2:$C$722,2,Данные!$A$2:$A$722,"&gt;="&amp;77234320000,Данные!$A$2:$A$722,"&lt;="&amp;77234320999)</f>
        <v>0</v>
      </c>
      <c r="AM70" s="65" t="n">
        <f aca="false">COUNTIFS(Данные!$B$2:$B$722,31,Данные!$C$2:$C$722,2,Данные!$A$2:$A$722,"&gt;="&amp;77234350000,Данные!$A$2:$A$722,"&lt;="&amp;77234350999)</f>
        <v>0</v>
      </c>
      <c r="AN70" s="65" t="n">
        <f aca="false">COUNTIFS(Данные!$B$2:$B$722,31,Данные!$C$2:$C$722,2,Данные!$A$2:$A$722,"&gt;="&amp;77234020000,Данные!$A$2:$A$722,"&lt;="&amp;77234020999)</f>
        <v>0</v>
      </c>
      <c r="AO70" s="65" t="n">
        <f aca="false">COUNTIFS(Данные!$B$2:$B$722,31,Данные!$C$2:$C$722,2,Данные!$A$2:$A$722,"&gt;="&amp;77234029000,Данные!$A$2:$A$722,"&lt;="&amp;77234029999)</f>
        <v>0</v>
      </c>
      <c r="AP70" s="65" t="n">
        <f aca="false">COUNTIFS(Данные!$B$2:$B$722,31,Данные!$C$2:$C$722,2,Данные!$A$2:$A$722,"&gt;="&amp;77234050000,Данные!$A$2:$A$722,"&lt;="&amp;77234050999)</f>
        <v>0</v>
      </c>
      <c r="AQ70" s="65" t="n">
        <f aca="false">COUNTIFS(Данные!$B$2:$B$722,31,Данные!$C$2:$C$722,2,Данные!$A$2:$A$722,"&gt;="&amp;77234427000,Данные!$A$2:$A$722,"&lt;="&amp;77234428999)</f>
        <v>0</v>
      </c>
      <c r="AR70" s="65" t="n">
        <f aca="false">COUNTIFS(Данные!$B$2:$B$722,31,Данные!$C$2:$C$722,2,Данные!$A$2:$A$722,"&gt;="&amp;77234450000,Данные!$A$2:$A$722,"&lt;="&amp;77234450999)</f>
        <v>0</v>
      </c>
      <c r="AS70" s="65" t="n">
        <f aca="false">COUNTIFS(Данные!$B$2:$B$722,31,Данные!$C$2:$C$722,2,Данные!$A$2:$A$722,"&gt;="&amp;77234620000,Данные!$A$2:$A$722,"&lt;="&amp;77234620999)</f>
        <v>0</v>
      </c>
      <c r="AT70" s="65" t="n">
        <f aca="false">COUNTIFS(Данные!$B$2:$B$722,31,Данные!$C$2:$C$722,2,Данные!$A$2:$A$722,"&gt;="&amp;77234650000,Данные!$A$2:$A$722,"&lt;="&amp;77234650999)</f>
        <v>0</v>
      </c>
      <c r="AU70" s="65" t="n">
        <f aca="false">COUNTIFS(Данные!$B$2:$B$722,31,Данные!$C$2:$C$722,2,Данные!$A$2:$A$722,"&gt;="&amp;77234820000,Данные!$A$2:$A$722,"&lt;="&amp;77234820999)</f>
        <v>0</v>
      </c>
      <c r="AV70" s="65" t="n">
        <f aca="false">COUNTIFS(Данные!$B$2:$B$722,31,Данные!$C$2:$C$722,2,Данные!$A$2:$A$722,"&gt;="&amp;77234850000,Данные!$A$2:$A$722,"&lt;="&amp;77234850999)</f>
        <v>0</v>
      </c>
      <c r="AW70" s="65" t="n">
        <f aca="false">COUNTIFS(Данные!$B$2:$B$722,31,Данные!$C$2:$C$722,2,Данные!$A$2:$A$722,"&gt;="&amp;77233327000,Данные!$A$2:$A$722,"&lt;="&amp;77233327999)</f>
        <v>0</v>
      </c>
      <c r="AX70" s="65" t="n">
        <f aca="false">COUNTIFS(Данные!$B$2:$B$722,31,Данные!$C$2:$C$722,2,Данные!$A$2:$A$722,"&gt;="&amp;77233350000,Данные!$A$2:$A$722,"&lt;="&amp;77233350599)</f>
        <v>0</v>
      </c>
      <c r="AY70" s="65" t="n">
        <f aca="false">COUNTIFS(Данные!$B$2:$B$722,31,Данные!$C$2:$C$722,2,Данные!$A$2:$A$722,"&gt;="&amp;77233351000,Данные!$A$2:$A$722,"&lt;="&amp;77233351999)</f>
        <v>0</v>
      </c>
      <c r="AZ70" s="66" t="n">
        <f aca="false">COUNTIFS(Данные!$B$2:$B$722,31,Данные!$C$2:$C$722,2,Данные!$A$2:$A$722,"&gt;="&amp;7722440000,Данные!$A$2:$A$722,"&lt;="&amp;7722440999)</f>
        <v>0</v>
      </c>
      <c r="BA70" s="66" t="n">
        <f aca="false">COUNTIFS(Данные!$B$2:$B$722,31,Данные!$C$2:$C$722,2,Данные!$A$2:$A$722,"&gt;="&amp;7722442000,Данные!$A$2:$A$722,"&lt;="&amp;7722445659)</f>
        <v>0</v>
      </c>
      <c r="BB70" s="66" t="n">
        <f aca="false">COUNTIFS(Данные!$B$2:$B$722,31,Данные!$C$2:$C$722,2,Данные!$A$2:$A$722,"&gt;="&amp;7722450000,Данные!$A$2:$A$722,"&lt;="&amp;7722450199)</f>
        <v>0</v>
      </c>
      <c r="BC70" s="66" t="n">
        <f aca="false">COUNTIFS(Данные!$B$2:$B$722,31,Данные!$C$2:$C$722,2,Данные!$A$2:$A$722,"&gt;="&amp;7722451000,Данные!$A$2:$A$722,"&lt;="&amp;7722451374)</f>
        <v>0</v>
      </c>
      <c r="BD70" s="66" t="n">
        <f aca="false">COUNTIFS(Данные!$B$2:$B$722,31,Данные!$C$2:$C$722,2,Данные!$A$2:$A$722,"&gt;="&amp;7722452000,Данные!$A$2:$A$722,"&lt;="&amp;7722452299)</f>
        <v>0</v>
      </c>
      <c r="BE70" s="66" t="n">
        <f aca="false">COUNTIFS(Данные!$B$2:$B$722,31,Данные!$C$2:$C$722,2,Данные!$A$2:$A$722,"&gt;="&amp;7722453000,Данные!$A$2:$A$722,"&lt;="&amp;7722453816)</f>
        <v>0</v>
      </c>
      <c r="BF70" s="66" t="n">
        <f aca="false">COUNTIFS(Данные!$B$2:$B$722,31,Данные!$C$2:$C$722,2,Данные!$A$2:$A$722,"&gt;="&amp;7722454000,Данные!$A$2:$A$722,"&lt;="&amp;7722454099)</f>
        <v>0</v>
      </c>
      <c r="BG70" s="66" t="n">
        <f aca="false">COUNTIFS(Данные!$B$2:$B$722,31,Данные!$C$2:$C$722,2,Данные!$A$2:$A$722,"&gt;="&amp;7722458000,Данные!$A$2:$A$722,"&lt;="&amp;7722458999)</f>
        <v>0</v>
      </c>
      <c r="BH70" s="66" t="n">
        <f aca="false">COUNTIFS(Данные!$B$2:$B$722,31,Данные!$C$2:$C$722,2,Данные!$A$2:$A$722,"&gt;="&amp;7722630000,Данные!$A$2:$A$722,"&lt;="&amp;7722638549)</f>
        <v>0</v>
      </c>
      <c r="BI70" s="66" t="n">
        <f aca="false">COUNTIFS(Данные!$B$2:$B$722,31,Данные!$C$2:$C$722,2,Данные!$A$2:$A$722,"&gt;="&amp;7722639400,Данные!$A$2:$A$722,"&lt;="&amp;7722639899)</f>
        <v>0</v>
      </c>
      <c r="BJ70" s="66" t="n">
        <f aca="false">COUNTIFS(Данные!$B$2:$B$722,31,Данные!$C$2:$C$722,2,Данные!$A$2:$A$722,"&gt;="&amp;7725750000,Данные!$A$2:$A$722,"&lt;="&amp;7725750399)</f>
        <v>0</v>
      </c>
      <c r="BK70" s="66" t="n">
        <f aca="false">COUNTIFS(Данные!$B$2:$B$722,31,Данные!$C$2:$C$722,2,Данные!$A$2:$A$722,"&gt;="&amp;7723620000,Данные!$A$2:$A$722,"&lt;="&amp;7723621299)</f>
        <v>0</v>
      </c>
      <c r="BL70" s="66" t="n">
        <f aca="false">COUNTIFS(Данные!$B$2:$B$722,31,Данные!$C$2:$C$722,2,Данные!$A$2:$A$722,"&gt;="&amp;7723621600,Данные!$A$2:$A$722,"&lt;="&amp;7723623399)</f>
        <v>0</v>
      </c>
      <c r="BM70" s="66" t="n">
        <f aca="false">COUNTIFS(Данные!$B$2:$B$722,31,Данные!$C$2:$C$722,2,Данные!$A$2:$A$722,"&gt;="&amp;7725127000,Данные!$A$2:$A$722,"&lt;="&amp;7725127999)</f>
        <v>0</v>
      </c>
      <c r="BN70" s="66" t="n">
        <f aca="false">COUNTIFS(Данные!$B$2:$B$722,31,Данные!$C$2:$C$722,2,Данные!$A$2:$A$722,"&gt;="&amp;7723772000,Данные!$A$2:$A$722,"&lt;="&amp;7723724999)</f>
        <v>0</v>
      </c>
      <c r="BO70" s="65" t="n">
        <f aca="false">COUNTIFS(Данные!$B$2:$B$722,31,Данные!$C$2:$C$722,2,Данные!$A$2:$A$722,"&gt;="&amp;7723765000,Данные!$A$2:$A$722,"&lt;="&amp;7723765499)</f>
        <v>0</v>
      </c>
      <c r="BP70" s="66" t="n">
        <f aca="false">COUNTIFS(Данные!$B$2:$B$722,31,Данные!$C$2:$C$722,2,Данные!$A$2:$A$722,"&gt;="&amp;7723948000,Данные!$A$2:$A$722,"&lt;="&amp;7723948999)</f>
        <v>0</v>
      </c>
      <c r="BQ70" s="66" t="n">
        <f aca="false">COUNTIFS(Данные!$B$2:$B$722,31,Данные!$C$2:$C$722,2,Данные!$A$2:$A$722,"&gt;="&amp;7723950000,Данные!$A$2:$A$722,"&lt;="&amp;7723951099)</f>
        <v>0</v>
      </c>
      <c r="BR70" s="66" t="n">
        <f aca="false">COUNTIFS(Данные!$B$2:$B$722,31,Данные!$C$2:$C$722,2,Данные!$A$2:$A$722,"&gt;="&amp;7723020000,Данные!$A$2:$A$722,"&lt;="&amp;7723020999)</f>
        <v>0</v>
      </c>
      <c r="BS70" s="66" t="n">
        <f aca="false">COUNTIFS(Данные!$B$2:$B$722,31,Данные!$C$2:$C$722,2,Данные!$A$2:$A$722,"&gt;="&amp;7723029000,Данные!$A$2:$A$722,"&lt;="&amp;7723029999)</f>
        <v>0</v>
      </c>
      <c r="BT70" s="66" t="n">
        <f aca="false">COUNTIFS(Данные!$B$2:$B$722,31,Данные!$C$2:$C$722,2,Данные!$A$2:$A$722,"&gt;="&amp;7723055000,Данные!$A$2:$A$722,"&lt;="&amp;7723056549)</f>
        <v>0</v>
      </c>
      <c r="BU70" s="65" t="n">
        <f aca="false">COUNTIFS(Данные!$B$2:$B$722,31,Данные!$C$2:$C$722,2,Данные!$A$2:$A$722,"&gt;="&amp;7725250000,Данные!$A$2:$A$722,"&lt;="&amp;7725250499)</f>
        <v>0</v>
      </c>
      <c r="BV70" s="66" t="n">
        <f aca="false">COUNTIFS(Данные!$B$2:$B$722,31,Данные!$C$2:$C$722,2,Данные!$A$2:$A$722,"&gt;="&amp;7183841400,Данные!$A$2:$A$722,"&lt;="&amp;7183841499)</f>
        <v>0</v>
      </c>
      <c r="BW70" s="49" t="n">
        <v>300</v>
      </c>
      <c r="BX70" s="67" t="n">
        <f aca="false">F70-BW70</f>
        <v>-296</v>
      </c>
    </row>
    <row r="71" s="15" customFormat="true" ht="12" hidden="false" customHeight="true" outlineLevel="0" collapsed="false">
      <c r="A71" s="38" t="n">
        <v>32</v>
      </c>
      <c r="B71" s="39" t="s">
        <v>83</v>
      </c>
      <c r="C71" s="41" t="n">
        <v>0</v>
      </c>
      <c r="D71" s="41" t="n">
        <v>320</v>
      </c>
      <c r="E71" s="42" t="n">
        <f aca="false">SUM(F71:F73)</f>
        <v>33</v>
      </c>
      <c r="F71" s="62" t="n">
        <f aca="false">COUNTIFS(Данные!$B$2:$B$722,32,Данные!$C$2:$C$722,0)</f>
        <v>2</v>
      </c>
      <c r="G71" s="62" t="n">
        <f aca="false">COUNTIFS(Данные!$B$2:$B$722,32,Данные!$C$2:$C$722,0,Данные!$A$2:$A$722,"&gt;="&amp;77232210840,Данные!$A$2:$A$722,"&lt;="&amp;77232216999)</f>
        <v>0</v>
      </c>
      <c r="H71" s="62" t="n">
        <f aca="false">COUNTIFS(Данные!$B$2:$B$722,32,Данные!$C$2:$C$722,0,Данные!$A$2:$A$722,"&gt;="&amp;77232510512,Данные!$A$2:$A$722,"&lt;="&amp;77232519487)</f>
        <v>0</v>
      </c>
      <c r="I71" s="62" t="n">
        <f aca="false">COUNTIFS(Данные!$B$2:$B$722,32,Данные!$C$2:$C$722,0,Данные!$A$2:$A$722,"&gt;="&amp;77232524160,Данные!$A$2:$A$722,"&lt;="&amp;77232529999)</f>
        <v>0</v>
      </c>
      <c r="J71" s="62" t="n">
        <f aca="false">COUNTIFS(Данные!$B$2:$B$722,32,Данные!$C$2:$C$722,0,Данные!$A$2:$A$722,"&gt;="&amp;77232544000,Данные!$A$2:$A$722,"&lt;="&amp;77232544999)</f>
        <v>0</v>
      </c>
      <c r="K71" s="62" t="n">
        <f aca="false">COUNTIFS(Данные!$B$2:$B$722,32,Данные!$C$2:$C$722,0,Данные!$A$2:$A$722,"&gt;="&amp;77232295504,Данные!$A$2:$A$722,"&lt;="&amp;77232296999)</f>
        <v>0</v>
      </c>
      <c r="L71" s="62" t="n">
        <f aca="false">COUNTIFS(Данные!$B$2:$B$722,32,Данные!$C$2:$C$722,0,Данные!$A$2:$A$722,"&gt;="&amp;77232785000,Данные!$A$2:$A$722,"&lt;="&amp;77232789999)</f>
        <v>0</v>
      </c>
      <c r="M71" s="62" t="n">
        <f aca="false">COUNTIFS(Данные!$B$2:$B$722,32,Данные!$C$2:$C$722,0,Данные!$A$2:$A$722,"&gt;="&amp;77233150000,Данные!$A$2:$A$722,"&lt;="&amp;77233155999)</f>
        <v>0</v>
      </c>
      <c r="N71" s="62" t="n">
        <f aca="false">COUNTIFS(Данные!$B$2:$B$722,32,Данные!$C$2:$C$722,0,Данные!$A$2:$A$722,"&gt;="&amp;77233235000,Данные!$A$2:$A$722,"&lt;="&amp;77233235999)</f>
        <v>0</v>
      </c>
      <c r="O71" s="62" t="n">
        <f aca="false">COUNTIFS(Данные!$B$2:$B$722,32,Данные!$C$2:$C$722,0,Данные!$A$2:$A$722,"&gt;="&amp;77233239000,Данные!$A$2:$A$722,"&lt;="&amp;77233239999)</f>
        <v>0</v>
      </c>
      <c r="P71" s="62" t="n">
        <f aca="false">COUNTIFS(Данные!$B$2:$B$722,32,Данные!$C$2:$C$722,0,Данные!$A$2:$A$722,"&gt;="&amp;77233272000,Данные!$A$2:$A$722,"&lt;="&amp;77233272999)</f>
        <v>0</v>
      </c>
      <c r="Q71" s="62" t="n">
        <f aca="false">COUNTIFS(Данные!$B$2:$B$722,32,Данные!$C$2:$C$722,0,Данные!$A$2:$A$722,"&gt;="&amp;77233291100,Данные!$A$2:$A$722,"&lt;="&amp;77233292999)</f>
        <v>0</v>
      </c>
      <c r="R71" s="62" t="n">
        <f aca="false">COUNTIFS(Данные!$B$2:$B$722,32,Данные!$C$2:$C$722,0,Данные!$A$2:$A$722,"&gt;="&amp;77233297000,Данные!$A$2:$A$722,"&lt;="&amp;77233298399)</f>
        <v>0</v>
      </c>
      <c r="S71" s="62" t="n">
        <f aca="false">COUNTIFS(Данные!$B$2:$B$722,32,Данные!$C$2:$C$722,0,Данные!$A$2:$A$722,"&gt;="&amp;77235124000,Данные!$A$2:$A$722,"&lt;="&amp;77235128499)</f>
        <v>0</v>
      </c>
      <c r="T71" s="62" t="n">
        <f aca="false">COUNTIFS(Данные!$B$2:$B$722,32,Данные!$C$2:$C$722,0,Данные!$A$2:$A$722,"&gt;="&amp;77235320000,Данные!$A$2:$A$722,"&lt;="&amp;77235320999)</f>
        <v>0</v>
      </c>
      <c r="U71" s="62" t="n">
        <f aca="false">COUNTIFS(Данные!$B$2:$B$722,32,Данные!$C$2:$C$722,0,Данные!$A$2:$A$722,"&gt;="&amp;77233620000,Данные!$A$2:$A$722,"&lt;="&amp;77233623339)</f>
        <v>0</v>
      </c>
      <c r="V71" s="62" t="n">
        <f aca="false">COUNTIFS(Данные!$B$2:$B$722,32,Данные!$C$2:$C$722,0,Данные!$A$2:$A$722,"&gt;="&amp;77233630000,Данные!$A$2:$A$722,"&lt;="&amp;77233630999)</f>
        <v>0</v>
      </c>
      <c r="W71" s="62" t="n">
        <f aca="false">COUNTIFS(Данные!$B$2:$B$722,32,Данные!$C$2:$C$722,0,Данные!$A$2:$A$722,"&gt;="&amp;77233637000,Данные!$A$2:$A$722,"&lt;="&amp;77233637599)</f>
        <v>0</v>
      </c>
      <c r="X71" s="62" t="n">
        <f aca="false">COUNTIFS(Данные!$B$2:$B$722,32,Данные!$C$2:$C$722,0,Данные!$A$2:$A$722,"&gt;="&amp;77233550000,Данные!$A$2:$A$722,"&lt;="&amp;77233550999)</f>
        <v>0</v>
      </c>
      <c r="Y71" s="62" t="n">
        <f aca="false">COUNTIFS(Данные!$B$2:$B$722,32,Данные!$C$2:$C$722,0,Данные!$A$2:$A$722,"&gt;="&amp;77233554000,Данные!$A$2:$A$722,"&lt;="&amp;77233554999)</f>
        <v>0</v>
      </c>
      <c r="Z71" s="62" t="n">
        <f aca="false">COUNTIFS(Данные!$B$2:$B$722,32,Данные!$C$2:$C$722,0,Данные!$A$2:$A$722,"&gt;="&amp;77233555000,Данные!$A$2:$A$722,"&lt;="&amp;77233556999)</f>
        <v>0</v>
      </c>
      <c r="AA71" s="62" t="n">
        <f aca="false">COUNTIFS(Данные!$B$2:$B$722,32,Данные!$C$2:$C$722,0,Данные!$A$2:$A$722,"&gt;="&amp;77233726000,Данные!$A$2:$A$722,"&lt;="&amp;77233726999)</f>
        <v>0</v>
      </c>
      <c r="AB71" s="62" t="n">
        <f aca="false">COUNTIFS(Данные!$B$2:$B$722,32,Данные!$C$2:$C$722,0,Данные!$A$2:$A$722,"&gt;="&amp;77233820000,Данные!$A$2:$A$722,"&lt;="&amp;77233820999)</f>
        <v>0</v>
      </c>
      <c r="AC71" s="62" t="n">
        <f aca="false">COUNTIFS(Данные!$B$2:$B$722,32,Данные!$C$2:$C$722,0,Данные!$A$2:$A$722,"&gt;="&amp;77233850000,Данные!$A$2:$A$722,"&lt;="&amp;77233850999)</f>
        <v>0</v>
      </c>
      <c r="AD71" s="62" t="n">
        <f aca="false">COUNTIFS(Данные!$B$2:$B$722,32,Данные!$C$2:$C$722,0,Данные!$A$2:$A$722,"&gt;="&amp;77233420000,Данные!$A$2:$A$722,"&lt;="&amp;77233420999)</f>
        <v>0</v>
      </c>
      <c r="AE71" s="62" t="n">
        <f aca="false">COUNTIFS(Данные!$B$2:$B$722,32,Данные!$C$2:$C$722,0,Данные!$A$2:$A$722,"&gt;="&amp;77234740000,Данные!$A$2:$A$722,"&lt;="&amp;77234742999)</f>
        <v>0</v>
      </c>
      <c r="AF71" s="62" t="n">
        <f aca="false">COUNTIFS(Данные!$B$2:$B$722,32,Данные!$C$2:$C$722,0,Данные!$A$2:$A$722,"&gt;="&amp;77234767000,Данные!$A$2:$A$722,"&lt;="&amp;77234767999)</f>
        <v>1</v>
      </c>
      <c r="AG71" s="62" t="n">
        <f aca="false">COUNTIFS(Данные!$B$2:$B$722,32,Данные!$C$2:$C$722,0,Данные!$A$2:$A$722,"&gt;="&amp;77234120000,Данные!$A$2:$A$722,"&lt;="&amp;77234120999)</f>
        <v>0</v>
      </c>
      <c r="AH71" s="62" t="n">
        <f aca="false">COUNTIFS(Данные!$B$2:$B$722,32,Данные!$C$2:$C$722,0,Данные!$A$2:$A$722,"&gt;="&amp;77234127000,Данные!$A$2:$A$722,"&lt;="&amp;77234127999)</f>
        <v>0</v>
      </c>
      <c r="AI71" s="62" t="n">
        <f aca="false">COUNTIFS(Данные!$B$2:$B$722,32,Данные!$C$2:$C$722,0,Данные!$A$2:$A$722,"&gt;="&amp;77234220000,Данные!$A$2:$A$722,"&lt;="&amp;77234220999)</f>
        <v>0</v>
      </c>
      <c r="AJ71" s="62" t="n">
        <f aca="false">COUNTIFS(Данные!$B$2:$B$722,32,Данные!$C$2:$C$722,0,Данные!$A$2:$A$722,"&gt;="&amp;77234250000,Данные!$A$2:$A$722,"&lt;="&amp;77234250999)</f>
        <v>0</v>
      </c>
      <c r="AK71" s="62" t="n">
        <f aca="false">COUNTIFS(Данные!$B$2:$B$722,32,Данные!$C$2:$C$722,0,Данные!$A$2:$A$722,"&gt;="&amp;77233922950,Данные!$A$2:$A$722,"&lt;="&amp;77233924999)</f>
        <v>0</v>
      </c>
      <c r="AL71" s="62" t="n">
        <f aca="false">COUNTIFS(Данные!$B$2:$B$722,32,Данные!$C$2:$C$722,0,Данные!$A$2:$A$722,"&gt;="&amp;77234320000,Данные!$A$2:$A$722,"&lt;="&amp;77234320999)</f>
        <v>0</v>
      </c>
      <c r="AM71" s="62" t="n">
        <f aca="false">COUNTIFS(Данные!$B$2:$B$722,32,Данные!$C$2:$C$722,0,Данные!$A$2:$A$722,"&gt;="&amp;77234350000,Данные!$A$2:$A$722,"&lt;="&amp;77234350999)</f>
        <v>0</v>
      </c>
      <c r="AN71" s="62" t="n">
        <f aca="false">COUNTIFS(Данные!$B$2:$B$722,32,Данные!$C$2:$C$722,0,Данные!$A$2:$A$722,"&gt;="&amp;77234020000,Данные!$A$2:$A$722,"&lt;="&amp;77234020999)</f>
        <v>0</v>
      </c>
      <c r="AO71" s="62" t="n">
        <f aca="false">COUNTIFS(Данные!$B$2:$B$722,32,Данные!$C$2:$C$722,0,Данные!$A$2:$A$722,"&gt;="&amp;77234029000,Данные!$A$2:$A$722,"&lt;="&amp;77234029999)</f>
        <v>0</v>
      </c>
      <c r="AP71" s="62" t="n">
        <f aca="false">COUNTIFS(Данные!$B$2:$B$722,32,Данные!$C$2:$C$722,0,Данные!$A$2:$A$722,"&gt;="&amp;77234050000,Данные!$A$2:$A$722,"&lt;="&amp;77234050999)</f>
        <v>0</v>
      </c>
      <c r="AQ71" s="62" t="n">
        <f aca="false">COUNTIFS(Данные!$B$2:$B$722,32,Данные!$C$2:$C$722,0,Данные!$A$2:$A$722,"&gt;="&amp;77234427000,Данные!$A$2:$A$722,"&lt;="&amp;77234428999)</f>
        <v>0</v>
      </c>
      <c r="AR71" s="62" t="n">
        <f aca="false">COUNTIFS(Данные!$B$2:$B$722,32,Данные!$C$2:$C$722,0,Данные!$A$2:$A$722,"&gt;="&amp;77234450000,Данные!$A$2:$A$722,"&lt;="&amp;77234450999)</f>
        <v>0</v>
      </c>
      <c r="AS71" s="62" t="n">
        <f aca="false">COUNTIFS(Данные!$B$2:$B$722,32,Данные!$C$2:$C$722,0,Данные!$A$2:$A$722,"&gt;="&amp;77234620000,Данные!$A$2:$A$722,"&lt;="&amp;77234620999)</f>
        <v>0</v>
      </c>
      <c r="AT71" s="62" t="n">
        <f aca="false">COUNTIFS(Данные!$B$2:$B$722,32,Данные!$C$2:$C$722,0,Данные!$A$2:$A$722,"&gt;="&amp;77234650000,Данные!$A$2:$A$722,"&lt;="&amp;77234650999)</f>
        <v>0</v>
      </c>
      <c r="AU71" s="62" t="n">
        <f aca="false">COUNTIFS(Данные!$B$2:$B$722,32,Данные!$C$2:$C$722,0,Данные!$A$2:$A$722,"&gt;="&amp;77234820000,Данные!$A$2:$A$722,"&lt;="&amp;77234820999)</f>
        <v>0</v>
      </c>
      <c r="AV71" s="62" t="n">
        <f aca="false">COUNTIFS(Данные!$B$2:$B$722,32,Данные!$C$2:$C$722,0,Данные!$A$2:$A$722,"&gt;="&amp;77234850000,Данные!$A$2:$A$722,"&lt;="&amp;77234850999)</f>
        <v>0</v>
      </c>
      <c r="AW71" s="62" t="n">
        <f aca="false">COUNTIFS(Данные!$B$2:$B$722,32,Данные!$C$2:$C$722,0,Данные!$A$2:$A$722,"&gt;="&amp;77233327000,Данные!$A$2:$A$722,"&lt;="&amp;77233327999)</f>
        <v>0</v>
      </c>
      <c r="AX71" s="62" t="n">
        <f aca="false">COUNTIFS(Данные!$B$2:$B$722,32,Данные!$C$2:$C$722,0,Данные!$A$2:$A$722,"&gt;="&amp;77233350000,Данные!$A$2:$A$722,"&lt;="&amp;77233350599)</f>
        <v>0</v>
      </c>
      <c r="AY71" s="62" t="n">
        <f aca="false">COUNTIFS(Данные!$B$2:$B$722,32,Данные!$C$2:$C$722,0,Данные!$A$2:$A$722,"&gt;="&amp;77233351000,Данные!$A$2:$A$722,"&lt;="&amp;77233351999)</f>
        <v>0</v>
      </c>
      <c r="AZ71" s="62" t="n">
        <f aca="false">COUNTIFS(Данные!$B$2:$B$722,32,Данные!$C$2:$C$722,0,Данные!$A$2:$A$722,"&gt;="&amp;7722440000,Данные!$A$2:$A$722,"&lt;="&amp;7722440999)</f>
        <v>0</v>
      </c>
      <c r="BA71" s="63" t="n">
        <f aca="false">COUNTIFS(Данные!$B$2:$B$722,32,Данные!$C$2:$C$722,0,Данные!$A$2:$A$722,"&gt;="&amp;7722442000,Данные!$A$2:$A$722,"&lt;="&amp;7722445659)</f>
        <v>0</v>
      </c>
      <c r="BB71" s="63" t="n">
        <f aca="false">COUNTIFS(Данные!$B$2:$B$722,32,Данные!$C$2:$C$722,0,Данные!$A$2:$A$722,"&gt;="&amp;7722450000,Данные!$A$2:$A$722,"&lt;="&amp;7722450199)</f>
        <v>0</v>
      </c>
      <c r="BC71" s="63" t="n">
        <f aca="false">COUNTIFS(Данные!$B$2:$B$722,32,Данные!$C$2:$C$722,0,Данные!$A$2:$A$722,"&gt;="&amp;7722451000,Данные!$A$2:$A$722,"&lt;="&amp;7722451374)</f>
        <v>0</v>
      </c>
      <c r="BD71" s="63" t="n">
        <f aca="false">COUNTIFS(Данные!$B$2:$B$722,32,Данные!$C$2:$C$722,0,Данные!$A$2:$A$722,"&gt;="&amp;7722452000,Данные!$A$2:$A$722,"&lt;="&amp;7722452299)</f>
        <v>0</v>
      </c>
      <c r="BE71" s="63" t="n">
        <f aca="false">COUNTIFS(Данные!$B$2:$B$722,32,Данные!$C$2:$C$722,0,Данные!$A$2:$A$722,"&gt;="&amp;7722453000,Данные!$A$2:$A$722,"&lt;="&amp;7722453816)</f>
        <v>0</v>
      </c>
      <c r="BF71" s="63" t="n">
        <f aca="false">COUNTIFS(Данные!$B$2:$B$722,32,Данные!$C$2:$C$722,0,Данные!$A$2:$A$722,"&gt;="&amp;7722454000,Данные!$A$2:$A$722,"&lt;="&amp;7722454099)</f>
        <v>0</v>
      </c>
      <c r="BG71" s="63" t="n">
        <f aca="false">COUNTIFS(Данные!$B$2:$B$722,32,Данные!$C$2:$C$722,0,Данные!$A$2:$A$722,"&gt;="&amp;7722458000,Данные!$A$2:$A$722,"&lt;="&amp;7722458999)</f>
        <v>0</v>
      </c>
      <c r="BH71" s="63" t="n">
        <f aca="false">COUNTIFS(Данные!$B$2:$B$722,32,Данные!$C$2:$C$722,0,Данные!$A$2:$A$722,"&gt;="&amp;7722630000,Данные!$A$2:$A$722,"&lt;="&amp;7722638549)</f>
        <v>0</v>
      </c>
      <c r="BI71" s="63" t="n">
        <f aca="false">COUNTIFS(Данные!$B$2:$B$722,32,Данные!$C$2:$C$722,0,Данные!$A$2:$A$722,"&gt;="&amp;7722639400,Данные!$A$2:$A$722,"&lt;="&amp;7722639899)</f>
        <v>0</v>
      </c>
      <c r="BJ71" s="63" t="n">
        <f aca="false">COUNTIFS(Данные!$B$2:$B$722,32,Данные!$C$2:$C$722,0,Данные!$A$2:$A$722,"&gt;="&amp;7725750000,Данные!$A$2:$A$722,"&lt;="&amp;7725750399)</f>
        <v>0</v>
      </c>
      <c r="BK71" s="63" t="n">
        <f aca="false">COUNTIFS(Данные!$B$2:$B$722,32,Данные!$C$2:$C$722,0,Данные!$A$2:$A$722,"&gt;="&amp;7723620000,Данные!$A$2:$A$722,"&lt;="&amp;7723621299)</f>
        <v>0</v>
      </c>
      <c r="BL71" s="63" t="n">
        <f aca="false">COUNTIFS(Данные!$B$2:$B$722,32,Данные!$C$2:$C$722,0,Данные!$A$2:$A$722,"&gt;="&amp;7723621600,Данные!$A$2:$A$722,"&lt;="&amp;7723623399)</f>
        <v>0</v>
      </c>
      <c r="BM71" s="63" t="n">
        <f aca="false">COUNTIFS(Данные!$B$2:$B$722,32,Данные!$C$2:$C$722,0,Данные!$A$2:$A$722,"&gt;="&amp;7725127000,Данные!$A$2:$A$722,"&lt;="&amp;7725127999)</f>
        <v>0</v>
      </c>
      <c r="BN71" s="63" t="n">
        <f aca="false">COUNTIFS(Данные!$B$2:$B$722,32,Данные!$C$2:$C$722,0,Данные!$A$2:$A$722,"&gt;="&amp;7723772000,Данные!$A$2:$A$722,"&lt;="&amp;7723724999)</f>
        <v>0</v>
      </c>
      <c r="BO71" s="62" t="n">
        <f aca="false">COUNTIFS(Данные!$B$2:$B$722,32,Данные!$C$2:$C$722,0,Данные!$A$2:$A$722,"&gt;="&amp;7723765000,Данные!$A$2:$A$722,"&lt;="&amp;7723765499)</f>
        <v>0</v>
      </c>
      <c r="BP71" s="63" t="n">
        <f aca="false">COUNTIFS(Данные!$B$2:$B$722,32,Данные!$C$2:$C$722,0,Данные!$A$2:$A$722,"&gt;="&amp;7723948000,Данные!$A$2:$A$722,"&lt;="&amp;7723948999)</f>
        <v>0</v>
      </c>
      <c r="BQ71" s="63" t="n">
        <f aca="false">COUNTIFS(Данные!$B$2:$B$722,32,Данные!$C$2:$C$722,0,Данные!$A$2:$A$722,"&gt;="&amp;7723950000,Данные!$A$2:$A$722,"&lt;="&amp;7723951099)</f>
        <v>0</v>
      </c>
      <c r="BR71" s="63" t="n">
        <f aca="false">COUNTIFS(Данные!$B$2:$B$722,32,Данные!$C$2:$C$722,0,Данные!$A$2:$A$722,"&gt;="&amp;7723020000,Данные!$A$2:$A$722,"&lt;="&amp;7723020999)</f>
        <v>0</v>
      </c>
      <c r="BS71" s="63" t="n">
        <f aca="false">COUNTIFS(Данные!$B$2:$B$722,32,Данные!$C$2:$C$722,0,Данные!$A$2:$A$722,"&gt;="&amp;7723029000,Данные!$A$2:$A$722,"&lt;="&amp;7723029999)</f>
        <v>0</v>
      </c>
      <c r="BT71" s="63" t="n">
        <f aca="false">COUNTIFS(Данные!$B$2:$B$722,32,Данные!$C$2:$C$722,0,Данные!$A$2:$A$722,"&gt;="&amp;7723055000,Данные!$A$2:$A$722,"&lt;="&amp;7723056549)</f>
        <v>0</v>
      </c>
      <c r="BU71" s="62" t="n">
        <f aca="false">COUNTIFS(Данные!$B$2:$B$722,32,Данные!$C$2:$C$722,0,Данные!$A$2:$A$722,"&gt;="&amp;7725250000,Данные!$A$2:$A$722,"&lt;="&amp;7725250499)</f>
        <v>0</v>
      </c>
      <c r="BV71" s="63" t="n">
        <f aca="false">COUNTIFS(Данные!$B$2:$B$722,32,Данные!$C$2:$C$722,0,Данные!$A$2:$A$722,"&gt;="&amp;7183841400,Данные!$A$2:$A$722,"&lt;="&amp;7183841499)</f>
        <v>0</v>
      </c>
      <c r="BW71" s="40" t="n">
        <v>300</v>
      </c>
      <c r="BX71" s="64" t="n">
        <f aca="false">F71-BW71</f>
        <v>-298</v>
      </c>
    </row>
    <row r="72" s="15" customFormat="true" ht="12" hidden="false" customHeight="true" outlineLevel="0" collapsed="false">
      <c r="A72" s="38"/>
      <c r="B72" s="39"/>
      <c r="C72" s="41" t="n">
        <v>1</v>
      </c>
      <c r="D72" s="41" t="n">
        <v>321</v>
      </c>
      <c r="E72" s="42"/>
      <c r="F72" s="62" t="n">
        <f aca="false">COUNTIFS(Данные!$B$2:$B$722,32,Данные!$C$2:$C$722,1)</f>
        <v>19</v>
      </c>
      <c r="G72" s="62" t="n">
        <f aca="false">COUNTIFS(Данные!$B$2:$B$722,32,Данные!$C$2:$C$722,1,Данные!$A$2:$A$722,"&gt;="&amp;77232210840,Данные!$A$2:$A$722,"&lt;="&amp;77232216999)</f>
        <v>0</v>
      </c>
      <c r="H72" s="62" t="n">
        <f aca="false">COUNTIFS(Данные!$B$2:$B$722,32,Данные!$C$2:$C$722,1,Данные!$A$2:$A$722,"&gt;="&amp;77232510512,Данные!$A$2:$A$722,"&lt;="&amp;77232519487)</f>
        <v>0</v>
      </c>
      <c r="I72" s="62" t="n">
        <f aca="false">COUNTIFS(Данные!$B$2:$B$722,32,Данные!$C$2:$C$722,1,Данные!$A$2:$A$722,"&gt;="&amp;77232524160,Данные!$A$2:$A$722,"&lt;="&amp;77232529999)</f>
        <v>0</v>
      </c>
      <c r="J72" s="62" t="n">
        <f aca="false">COUNTIFS(Данные!$B$2:$B$722,32,Данные!$C$2:$C$722,1,Данные!$A$2:$A$722,"&gt;="&amp;77232544000,Данные!$A$2:$A$722,"&lt;="&amp;77232544999)</f>
        <v>0</v>
      </c>
      <c r="K72" s="62" t="n">
        <f aca="false">COUNTIFS(Данные!$B$2:$B$722,32,Данные!$C$2:$C$722,1,Данные!$A$2:$A$722,"&gt;="&amp;77232295504,Данные!$A$2:$A$722,"&lt;="&amp;77232296999)</f>
        <v>0</v>
      </c>
      <c r="L72" s="62" t="n">
        <f aca="false">COUNTIFS(Данные!$B$2:$B$722,32,Данные!$C$2:$C$722,1,Данные!$A$2:$A$722,"&gt;="&amp;77232785000,Данные!$A$2:$A$722,"&lt;="&amp;77232789999)</f>
        <v>0</v>
      </c>
      <c r="M72" s="62" t="n">
        <f aca="false">COUNTIFS(Данные!$B$2:$B$722,32,Данные!$C$2:$C$722,1,Данные!$A$2:$A$722,"&gt;="&amp;77233150000,Данные!$A$2:$A$722,"&lt;="&amp;77233155999)</f>
        <v>0</v>
      </c>
      <c r="N72" s="62" t="n">
        <f aca="false">COUNTIFS(Данные!$B$2:$B$722,32,Данные!$C$2:$C$722,1,Данные!$A$2:$A$722,"&gt;="&amp;77233235000,Данные!$A$2:$A$722,"&lt;="&amp;77233235999)</f>
        <v>0</v>
      </c>
      <c r="O72" s="62" t="n">
        <f aca="false">COUNTIFS(Данные!$B$2:$B$722,32,Данные!$C$2:$C$722,1,Данные!$A$2:$A$722,"&gt;="&amp;77233239000,Данные!$A$2:$A$722,"&lt;="&amp;77233239999)</f>
        <v>0</v>
      </c>
      <c r="P72" s="62" t="n">
        <f aca="false">COUNTIFS(Данные!$B$2:$B$722,32,Данные!$C$2:$C$722,1,Данные!$A$2:$A$722,"&gt;="&amp;77233272000,Данные!$A$2:$A$722,"&lt;="&amp;77233272999)</f>
        <v>0</v>
      </c>
      <c r="Q72" s="62" t="n">
        <f aca="false">COUNTIFS(Данные!$B$2:$B$722,32,Данные!$C$2:$C$722,1,Данные!$A$2:$A$722,"&gt;="&amp;77233291100,Данные!$A$2:$A$722,"&lt;="&amp;77233292999)</f>
        <v>0</v>
      </c>
      <c r="R72" s="62" t="n">
        <f aca="false">COUNTIFS(Данные!$B$2:$B$722,32,Данные!$C$2:$C$722,1,Данные!$A$2:$A$722,"&gt;="&amp;77233297000,Данные!$A$2:$A$722,"&lt;="&amp;77233298399)</f>
        <v>0</v>
      </c>
      <c r="S72" s="62" t="n">
        <f aca="false">COUNTIFS(Данные!$B$2:$B$722,32,Данные!$C$2:$C$722,1,Данные!$A$2:$A$722,"&gt;="&amp;77235124000,Данные!$A$2:$A$722,"&lt;="&amp;77235128499)</f>
        <v>0</v>
      </c>
      <c r="T72" s="62" t="n">
        <f aca="false">COUNTIFS(Данные!$B$2:$B$722,32,Данные!$C$2:$C$722,1,Данные!$A$2:$A$722,"&gt;="&amp;77235320000,Данные!$A$2:$A$722,"&lt;="&amp;77235320999)</f>
        <v>0</v>
      </c>
      <c r="U72" s="62" t="n">
        <f aca="false">COUNTIFS(Данные!$B$2:$B$722,32,Данные!$C$2:$C$722,1,Данные!$A$2:$A$722,"&gt;="&amp;77233620000,Данные!$A$2:$A$722,"&lt;="&amp;77233623339)</f>
        <v>0</v>
      </c>
      <c r="V72" s="62" t="n">
        <f aca="false">COUNTIFS(Данные!$B$2:$B$722,32,Данные!$C$2:$C$722,1,Данные!$A$2:$A$722,"&gt;="&amp;77233630000,Данные!$A$2:$A$722,"&lt;="&amp;77233630999)</f>
        <v>0</v>
      </c>
      <c r="W72" s="62" t="n">
        <f aca="false">COUNTIFS(Данные!$B$2:$B$722,32,Данные!$C$2:$C$722,1,Данные!$A$2:$A$722,"&gt;="&amp;77233637000,Данные!$A$2:$A$722,"&lt;="&amp;77233637599)</f>
        <v>0</v>
      </c>
      <c r="X72" s="62" t="n">
        <f aca="false">COUNTIFS(Данные!$B$2:$B$722,32,Данные!$C$2:$C$722,1,Данные!$A$2:$A$722,"&gt;="&amp;77233550000,Данные!$A$2:$A$722,"&lt;="&amp;77233550999)</f>
        <v>0</v>
      </c>
      <c r="Y72" s="62" t="n">
        <f aca="false">COUNTIFS(Данные!$B$2:$B$722,32,Данные!$C$2:$C$722,1,Данные!$A$2:$A$722,"&gt;="&amp;77233554000,Данные!$A$2:$A$722,"&lt;="&amp;77233554999)</f>
        <v>0</v>
      </c>
      <c r="Z72" s="62" t="n">
        <f aca="false">COUNTIFS(Данные!$B$2:$B$722,32,Данные!$C$2:$C$722,1,Данные!$A$2:$A$722,"&gt;="&amp;77233555000,Данные!$A$2:$A$722,"&lt;="&amp;77233556999)</f>
        <v>0</v>
      </c>
      <c r="AA72" s="62" t="n">
        <f aca="false">COUNTIFS(Данные!$B$2:$B$722,32,Данные!$C$2:$C$722,1,Данные!$A$2:$A$722,"&gt;="&amp;77233726000,Данные!$A$2:$A$722,"&lt;="&amp;77233726999)</f>
        <v>0</v>
      </c>
      <c r="AB72" s="62" t="n">
        <f aca="false">COUNTIFS(Данные!$B$2:$B$722,32,Данные!$C$2:$C$722,1,Данные!$A$2:$A$722,"&gt;="&amp;77233820000,Данные!$A$2:$A$722,"&lt;="&amp;77233820999)</f>
        <v>0</v>
      </c>
      <c r="AC72" s="62" t="n">
        <f aca="false">COUNTIFS(Данные!$B$2:$B$722,32,Данные!$C$2:$C$722,1,Данные!$A$2:$A$722,"&gt;="&amp;77233850000,Данные!$A$2:$A$722,"&lt;="&amp;77233850999)</f>
        <v>0</v>
      </c>
      <c r="AD72" s="62" t="n">
        <f aca="false">COUNTIFS(Данные!$B$2:$B$722,32,Данные!$C$2:$C$722,1,Данные!$A$2:$A$722,"&gt;="&amp;77233420000,Данные!$A$2:$A$722,"&lt;="&amp;77233420999)</f>
        <v>0</v>
      </c>
      <c r="AE72" s="62" t="n">
        <f aca="false">COUNTIFS(Данные!$B$2:$B$722,32,Данные!$C$2:$C$722,1,Данные!$A$2:$A$722,"&gt;="&amp;77234740000,Данные!$A$2:$A$722,"&lt;="&amp;77234742999)</f>
        <v>10</v>
      </c>
      <c r="AF72" s="62" t="n">
        <f aca="false">COUNTIFS(Данные!$B$2:$B$722,32,Данные!$C$2:$C$722,1,Данные!$A$2:$A$722,"&gt;="&amp;77234767000,Данные!$A$2:$A$722,"&lt;="&amp;77234767999)</f>
        <v>8</v>
      </c>
      <c r="AG72" s="62" t="n">
        <f aca="false">COUNTIFS(Данные!$B$2:$B$722,32,Данные!$C$2:$C$722,1,Данные!$A$2:$A$722,"&gt;="&amp;77234120000,Данные!$A$2:$A$722,"&lt;="&amp;77234120999)</f>
        <v>0</v>
      </c>
      <c r="AH72" s="62" t="n">
        <f aca="false">COUNTIFS(Данные!$B$2:$B$722,32,Данные!$C$2:$C$722,1,Данные!$A$2:$A$722,"&gt;="&amp;77234127000,Данные!$A$2:$A$722,"&lt;="&amp;77234127999)</f>
        <v>0</v>
      </c>
      <c r="AI72" s="62" t="n">
        <f aca="false">COUNTIFS(Данные!$B$2:$B$722,32,Данные!$C$2:$C$722,1,Данные!$A$2:$A$722,"&gt;="&amp;77234220000,Данные!$A$2:$A$722,"&lt;="&amp;77234220999)</f>
        <v>0</v>
      </c>
      <c r="AJ72" s="62" t="n">
        <f aca="false">COUNTIFS(Данные!$B$2:$B$722,32,Данные!$C$2:$C$722,1,Данные!$A$2:$A$722,"&gt;="&amp;77234250000,Данные!$A$2:$A$722,"&lt;="&amp;77234250999)</f>
        <v>0</v>
      </c>
      <c r="AK72" s="62" t="n">
        <f aca="false">COUNTIFS(Данные!$B$2:$B$722,32,Данные!$C$2:$C$722,1,Данные!$A$2:$A$722,"&gt;="&amp;77233922950,Данные!$A$2:$A$722,"&lt;="&amp;77233924999)</f>
        <v>0</v>
      </c>
      <c r="AL72" s="62" t="n">
        <f aca="false">COUNTIFS(Данные!$B$2:$B$722,32,Данные!$C$2:$C$722,1,Данные!$A$2:$A$722,"&gt;="&amp;77234320000,Данные!$A$2:$A$722,"&lt;="&amp;77234320999)</f>
        <v>0</v>
      </c>
      <c r="AM72" s="62" t="n">
        <f aca="false">COUNTIFS(Данные!$B$2:$B$722,32,Данные!$C$2:$C$722,1,Данные!$A$2:$A$722,"&gt;="&amp;77234350000,Данные!$A$2:$A$722,"&lt;="&amp;77234350999)</f>
        <v>0</v>
      </c>
      <c r="AN72" s="62" t="n">
        <f aca="false">COUNTIFS(Данные!$B$2:$B$722,32,Данные!$C$2:$C$722,1,Данные!$A$2:$A$722,"&gt;="&amp;77234020000,Данные!$A$2:$A$722,"&lt;="&amp;77234020999)</f>
        <v>0</v>
      </c>
      <c r="AO72" s="62" t="n">
        <f aca="false">COUNTIFS(Данные!$B$2:$B$722,32,Данные!$C$2:$C$722,1,Данные!$A$2:$A$722,"&gt;="&amp;77234029000,Данные!$A$2:$A$722,"&lt;="&amp;77234029999)</f>
        <v>0</v>
      </c>
      <c r="AP72" s="62" t="n">
        <f aca="false">COUNTIFS(Данные!$B$2:$B$722,32,Данные!$C$2:$C$722,1,Данные!$A$2:$A$722,"&gt;="&amp;77234050000,Данные!$A$2:$A$722,"&lt;="&amp;77234050999)</f>
        <v>0</v>
      </c>
      <c r="AQ72" s="62" t="n">
        <f aca="false">COUNTIFS(Данные!$B$2:$B$722,32,Данные!$C$2:$C$722,1,Данные!$A$2:$A$722,"&gt;="&amp;77234427000,Данные!$A$2:$A$722,"&lt;="&amp;77234428999)</f>
        <v>0</v>
      </c>
      <c r="AR72" s="62" t="n">
        <f aca="false">COUNTIFS(Данные!$B$2:$B$722,32,Данные!$C$2:$C$722,1,Данные!$A$2:$A$722,"&gt;="&amp;77234450000,Данные!$A$2:$A$722,"&lt;="&amp;77234450999)</f>
        <v>0</v>
      </c>
      <c r="AS72" s="62" t="n">
        <f aca="false">COUNTIFS(Данные!$B$2:$B$722,32,Данные!$C$2:$C$722,1,Данные!$A$2:$A$722,"&gt;="&amp;77234620000,Данные!$A$2:$A$722,"&lt;="&amp;77234620999)</f>
        <v>0</v>
      </c>
      <c r="AT72" s="62" t="n">
        <f aca="false">COUNTIFS(Данные!$B$2:$B$722,32,Данные!$C$2:$C$722,1,Данные!$A$2:$A$722,"&gt;="&amp;77234650000,Данные!$A$2:$A$722,"&lt;="&amp;77234650999)</f>
        <v>0</v>
      </c>
      <c r="AU72" s="62" t="n">
        <f aca="false">COUNTIFS(Данные!$B$2:$B$722,32,Данные!$C$2:$C$722,1,Данные!$A$2:$A$722,"&gt;="&amp;77234820000,Данные!$A$2:$A$722,"&lt;="&amp;77234820999)</f>
        <v>0</v>
      </c>
      <c r="AV72" s="62" t="n">
        <f aca="false">COUNTIFS(Данные!$B$2:$B$722,32,Данные!$C$2:$C$722,1,Данные!$A$2:$A$722,"&gt;="&amp;77234850000,Данные!$A$2:$A$722,"&lt;="&amp;77234850999)</f>
        <v>0</v>
      </c>
      <c r="AW72" s="62" t="n">
        <f aca="false">COUNTIFS(Данные!$B$2:$B$722,32,Данные!$C$2:$C$722,1,Данные!$A$2:$A$722,"&gt;="&amp;77233327000,Данные!$A$2:$A$722,"&lt;="&amp;77233327999)</f>
        <v>0</v>
      </c>
      <c r="AX72" s="62" t="n">
        <f aca="false">COUNTIFS(Данные!$B$2:$B$722,32,Данные!$C$2:$C$722,1,Данные!$A$2:$A$722,"&gt;="&amp;77233350000,Данные!$A$2:$A$722,"&lt;="&amp;77233350599)</f>
        <v>0</v>
      </c>
      <c r="AY72" s="62" t="n">
        <f aca="false">COUNTIFS(Данные!$B$2:$B$722,32,Данные!$C$2:$C$722,1,Данные!$A$2:$A$722,"&gt;="&amp;77233351000,Данные!$A$2:$A$722,"&lt;="&amp;77233351999)</f>
        <v>0</v>
      </c>
      <c r="AZ72" s="63" t="n">
        <f aca="false">COUNTIFS(Данные!$B$2:$B$722,32,Данные!$C$2:$C$722,1,Данные!$A$2:$A$722,"&gt;="&amp;7722440000,Данные!$A$2:$A$722,"&lt;="&amp;7722440999)</f>
        <v>0</v>
      </c>
      <c r="BA72" s="63" t="n">
        <f aca="false">COUNTIFS(Данные!$B$2:$B$722,32,Данные!$C$2:$C$722,1,Данные!$A$2:$A$722,"&gt;="&amp;7722442000,Данные!$A$2:$A$722,"&lt;="&amp;7722445659)</f>
        <v>0</v>
      </c>
      <c r="BB72" s="63" t="n">
        <f aca="false">COUNTIFS(Данные!$B$2:$B$722,32,Данные!$C$2:$C$722,1,Данные!$A$2:$A$722,"&gt;="&amp;7722450000,Данные!$A$2:$A$722,"&lt;="&amp;7722450199)</f>
        <v>0</v>
      </c>
      <c r="BC72" s="63" t="n">
        <f aca="false">COUNTIFS(Данные!$B$2:$B$722,32,Данные!$C$2:$C$722,1,Данные!$A$2:$A$722,"&gt;="&amp;7722451000,Данные!$A$2:$A$722,"&lt;="&amp;7722451374)</f>
        <v>0</v>
      </c>
      <c r="BD72" s="63" t="n">
        <f aca="false">COUNTIFS(Данные!$B$2:$B$722,32,Данные!$C$2:$C$722,1,Данные!$A$2:$A$722,"&gt;="&amp;7722452000,Данные!$A$2:$A$722,"&lt;="&amp;7722452299)</f>
        <v>0</v>
      </c>
      <c r="BE72" s="63" t="n">
        <f aca="false">COUNTIFS(Данные!$B$2:$B$722,32,Данные!$C$2:$C$722,1,Данные!$A$2:$A$722,"&gt;="&amp;7722453000,Данные!$A$2:$A$722,"&lt;="&amp;7722453816)</f>
        <v>0</v>
      </c>
      <c r="BF72" s="63" t="n">
        <f aca="false">COUNTIFS(Данные!$B$2:$B$722,32,Данные!$C$2:$C$722,1,Данные!$A$2:$A$722,"&gt;="&amp;7722454000,Данные!$A$2:$A$722,"&lt;="&amp;7722454099)</f>
        <v>0</v>
      </c>
      <c r="BG72" s="63" t="n">
        <f aca="false">COUNTIFS(Данные!$B$2:$B$722,32,Данные!$C$2:$C$722,1,Данные!$A$2:$A$722,"&gt;="&amp;7722458000,Данные!$A$2:$A$722,"&lt;="&amp;7722458999)</f>
        <v>0</v>
      </c>
      <c r="BH72" s="63" t="n">
        <f aca="false">COUNTIFS(Данные!$B$2:$B$722,32,Данные!$C$2:$C$722,1,Данные!$A$2:$A$722,"&gt;="&amp;7722630000,Данные!$A$2:$A$722,"&lt;="&amp;7722638549)</f>
        <v>0</v>
      </c>
      <c r="BI72" s="63" t="n">
        <f aca="false">COUNTIFS(Данные!$B$2:$B$722,32,Данные!$C$2:$C$722,1,Данные!$A$2:$A$722,"&gt;="&amp;7722639400,Данные!$A$2:$A$722,"&lt;="&amp;7722639899)</f>
        <v>0</v>
      </c>
      <c r="BJ72" s="63" t="n">
        <f aca="false">COUNTIFS(Данные!$B$2:$B$722,32,Данные!$C$2:$C$722,1,Данные!$A$2:$A$722,"&gt;="&amp;7725750000,Данные!$A$2:$A$722,"&lt;="&amp;7725750399)</f>
        <v>0</v>
      </c>
      <c r="BK72" s="63" t="n">
        <f aca="false">COUNTIFS(Данные!$B$2:$B$722,32,Данные!$C$2:$C$722,1,Данные!$A$2:$A$722,"&gt;="&amp;7723620000,Данные!$A$2:$A$722,"&lt;="&amp;7723621299)</f>
        <v>0</v>
      </c>
      <c r="BL72" s="63" t="n">
        <f aca="false">COUNTIFS(Данные!$B$2:$B$722,32,Данные!$C$2:$C$722,1,Данные!$A$2:$A$722,"&gt;="&amp;7723621600,Данные!$A$2:$A$722,"&lt;="&amp;7723623399)</f>
        <v>0</v>
      </c>
      <c r="BM72" s="63" t="n">
        <f aca="false">COUNTIFS(Данные!$B$2:$B$722,32,Данные!$C$2:$C$722,1,Данные!$A$2:$A$722,"&gt;="&amp;7725127000,Данные!$A$2:$A$722,"&lt;="&amp;7725127999)</f>
        <v>0</v>
      </c>
      <c r="BN72" s="63" t="n">
        <f aca="false">COUNTIFS(Данные!$B$2:$B$722,32,Данные!$C$2:$C$722,1,Данные!$A$2:$A$722,"&gt;="&amp;7723772000,Данные!$A$2:$A$722,"&lt;="&amp;7723724999)</f>
        <v>0</v>
      </c>
      <c r="BO72" s="62" t="n">
        <f aca="false">COUNTIFS(Данные!$B$2:$B$722,32,Данные!$C$2:$C$722,1,Данные!$A$2:$A$722,"&gt;="&amp;7723765000,Данные!$A$2:$A$722,"&lt;="&amp;7723765499)</f>
        <v>0</v>
      </c>
      <c r="BP72" s="63" t="n">
        <f aca="false">COUNTIFS(Данные!$B$2:$B$722,32,Данные!$C$2:$C$722,1,Данные!$A$2:$A$722,"&gt;="&amp;7723948000,Данные!$A$2:$A$722,"&lt;="&amp;7723948999)</f>
        <v>0</v>
      </c>
      <c r="BQ72" s="63" t="n">
        <f aca="false">COUNTIFS(Данные!$B$2:$B$722,32,Данные!$C$2:$C$722,1,Данные!$A$2:$A$722,"&gt;="&amp;7723950000,Данные!$A$2:$A$722,"&lt;="&amp;7723951099)</f>
        <v>0</v>
      </c>
      <c r="BR72" s="63" t="n">
        <f aca="false">COUNTIFS(Данные!$B$2:$B$722,32,Данные!$C$2:$C$722,1,Данные!$A$2:$A$722,"&gt;="&amp;7723020000,Данные!$A$2:$A$722,"&lt;="&amp;7723020999)</f>
        <v>0</v>
      </c>
      <c r="BS72" s="63" t="n">
        <f aca="false">COUNTIFS(Данные!$B$2:$B$722,32,Данные!$C$2:$C$722,1,Данные!$A$2:$A$722,"&gt;="&amp;7723029000,Данные!$A$2:$A$722,"&lt;="&amp;7723029999)</f>
        <v>0</v>
      </c>
      <c r="BT72" s="63" t="n">
        <f aca="false">COUNTIFS(Данные!$B$2:$B$722,32,Данные!$C$2:$C$722,1,Данные!$A$2:$A$722,"&gt;="&amp;7723055000,Данные!$A$2:$A$722,"&lt;="&amp;7723056549)</f>
        <v>0</v>
      </c>
      <c r="BU72" s="62" t="n">
        <f aca="false">COUNTIFS(Данные!$B$2:$B$722,32,Данные!$C$2:$C$722,1,Данные!$A$2:$A$722,"&gt;="&amp;7725250000,Данные!$A$2:$A$722,"&lt;="&amp;7725250499)</f>
        <v>0</v>
      </c>
      <c r="BV72" s="63" t="n">
        <f aca="false">COUNTIFS(Данные!$B$2:$B$722,32,Данные!$C$2:$C$722,1,Данные!$A$2:$A$722,"&gt;="&amp;7183841400,Данные!$A$2:$A$722,"&lt;="&amp;7183841499)</f>
        <v>0</v>
      </c>
      <c r="BW72" s="40" t="n">
        <v>300</v>
      </c>
      <c r="BX72" s="64" t="n">
        <f aca="false">F72-BW72</f>
        <v>-281</v>
      </c>
    </row>
    <row r="73" s="15" customFormat="true" ht="12" hidden="false" customHeight="true" outlineLevel="0" collapsed="false">
      <c r="A73" s="38"/>
      <c r="B73" s="39"/>
      <c r="C73" s="41" t="n">
        <v>2</v>
      </c>
      <c r="D73" s="41" t="n">
        <v>322</v>
      </c>
      <c r="E73" s="42"/>
      <c r="F73" s="62" t="n">
        <f aca="false">COUNTIFS(Данные!$B$2:$B$722,32,Данные!$C$2:$C$722,2)</f>
        <v>12</v>
      </c>
      <c r="G73" s="62" t="n">
        <f aca="false">COUNTIFS(Данные!$B$2:$B$722,32,Данные!$C$2:$C$722,2,Данные!$A$2:$A$722,"&gt;="&amp;77232210840,Данные!$A$2:$A$722,"&lt;="&amp;77232216999)</f>
        <v>0</v>
      </c>
      <c r="H73" s="62" t="n">
        <f aca="false">COUNTIFS(Данные!$B$2:$B$722,32,Данные!$C$2:$C$722,2,Данные!$A$2:$A$722,"&gt;="&amp;77232510512,Данные!$A$2:$A$722,"&lt;="&amp;77232519487)</f>
        <v>0</v>
      </c>
      <c r="I73" s="62" t="n">
        <f aca="false">COUNTIFS(Данные!$B$2:$B$722,32,Данные!$C$2:$C$722,2,Данные!$A$2:$A$722,"&gt;="&amp;77232524160,Данные!$A$2:$A$722,"&lt;="&amp;77232529999)</f>
        <v>0</v>
      </c>
      <c r="J73" s="62" t="n">
        <f aca="false">COUNTIFS(Данные!$B$2:$B$722,32,Данные!$C$2:$C$722,2,Данные!$A$2:$A$722,"&gt;="&amp;77232544000,Данные!$A$2:$A$722,"&lt;="&amp;77232544999)</f>
        <v>0</v>
      </c>
      <c r="K73" s="62" t="n">
        <f aca="false">COUNTIFS(Данные!$B$2:$B$722,32,Данные!$C$2:$C$722,2,Данные!$A$2:$A$722,"&gt;="&amp;77232295504,Данные!$A$2:$A$722,"&lt;="&amp;77232296999)</f>
        <v>0</v>
      </c>
      <c r="L73" s="62" t="n">
        <f aca="false">COUNTIFS(Данные!$B$2:$B$722,32,Данные!$C$2:$C$722,2,Данные!$A$2:$A$722,"&gt;="&amp;77232785000,Данные!$A$2:$A$722,"&lt;="&amp;77232789999)</f>
        <v>0</v>
      </c>
      <c r="M73" s="62" t="n">
        <f aca="false">COUNTIFS(Данные!$B$2:$B$722,32,Данные!$C$2:$C$722,2,Данные!$A$2:$A$722,"&gt;="&amp;77233150000,Данные!$A$2:$A$722,"&lt;="&amp;77233155999)</f>
        <v>0</v>
      </c>
      <c r="N73" s="62" t="n">
        <f aca="false">COUNTIFS(Данные!$B$2:$B$722,32,Данные!$C$2:$C$722,2,Данные!$A$2:$A$722,"&gt;="&amp;77233235000,Данные!$A$2:$A$722,"&lt;="&amp;77233235999)</f>
        <v>0</v>
      </c>
      <c r="O73" s="62" t="n">
        <f aca="false">COUNTIFS(Данные!$B$2:$B$722,32,Данные!$C$2:$C$722,2,Данные!$A$2:$A$722,"&gt;="&amp;77233239000,Данные!$A$2:$A$722,"&lt;="&amp;77233239999)</f>
        <v>0</v>
      </c>
      <c r="P73" s="62" t="n">
        <f aca="false">COUNTIFS(Данные!$B$2:$B$722,32,Данные!$C$2:$C$722,2,Данные!$A$2:$A$722,"&gt;="&amp;77233272000,Данные!$A$2:$A$722,"&lt;="&amp;77233272999)</f>
        <v>0</v>
      </c>
      <c r="Q73" s="62" t="n">
        <f aca="false">COUNTIFS(Данные!$B$2:$B$722,32,Данные!$C$2:$C$722,2,Данные!$A$2:$A$722,"&gt;="&amp;77233291100,Данные!$A$2:$A$722,"&lt;="&amp;77233292999)</f>
        <v>0</v>
      </c>
      <c r="R73" s="62" t="n">
        <f aca="false">COUNTIFS(Данные!$B$2:$B$722,32,Данные!$C$2:$C$722,2,Данные!$A$2:$A$722,"&gt;="&amp;77233297000,Данные!$A$2:$A$722,"&lt;="&amp;77233298399)</f>
        <v>0</v>
      </c>
      <c r="S73" s="62" t="n">
        <f aca="false">COUNTIFS(Данные!$B$2:$B$722,32,Данные!$C$2:$C$722,2,Данные!$A$2:$A$722,"&gt;="&amp;77235124000,Данные!$A$2:$A$722,"&lt;="&amp;77235128499)</f>
        <v>0</v>
      </c>
      <c r="T73" s="62" t="n">
        <f aca="false">COUNTIFS(Данные!$B$2:$B$722,32,Данные!$C$2:$C$722,2,Данные!$A$2:$A$722,"&gt;="&amp;77235320000,Данные!$A$2:$A$722,"&lt;="&amp;77235320999)</f>
        <v>0</v>
      </c>
      <c r="U73" s="62" t="n">
        <f aca="false">COUNTIFS(Данные!$B$2:$B$722,32,Данные!$C$2:$C$722,2,Данные!$A$2:$A$722,"&gt;="&amp;77233620000,Данные!$A$2:$A$722,"&lt;="&amp;77233623339)</f>
        <v>0</v>
      </c>
      <c r="V73" s="62" t="n">
        <f aca="false">COUNTIFS(Данные!$B$2:$B$722,32,Данные!$C$2:$C$722,2,Данные!$A$2:$A$722,"&gt;="&amp;77233630000,Данные!$A$2:$A$722,"&lt;="&amp;77233630999)</f>
        <v>0</v>
      </c>
      <c r="W73" s="62" t="n">
        <f aca="false">COUNTIFS(Данные!$B$2:$B$722,32,Данные!$C$2:$C$722,2,Данные!$A$2:$A$722,"&gt;="&amp;77233637000,Данные!$A$2:$A$722,"&lt;="&amp;77233637599)</f>
        <v>0</v>
      </c>
      <c r="X73" s="62" t="n">
        <f aca="false">COUNTIFS(Данные!$B$2:$B$722,32,Данные!$C$2:$C$722,2,Данные!$A$2:$A$722,"&gt;="&amp;77233550000,Данные!$A$2:$A$722,"&lt;="&amp;77233550999)</f>
        <v>0</v>
      </c>
      <c r="Y73" s="62" t="n">
        <f aca="false">COUNTIFS(Данные!$B$2:$B$722,32,Данные!$C$2:$C$722,2,Данные!$A$2:$A$722,"&gt;="&amp;77233554000,Данные!$A$2:$A$722,"&lt;="&amp;77233554999)</f>
        <v>0</v>
      </c>
      <c r="Z73" s="62" t="n">
        <f aca="false">COUNTIFS(Данные!$B$2:$B$722,32,Данные!$C$2:$C$722,2,Данные!$A$2:$A$722,"&gt;="&amp;77233555000,Данные!$A$2:$A$722,"&lt;="&amp;77233556999)</f>
        <v>0</v>
      </c>
      <c r="AA73" s="62" t="n">
        <f aca="false">COUNTIFS(Данные!$B$2:$B$722,32,Данные!$C$2:$C$722,2,Данные!$A$2:$A$722,"&gt;="&amp;77233726000,Данные!$A$2:$A$722,"&lt;="&amp;77233726999)</f>
        <v>0</v>
      </c>
      <c r="AB73" s="62" t="n">
        <f aca="false">COUNTIFS(Данные!$B$2:$B$722,32,Данные!$C$2:$C$722,2,Данные!$A$2:$A$722,"&gt;="&amp;77233820000,Данные!$A$2:$A$722,"&lt;="&amp;77233820999)</f>
        <v>0</v>
      </c>
      <c r="AC73" s="62" t="n">
        <f aca="false">COUNTIFS(Данные!$B$2:$B$722,32,Данные!$C$2:$C$722,2,Данные!$A$2:$A$722,"&gt;="&amp;77233850000,Данные!$A$2:$A$722,"&lt;="&amp;77233850999)</f>
        <v>0</v>
      </c>
      <c r="AD73" s="62" t="n">
        <f aca="false">COUNTIFS(Данные!$B$2:$B$722,32,Данные!$C$2:$C$722,2,Данные!$A$2:$A$722,"&gt;="&amp;77233420000,Данные!$A$2:$A$722,"&lt;="&amp;77233420999)</f>
        <v>0</v>
      </c>
      <c r="AE73" s="62" t="n">
        <f aca="false">COUNTIFS(Данные!$B$2:$B$722,32,Данные!$C$2:$C$722,2,Данные!$A$2:$A$722,"&gt;="&amp;77234740000,Данные!$A$2:$A$722,"&lt;="&amp;77234742999)</f>
        <v>6</v>
      </c>
      <c r="AF73" s="62" t="n">
        <f aca="false">COUNTIFS(Данные!$B$2:$B$722,32,Данные!$C$2:$C$722,2,Данные!$A$2:$A$722,"&gt;="&amp;77234767000,Данные!$A$2:$A$722,"&lt;="&amp;77234767999)</f>
        <v>1</v>
      </c>
      <c r="AG73" s="62" t="n">
        <f aca="false">COUNTIFS(Данные!$B$2:$B$722,32,Данные!$C$2:$C$722,2,Данные!$A$2:$A$722,"&gt;="&amp;77234120000,Данные!$A$2:$A$722,"&lt;="&amp;77234120999)</f>
        <v>0</v>
      </c>
      <c r="AH73" s="62" t="n">
        <f aca="false">COUNTIFS(Данные!$B$2:$B$722,32,Данные!$C$2:$C$722,2,Данные!$A$2:$A$722,"&gt;="&amp;77234127000,Данные!$A$2:$A$722,"&lt;="&amp;77234127999)</f>
        <v>0</v>
      </c>
      <c r="AI73" s="62" t="n">
        <f aca="false">COUNTIFS(Данные!$B$2:$B$722,32,Данные!$C$2:$C$722,2,Данные!$A$2:$A$722,"&gt;="&amp;77234220000,Данные!$A$2:$A$722,"&lt;="&amp;77234220999)</f>
        <v>0</v>
      </c>
      <c r="AJ73" s="62" t="n">
        <f aca="false">COUNTIFS(Данные!$B$2:$B$722,32,Данные!$C$2:$C$722,2,Данные!$A$2:$A$722,"&gt;="&amp;77234250000,Данные!$A$2:$A$722,"&lt;="&amp;77234250999)</f>
        <v>0</v>
      </c>
      <c r="AK73" s="62" t="n">
        <f aca="false">COUNTIFS(Данные!$B$2:$B$722,32,Данные!$C$2:$C$722,2,Данные!$A$2:$A$722,"&gt;="&amp;77233922950,Данные!$A$2:$A$722,"&lt;="&amp;77233924999)</f>
        <v>0</v>
      </c>
      <c r="AL73" s="62" t="n">
        <f aca="false">COUNTIFS(Данные!$B$2:$B$722,32,Данные!$C$2:$C$722,2,Данные!$A$2:$A$722,"&gt;="&amp;77234320000,Данные!$A$2:$A$722,"&lt;="&amp;77234320999)</f>
        <v>0</v>
      </c>
      <c r="AM73" s="62" t="n">
        <f aca="false">COUNTIFS(Данные!$B$2:$B$722,32,Данные!$C$2:$C$722,2,Данные!$A$2:$A$722,"&gt;="&amp;77234350000,Данные!$A$2:$A$722,"&lt;="&amp;77234350999)</f>
        <v>0</v>
      </c>
      <c r="AN73" s="62" t="n">
        <f aca="false">COUNTIFS(Данные!$B$2:$B$722,32,Данные!$C$2:$C$722,2,Данные!$A$2:$A$722,"&gt;="&amp;77234020000,Данные!$A$2:$A$722,"&lt;="&amp;77234020999)</f>
        <v>0</v>
      </c>
      <c r="AO73" s="62" t="n">
        <f aca="false">COUNTIFS(Данные!$B$2:$B$722,32,Данные!$C$2:$C$722,2,Данные!$A$2:$A$722,"&gt;="&amp;77234029000,Данные!$A$2:$A$722,"&lt;="&amp;77234029999)</f>
        <v>0</v>
      </c>
      <c r="AP73" s="62" t="n">
        <f aca="false">COUNTIFS(Данные!$B$2:$B$722,32,Данные!$C$2:$C$722,2,Данные!$A$2:$A$722,"&gt;="&amp;77234050000,Данные!$A$2:$A$722,"&lt;="&amp;77234050999)</f>
        <v>0</v>
      </c>
      <c r="AQ73" s="62" t="n">
        <f aca="false">COUNTIFS(Данные!$B$2:$B$722,32,Данные!$C$2:$C$722,2,Данные!$A$2:$A$722,"&gt;="&amp;77234427000,Данные!$A$2:$A$722,"&lt;="&amp;77234428999)</f>
        <v>0</v>
      </c>
      <c r="AR73" s="62" t="n">
        <f aca="false">COUNTIFS(Данные!$B$2:$B$722,32,Данные!$C$2:$C$722,2,Данные!$A$2:$A$722,"&gt;="&amp;77234450000,Данные!$A$2:$A$722,"&lt;="&amp;77234450999)</f>
        <v>0</v>
      </c>
      <c r="AS73" s="62" t="n">
        <f aca="false">COUNTIFS(Данные!$B$2:$B$722,32,Данные!$C$2:$C$722,2,Данные!$A$2:$A$722,"&gt;="&amp;77234620000,Данные!$A$2:$A$722,"&lt;="&amp;77234620999)</f>
        <v>0</v>
      </c>
      <c r="AT73" s="62" t="n">
        <f aca="false">COUNTIFS(Данные!$B$2:$B$722,32,Данные!$C$2:$C$722,2,Данные!$A$2:$A$722,"&gt;="&amp;77234650000,Данные!$A$2:$A$722,"&lt;="&amp;77234650999)</f>
        <v>0</v>
      </c>
      <c r="AU73" s="62" t="n">
        <f aca="false">COUNTIFS(Данные!$B$2:$B$722,32,Данные!$C$2:$C$722,2,Данные!$A$2:$A$722,"&gt;="&amp;77234820000,Данные!$A$2:$A$722,"&lt;="&amp;77234820999)</f>
        <v>0</v>
      </c>
      <c r="AV73" s="62" t="n">
        <f aca="false">COUNTIFS(Данные!$B$2:$B$722,32,Данные!$C$2:$C$722,2,Данные!$A$2:$A$722,"&gt;="&amp;77234850000,Данные!$A$2:$A$722,"&lt;="&amp;77234850999)</f>
        <v>0</v>
      </c>
      <c r="AW73" s="62" t="n">
        <f aca="false">COUNTIFS(Данные!$B$2:$B$722,32,Данные!$C$2:$C$722,2,Данные!$A$2:$A$722,"&gt;="&amp;77233327000,Данные!$A$2:$A$722,"&lt;="&amp;77233327999)</f>
        <v>0</v>
      </c>
      <c r="AX73" s="62" t="n">
        <f aca="false">COUNTIFS(Данные!$B$2:$B$722,32,Данные!$C$2:$C$722,2,Данные!$A$2:$A$722,"&gt;="&amp;77233350000,Данные!$A$2:$A$722,"&lt;="&amp;77233350599)</f>
        <v>0</v>
      </c>
      <c r="AY73" s="62" t="n">
        <f aca="false">COUNTIFS(Данные!$B$2:$B$722,32,Данные!$C$2:$C$722,2,Данные!$A$2:$A$722,"&gt;="&amp;77233351000,Данные!$A$2:$A$722,"&lt;="&amp;77233351999)</f>
        <v>0</v>
      </c>
      <c r="AZ73" s="63" t="n">
        <f aca="false">COUNTIFS(Данные!$B$2:$B$722,32,Данные!$C$2:$C$722,2,Данные!$A$2:$A$722,"&gt;="&amp;7722440000,Данные!$A$2:$A$722,"&lt;="&amp;7722440999)</f>
        <v>0</v>
      </c>
      <c r="BA73" s="63" t="n">
        <f aca="false">COUNTIFS(Данные!$B$2:$B$722,32,Данные!$C$2:$C$722,2,Данные!$A$2:$A$722,"&gt;="&amp;7722442000,Данные!$A$2:$A$722,"&lt;="&amp;7722445659)</f>
        <v>0</v>
      </c>
      <c r="BB73" s="63" t="n">
        <f aca="false">COUNTIFS(Данные!$B$2:$B$722,32,Данные!$C$2:$C$722,2,Данные!$A$2:$A$722,"&gt;="&amp;7722450000,Данные!$A$2:$A$722,"&lt;="&amp;7722450199)</f>
        <v>0</v>
      </c>
      <c r="BC73" s="63" t="n">
        <f aca="false">COUNTIFS(Данные!$B$2:$B$722,32,Данные!$C$2:$C$722,2,Данные!$A$2:$A$722,"&gt;="&amp;7722451000,Данные!$A$2:$A$722,"&lt;="&amp;7722451374)</f>
        <v>0</v>
      </c>
      <c r="BD73" s="63" t="n">
        <f aca="false">COUNTIFS(Данные!$B$2:$B$722,32,Данные!$C$2:$C$722,2,Данные!$A$2:$A$722,"&gt;="&amp;7722452000,Данные!$A$2:$A$722,"&lt;="&amp;7722452299)</f>
        <v>0</v>
      </c>
      <c r="BE73" s="63" t="n">
        <f aca="false">COUNTIFS(Данные!$B$2:$B$722,32,Данные!$C$2:$C$722,2,Данные!$A$2:$A$722,"&gt;="&amp;7722453000,Данные!$A$2:$A$722,"&lt;="&amp;7722453816)</f>
        <v>0</v>
      </c>
      <c r="BF73" s="63" t="n">
        <f aca="false">COUNTIFS(Данные!$B$2:$B$722,32,Данные!$C$2:$C$722,2,Данные!$A$2:$A$722,"&gt;="&amp;7722454000,Данные!$A$2:$A$722,"&lt;="&amp;7722454099)</f>
        <v>0</v>
      </c>
      <c r="BG73" s="63" t="n">
        <f aca="false">COUNTIFS(Данные!$B$2:$B$722,32,Данные!$C$2:$C$722,2,Данные!$A$2:$A$722,"&gt;="&amp;7722458000,Данные!$A$2:$A$722,"&lt;="&amp;7722458999)</f>
        <v>0</v>
      </c>
      <c r="BH73" s="63" t="n">
        <f aca="false">COUNTIFS(Данные!$B$2:$B$722,32,Данные!$C$2:$C$722,2,Данные!$A$2:$A$722,"&gt;="&amp;7722630000,Данные!$A$2:$A$722,"&lt;="&amp;7722638549)</f>
        <v>0</v>
      </c>
      <c r="BI73" s="63" t="n">
        <f aca="false">COUNTIFS(Данные!$B$2:$B$722,32,Данные!$C$2:$C$722,2,Данные!$A$2:$A$722,"&gt;="&amp;7722639400,Данные!$A$2:$A$722,"&lt;="&amp;7722639899)</f>
        <v>0</v>
      </c>
      <c r="BJ73" s="63" t="n">
        <f aca="false">COUNTIFS(Данные!$B$2:$B$722,32,Данные!$C$2:$C$722,2,Данные!$A$2:$A$722,"&gt;="&amp;7725750000,Данные!$A$2:$A$722,"&lt;="&amp;7725750399)</f>
        <v>0</v>
      </c>
      <c r="BK73" s="63" t="n">
        <f aca="false">COUNTIFS(Данные!$B$2:$B$722,32,Данные!$C$2:$C$722,2,Данные!$A$2:$A$722,"&gt;="&amp;7723620000,Данные!$A$2:$A$722,"&lt;="&amp;7723621299)</f>
        <v>0</v>
      </c>
      <c r="BL73" s="63" t="n">
        <f aca="false">COUNTIFS(Данные!$B$2:$B$722,32,Данные!$C$2:$C$722,2,Данные!$A$2:$A$722,"&gt;="&amp;7723621600,Данные!$A$2:$A$722,"&lt;="&amp;7723623399)</f>
        <v>0</v>
      </c>
      <c r="BM73" s="63" t="n">
        <f aca="false">COUNTIFS(Данные!$B$2:$B$722,32,Данные!$C$2:$C$722,2,Данные!$A$2:$A$722,"&gt;="&amp;7725127000,Данные!$A$2:$A$722,"&lt;="&amp;7725127999)</f>
        <v>0</v>
      </c>
      <c r="BN73" s="63" t="n">
        <f aca="false">COUNTIFS(Данные!$B$2:$B$722,32,Данные!$C$2:$C$722,2,Данные!$A$2:$A$722,"&gt;="&amp;7723772000,Данные!$A$2:$A$722,"&lt;="&amp;7723724999)</f>
        <v>0</v>
      </c>
      <c r="BO73" s="62" t="n">
        <f aca="false">COUNTIFS(Данные!$B$2:$B$722,32,Данные!$C$2:$C$722,2,Данные!$A$2:$A$722,"&gt;="&amp;7723765000,Данные!$A$2:$A$722,"&lt;="&amp;7723765499)</f>
        <v>0</v>
      </c>
      <c r="BP73" s="63" t="n">
        <f aca="false">COUNTIFS(Данные!$B$2:$B$722,32,Данные!$C$2:$C$722,2,Данные!$A$2:$A$722,"&gt;="&amp;7723948000,Данные!$A$2:$A$722,"&lt;="&amp;7723948999)</f>
        <v>0</v>
      </c>
      <c r="BQ73" s="63" t="n">
        <f aca="false">COUNTIFS(Данные!$B$2:$B$722,32,Данные!$C$2:$C$722,2,Данные!$A$2:$A$722,"&gt;="&amp;7723950000,Данные!$A$2:$A$722,"&lt;="&amp;7723951099)</f>
        <v>0</v>
      </c>
      <c r="BR73" s="63" t="n">
        <f aca="false">COUNTIFS(Данные!$B$2:$B$722,32,Данные!$C$2:$C$722,2,Данные!$A$2:$A$722,"&gt;="&amp;7723020000,Данные!$A$2:$A$722,"&lt;="&amp;7723020999)</f>
        <v>0</v>
      </c>
      <c r="BS73" s="63" t="n">
        <f aca="false">COUNTIFS(Данные!$B$2:$B$722,32,Данные!$C$2:$C$722,2,Данные!$A$2:$A$722,"&gt;="&amp;7723029000,Данные!$A$2:$A$722,"&lt;="&amp;7723029999)</f>
        <v>0</v>
      </c>
      <c r="BT73" s="63" t="n">
        <f aca="false">COUNTIFS(Данные!$B$2:$B$722,32,Данные!$C$2:$C$722,2,Данные!$A$2:$A$722,"&gt;="&amp;7723055000,Данные!$A$2:$A$722,"&lt;="&amp;7723056549)</f>
        <v>0</v>
      </c>
      <c r="BU73" s="62" t="n">
        <f aca="false">COUNTIFS(Данные!$B$2:$B$722,32,Данные!$C$2:$C$722,2,Данные!$A$2:$A$722,"&gt;="&amp;7725250000,Данные!$A$2:$A$722,"&lt;="&amp;7725250499)</f>
        <v>0</v>
      </c>
      <c r="BV73" s="63" t="n">
        <f aca="false">COUNTIFS(Данные!$B$2:$B$722,32,Данные!$C$2:$C$722,2,Данные!$A$2:$A$722,"&gt;="&amp;7183841400,Данные!$A$2:$A$722,"&lt;="&amp;7183841499)</f>
        <v>0</v>
      </c>
      <c r="BW73" s="40" t="n">
        <v>300</v>
      </c>
      <c r="BX73" s="64" t="n">
        <f aca="false">F73-BW73</f>
        <v>-288</v>
      </c>
    </row>
    <row r="74" s="15" customFormat="true" ht="12" hidden="false" customHeight="true" outlineLevel="0" collapsed="false">
      <c r="A74" s="47" t="n">
        <v>33</v>
      </c>
      <c r="B74" s="48" t="s">
        <v>84</v>
      </c>
      <c r="C74" s="50" t="n">
        <v>0</v>
      </c>
      <c r="D74" s="50" t="n">
        <v>330</v>
      </c>
      <c r="E74" s="51" t="n">
        <f aca="false">SUM(F74:F76)</f>
        <v>0</v>
      </c>
      <c r="F74" s="65" t="n">
        <f aca="false">COUNTIFS(Данные!$B$2:$B$722,33,Данные!$C$2:$C$722,0)</f>
        <v>0</v>
      </c>
      <c r="G74" s="65" t="n">
        <f aca="false">COUNTIFS(Данные!$B$2:$B$722,33,Данные!$C$2:$C$722,0,Данные!$A$2:$A$722,"&gt;="&amp;77232210840,Данные!$A$2:$A$722,"&lt;="&amp;77232216999)</f>
        <v>0</v>
      </c>
      <c r="H74" s="65" t="n">
        <f aca="false">COUNTIFS(Данные!$B$2:$B$722,33,Данные!$C$2:$C$722,0,Данные!$A$2:$A$722,"&gt;="&amp;77232510512,Данные!$A$2:$A$722,"&lt;="&amp;77232519487)</f>
        <v>0</v>
      </c>
      <c r="I74" s="65" t="n">
        <f aca="false">COUNTIFS(Данные!$B$2:$B$722,33,Данные!$C$2:$C$722,0,Данные!$A$2:$A$722,"&gt;="&amp;77232524160,Данные!$A$2:$A$722,"&lt;="&amp;77232529999)</f>
        <v>0</v>
      </c>
      <c r="J74" s="65" t="n">
        <f aca="false">COUNTIFS(Данные!$B$2:$B$722,33,Данные!$C$2:$C$722,0,Данные!$A$2:$A$722,"&gt;="&amp;77232544000,Данные!$A$2:$A$722,"&lt;="&amp;77232544999)</f>
        <v>0</v>
      </c>
      <c r="K74" s="65" t="n">
        <f aca="false">COUNTIFS(Данные!$B$2:$B$722,33,Данные!$C$2:$C$722,0,Данные!$A$2:$A$722,"&gt;="&amp;77232295504,Данные!$A$2:$A$722,"&lt;="&amp;77232296999)</f>
        <v>0</v>
      </c>
      <c r="L74" s="65" t="n">
        <f aca="false">COUNTIFS(Данные!$B$2:$B$722,33,Данные!$C$2:$C$722,0,Данные!$A$2:$A$722,"&gt;="&amp;77232785000,Данные!$A$2:$A$722,"&lt;="&amp;77232789999)</f>
        <v>0</v>
      </c>
      <c r="M74" s="65" t="n">
        <f aca="false">COUNTIFS(Данные!$B$2:$B$722,33,Данные!$C$2:$C$722,0,Данные!$A$2:$A$722,"&gt;="&amp;77233150000,Данные!$A$2:$A$722,"&lt;="&amp;77233155999)</f>
        <v>0</v>
      </c>
      <c r="N74" s="65" t="n">
        <f aca="false">COUNTIFS(Данные!$B$2:$B$722,33,Данные!$C$2:$C$722,0,Данные!$A$2:$A$722,"&gt;="&amp;77233235000,Данные!$A$2:$A$722,"&lt;="&amp;77233235999)</f>
        <v>0</v>
      </c>
      <c r="O74" s="65" t="n">
        <f aca="false">COUNTIFS(Данные!$B$2:$B$722,33,Данные!$C$2:$C$722,0,Данные!$A$2:$A$722,"&gt;="&amp;77233239000,Данные!$A$2:$A$722,"&lt;="&amp;77233239999)</f>
        <v>0</v>
      </c>
      <c r="P74" s="65" t="n">
        <f aca="false">COUNTIFS(Данные!$B$2:$B$722,33,Данные!$C$2:$C$722,0,Данные!$A$2:$A$722,"&gt;="&amp;77233272000,Данные!$A$2:$A$722,"&lt;="&amp;77233272999)</f>
        <v>0</v>
      </c>
      <c r="Q74" s="65" t="n">
        <f aca="false">COUNTIFS(Данные!$B$2:$B$722,33,Данные!$C$2:$C$722,0,Данные!$A$2:$A$722,"&gt;="&amp;77233291100,Данные!$A$2:$A$722,"&lt;="&amp;77233292999)</f>
        <v>0</v>
      </c>
      <c r="R74" s="65" t="n">
        <f aca="false">COUNTIFS(Данные!$B$2:$B$722,33,Данные!$C$2:$C$722,0,Данные!$A$2:$A$722,"&gt;="&amp;77233297000,Данные!$A$2:$A$722,"&lt;="&amp;77233298399)</f>
        <v>0</v>
      </c>
      <c r="S74" s="65" t="n">
        <f aca="false">COUNTIFS(Данные!$B$2:$B$722,33,Данные!$C$2:$C$722,0,Данные!$A$2:$A$722,"&gt;="&amp;77235124000,Данные!$A$2:$A$722,"&lt;="&amp;77235128499)</f>
        <v>0</v>
      </c>
      <c r="T74" s="65" t="n">
        <f aca="false">COUNTIFS(Данные!$B$2:$B$722,33,Данные!$C$2:$C$722,0,Данные!$A$2:$A$722,"&gt;="&amp;77235320000,Данные!$A$2:$A$722,"&lt;="&amp;77235320999)</f>
        <v>0</v>
      </c>
      <c r="U74" s="65" t="n">
        <f aca="false">COUNTIFS(Данные!$B$2:$B$722,33,Данные!$C$2:$C$722,0,Данные!$A$2:$A$722,"&gt;="&amp;77233620000,Данные!$A$2:$A$722,"&lt;="&amp;77233623339)</f>
        <v>0</v>
      </c>
      <c r="V74" s="65" t="n">
        <f aca="false">COUNTIFS(Данные!$B$2:$B$722,33,Данные!$C$2:$C$722,0,Данные!$A$2:$A$722,"&gt;="&amp;77233630000,Данные!$A$2:$A$722,"&lt;="&amp;77233630999)</f>
        <v>0</v>
      </c>
      <c r="W74" s="65" t="n">
        <f aca="false">COUNTIFS(Данные!$B$2:$B$722,33,Данные!$C$2:$C$722,0,Данные!$A$2:$A$722,"&gt;="&amp;77233637000,Данные!$A$2:$A$722,"&lt;="&amp;77233637599)</f>
        <v>0</v>
      </c>
      <c r="X74" s="65" t="n">
        <f aca="false">COUNTIFS(Данные!$B$2:$B$722,33,Данные!$C$2:$C$722,0,Данные!$A$2:$A$722,"&gt;="&amp;77233550000,Данные!$A$2:$A$722,"&lt;="&amp;77233550999)</f>
        <v>0</v>
      </c>
      <c r="Y74" s="65" t="n">
        <f aca="false">COUNTIFS(Данные!$B$2:$B$722,33,Данные!$C$2:$C$722,0,Данные!$A$2:$A$722,"&gt;="&amp;77233554000,Данные!$A$2:$A$722,"&lt;="&amp;77233554999)</f>
        <v>0</v>
      </c>
      <c r="Z74" s="65" t="n">
        <f aca="false">COUNTIFS(Данные!$B$2:$B$722,33,Данные!$C$2:$C$722,0,Данные!$A$2:$A$722,"&gt;="&amp;77233555000,Данные!$A$2:$A$722,"&lt;="&amp;77233556999)</f>
        <v>0</v>
      </c>
      <c r="AA74" s="65" t="n">
        <f aca="false">COUNTIFS(Данные!$B$2:$B$722,33,Данные!$C$2:$C$722,0,Данные!$A$2:$A$722,"&gt;="&amp;77233726000,Данные!$A$2:$A$722,"&lt;="&amp;77233726999)</f>
        <v>0</v>
      </c>
      <c r="AB74" s="65" t="n">
        <f aca="false">COUNTIFS(Данные!$B$2:$B$722,33,Данные!$C$2:$C$722,0,Данные!$A$2:$A$722,"&gt;="&amp;77233820000,Данные!$A$2:$A$722,"&lt;="&amp;77233820999)</f>
        <v>0</v>
      </c>
      <c r="AC74" s="65" t="n">
        <f aca="false">COUNTIFS(Данные!$B$2:$B$722,33,Данные!$C$2:$C$722,0,Данные!$A$2:$A$722,"&gt;="&amp;77233850000,Данные!$A$2:$A$722,"&lt;="&amp;77233850999)</f>
        <v>0</v>
      </c>
      <c r="AD74" s="65" t="n">
        <f aca="false">COUNTIFS(Данные!$B$2:$B$722,33,Данные!$C$2:$C$722,0,Данные!$A$2:$A$722,"&gt;="&amp;77233420000,Данные!$A$2:$A$722,"&lt;="&amp;77233420999)</f>
        <v>0</v>
      </c>
      <c r="AE74" s="65" t="n">
        <f aca="false">COUNTIFS(Данные!$B$2:$B$722,33,Данные!$C$2:$C$722,0,Данные!$A$2:$A$722,"&gt;="&amp;77234740000,Данные!$A$2:$A$722,"&lt;="&amp;77234742999)</f>
        <v>0</v>
      </c>
      <c r="AF74" s="65" t="n">
        <f aca="false">COUNTIFS(Данные!$B$2:$B$722,33,Данные!$C$2:$C$722,0,Данные!$A$2:$A$722,"&gt;="&amp;77234767000,Данные!$A$2:$A$722,"&lt;="&amp;77234767999)</f>
        <v>0</v>
      </c>
      <c r="AG74" s="65" t="n">
        <f aca="false">COUNTIFS(Данные!$B$2:$B$722,33,Данные!$C$2:$C$722,0,Данные!$A$2:$A$722,"&gt;="&amp;77234120000,Данные!$A$2:$A$722,"&lt;="&amp;77234120999)</f>
        <v>0</v>
      </c>
      <c r="AH74" s="65" t="n">
        <f aca="false">COUNTIFS(Данные!$B$2:$B$722,33,Данные!$C$2:$C$722,0,Данные!$A$2:$A$722,"&gt;="&amp;77234127000,Данные!$A$2:$A$722,"&lt;="&amp;77234127999)</f>
        <v>0</v>
      </c>
      <c r="AI74" s="65" t="n">
        <f aca="false">COUNTIFS(Данные!$B$2:$B$722,33,Данные!$C$2:$C$722,0,Данные!$A$2:$A$722,"&gt;="&amp;77234220000,Данные!$A$2:$A$722,"&lt;="&amp;77234220999)</f>
        <v>0</v>
      </c>
      <c r="AJ74" s="65" t="n">
        <f aca="false">COUNTIFS(Данные!$B$2:$B$722,33,Данные!$C$2:$C$722,0,Данные!$A$2:$A$722,"&gt;="&amp;77234250000,Данные!$A$2:$A$722,"&lt;="&amp;77234250999)</f>
        <v>0</v>
      </c>
      <c r="AK74" s="65" t="n">
        <f aca="false">COUNTIFS(Данные!$B$2:$B$722,33,Данные!$C$2:$C$722,0,Данные!$A$2:$A$722,"&gt;="&amp;77233922950,Данные!$A$2:$A$722,"&lt;="&amp;77233924999)</f>
        <v>0</v>
      </c>
      <c r="AL74" s="65" t="n">
        <f aca="false">COUNTIFS(Данные!$B$2:$B$722,33,Данные!$C$2:$C$722,0,Данные!$A$2:$A$722,"&gt;="&amp;77234320000,Данные!$A$2:$A$722,"&lt;="&amp;77234320999)</f>
        <v>0</v>
      </c>
      <c r="AM74" s="65" t="n">
        <f aca="false">COUNTIFS(Данные!$B$2:$B$722,33,Данные!$C$2:$C$722,0,Данные!$A$2:$A$722,"&gt;="&amp;77234350000,Данные!$A$2:$A$722,"&lt;="&amp;77234350999)</f>
        <v>0</v>
      </c>
      <c r="AN74" s="65" t="n">
        <f aca="false">COUNTIFS(Данные!$B$2:$B$722,33,Данные!$C$2:$C$722,0,Данные!$A$2:$A$722,"&gt;="&amp;77234020000,Данные!$A$2:$A$722,"&lt;="&amp;77234020999)</f>
        <v>0</v>
      </c>
      <c r="AO74" s="65" t="n">
        <f aca="false">COUNTIFS(Данные!$B$2:$B$722,33,Данные!$C$2:$C$722,0,Данные!$A$2:$A$722,"&gt;="&amp;77234029000,Данные!$A$2:$A$722,"&lt;="&amp;77234029999)</f>
        <v>0</v>
      </c>
      <c r="AP74" s="65" t="n">
        <f aca="false">COUNTIFS(Данные!$B$2:$B$722,33,Данные!$C$2:$C$722,0,Данные!$A$2:$A$722,"&gt;="&amp;77234050000,Данные!$A$2:$A$722,"&lt;="&amp;77234050999)</f>
        <v>0</v>
      </c>
      <c r="AQ74" s="65" t="n">
        <f aca="false">COUNTIFS(Данные!$B$2:$B$722,33,Данные!$C$2:$C$722,0,Данные!$A$2:$A$722,"&gt;="&amp;77234427000,Данные!$A$2:$A$722,"&lt;="&amp;77234428999)</f>
        <v>0</v>
      </c>
      <c r="AR74" s="65" t="n">
        <f aca="false">COUNTIFS(Данные!$B$2:$B$722,33,Данные!$C$2:$C$722,0,Данные!$A$2:$A$722,"&gt;="&amp;77234450000,Данные!$A$2:$A$722,"&lt;="&amp;77234450999)</f>
        <v>0</v>
      </c>
      <c r="AS74" s="65" t="n">
        <f aca="false">COUNTIFS(Данные!$B$2:$B$722,33,Данные!$C$2:$C$722,0,Данные!$A$2:$A$722,"&gt;="&amp;77234620000,Данные!$A$2:$A$722,"&lt;="&amp;77234620999)</f>
        <v>0</v>
      </c>
      <c r="AT74" s="65" t="n">
        <f aca="false">COUNTIFS(Данные!$B$2:$B$722,33,Данные!$C$2:$C$722,0,Данные!$A$2:$A$722,"&gt;="&amp;77234650000,Данные!$A$2:$A$722,"&lt;="&amp;77234650999)</f>
        <v>0</v>
      </c>
      <c r="AU74" s="65" t="n">
        <f aca="false">COUNTIFS(Данные!$B$2:$B$722,33,Данные!$C$2:$C$722,0,Данные!$A$2:$A$722,"&gt;="&amp;77234820000,Данные!$A$2:$A$722,"&lt;="&amp;77234820999)</f>
        <v>0</v>
      </c>
      <c r="AV74" s="65" t="n">
        <f aca="false">COUNTIFS(Данные!$B$2:$B$722,33,Данные!$C$2:$C$722,0,Данные!$A$2:$A$722,"&gt;="&amp;77234850000,Данные!$A$2:$A$722,"&lt;="&amp;77234850999)</f>
        <v>0</v>
      </c>
      <c r="AW74" s="65" t="n">
        <f aca="false">COUNTIFS(Данные!$B$2:$B$722,33,Данные!$C$2:$C$722,0,Данные!$A$2:$A$722,"&gt;="&amp;77233327000,Данные!$A$2:$A$722,"&lt;="&amp;77233327999)</f>
        <v>0</v>
      </c>
      <c r="AX74" s="65" t="n">
        <f aca="false">COUNTIFS(Данные!$B$2:$B$722,33,Данные!$C$2:$C$722,0,Данные!$A$2:$A$722,"&gt;="&amp;77233350000,Данные!$A$2:$A$722,"&lt;="&amp;77233350599)</f>
        <v>0</v>
      </c>
      <c r="AY74" s="65" t="n">
        <f aca="false">COUNTIFS(Данные!$B$2:$B$722,33,Данные!$C$2:$C$722,0,Данные!$A$2:$A$722,"&gt;="&amp;77233351000,Данные!$A$2:$A$722,"&lt;="&amp;77233351999)</f>
        <v>0</v>
      </c>
      <c r="AZ74" s="66" t="n">
        <f aca="false">COUNTIFS(Данные!$B$2:$B$722,33,Данные!$C$2:$C$722,0,Данные!$A$2:$A$722,"&gt;="&amp;7722440000,Данные!$A$2:$A$722,"&lt;="&amp;7722440999)</f>
        <v>0</v>
      </c>
      <c r="BA74" s="66" t="n">
        <f aca="false">COUNTIFS(Данные!$B$2:$B$722,33,Данные!$C$2:$C$722,0,Данные!$A$2:$A$722,"&gt;="&amp;7722442000,Данные!$A$2:$A$722,"&lt;="&amp;7722445659)</f>
        <v>0</v>
      </c>
      <c r="BB74" s="66" t="n">
        <f aca="false">COUNTIFS(Данные!$B$2:$B$722,33,Данные!$C$2:$C$722,0,Данные!$A$2:$A$722,"&gt;="&amp;7722450000,Данные!$A$2:$A$722,"&lt;="&amp;7722450199)</f>
        <v>0</v>
      </c>
      <c r="BC74" s="66" t="n">
        <f aca="false">COUNTIFS(Данные!$B$2:$B$722,33,Данные!$C$2:$C$722,0,Данные!$A$2:$A$722,"&gt;="&amp;7722451000,Данные!$A$2:$A$722,"&lt;="&amp;7722451374)</f>
        <v>0</v>
      </c>
      <c r="BD74" s="66" t="n">
        <f aca="false">COUNTIFS(Данные!$B$2:$B$722,33,Данные!$C$2:$C$722,0,Данные!$A$2:$A$722,"&gt;="&amp;7722452000,Данные!$A$2:$A$722,"&lt;="&amp;7722452299)</f>
        <v>0</v>
      </c>
      <c r="BE74" s="66" t="n">
        <f aca="false">COUNTIFS(Данные!$B$2:$B$722,33,Данные!$C$2:$C$722,0,Данные!$A$2:$A$722,"&gt;="&amp;7722453000,Данные!$A$2:$A$722,"&lt;="&amp;7722453816)</f>
        <v>0</v>
      </c>
      <c r="BF74" s="66" t="n">
        <f aca="false">COUNTIFS(Данные!$B$2:$B$722,33,Данные!$C$2:$C$722,0,Данные!$A$2:$A$722,"&gt;="&amp;7722454000,Данные!$A$2:$A$722,"&lt;="&amp;7722454099)</f>
        <v>0</v>
      </c>
      <c r="BG74" s="66" t="n">
        <f aca="false">COUNTIFS(Данные!$B$2:$B$722,33,Данные!$C$2:$C$722,0,Данные!$A$2:$A$722,"&gt;="&amp;7722458000,Данные!$A$2:$A$722,"&lt;="&amp;7722458999)</f>
        <v>0</v>
      </c>
      <c r="BH74" s="66" t="n">
        <f aca="false">COUNTIFS(Данные!$B$2:$B$722,33,Данные!$C$2:$C$722,0,Данные!$A$2:$A$722,"&gt;="&amp;7722630000,Данные!$A$2:$A$722,"&lt;="&amp;7722638549)</f>
        <v>0</v>
      </c>
      <c r="BI74" s="66" t="n">
        <f aca="false">COUNTIFS(Данные!$B$2:$B$722,33,Данные!$C$2:$C$722,0,Данные!$A$2:$A$722,"&gt;="&amp;7722639400,Данные!$A$2:$A$722,"&lt;="&amp;7722639899)</f>
        <v>0</v>
      </c>
      <c r="BJ74" s="66" t="n">
        <f aca="false">COUNTIFS(Данные!$B$2:$B$722,33,Данные!$C$2:$C$722,0,Данные!$A$2:$A$722,"&gt;="&amp;7725750000,Данные!$A$2:$A$722,"&lt;="&amp;7725750399)</f>
        <v>0</v>
      </c>
      <c r="BK74" s="66" t="n">
        <f aca="false">COUNTIFS(Данные!$B$2:$B$722,33,Данные!$C$2:$C$722,0,Данные!$A$2:$A$722,"&gt;="&amp;7723620000,Данные!$A$2:$A$722,"&lt;="&amp;7723621299)</f>
        <v>0</v>
      </c>
      <c r="BL74" s="66" t="n">
        <f aca="false">COUNTIFS(Данные!$B$2:$B$722,33,Данные!$C$2:$C$722,0,Данные!$A$2:$A$722,"&gt;="&amp;7723621600,Данные!$A$2:$A$722,"&lt;="&amp;7723623399)</f>
        <v>0</v>
      </c>
      <c r="BM74" s="66" t="n">
        <f aca="false">COUNTIFS(Данные!$B$2:$B$722,33,Данные!$C$2:$C$722,0,Данные!$A$2:$A$722,"&gt;="&amp;7725127000,Данные!$A$2:$A$722,"&lt;="&amp;7725127999)</f>
        <v>0</v>
      </c>
      <c r="BN74" s="66" t="n">
        <f aca="false">COUNTIFS(Данные!$B$2:$B$722,33,Данные!$C$2:$C$722,0,Данные!$A$2:$A$722,"&gt;="&amp;7723772000,Данные!$A$2:$A$722,"&lt;="&amp;7723724999)</f>
        <v>0</v>
      </c>
      <c r="BO74" s="65" t="n">
        <f aca="false">COUNTIFS(Данные!$B$2:$B$722,33,Данные!$C$2:$C$722,0,Данные!$A$2:$A$722,"&gt;="&amp;7723765000,Данные!$A$2:$A$722,"&lt;="&amp;7723765499)</f>
        <v>0</v>
      </c>
      <c r="BP74" s="66" t="n">
        <f aca="false">COUNTIFS(Данные!$B$2:$B$722,33,Данные!$C$2:$C$722,0,Данные!$A$2:$A$722,"&gt;="&amp;7723948000,Данные!$A$2:$A$722,"&lt;="&amp;7723948999)</f>
        <v>0</v>
      </c>
      <c r="BQ74" s="66" t="n">
        <f aca="false">COUNTIFS(Данные!$B$2:$B$722,33,Данные!$C$2:$C$722,0,Данные!$A$2:$A$722,"&gt;="&amp;7723950000,Данные!$A$2:$A$722,"&lt;="&amp;7723951099)</f>
        <v>0</v>
      </c>
      <c r="BR74" s="66" t="n">
        <f aca="false">COUNTIFS(Данные!$B$2:$B$722,33,Данные!$C$2:$C$722,0,Данные!$A$2:$A$722,"&gt;="&amp;7723020000,Данные!$A$2:$A$722,"&lt;="&amp;7723020999)</f>
        <v>0</v>
      </c>
      <c r="BS74" s="66" t="n">
        <f aca="false">COUNTIFS(Данные!$B$2:$B$722,33,Данные!$C$2:$C$722,0,Данные!$A$2:$A$722,"&gt;="&amp;7723029000,Данные!$A$2:$A$722,"&lt;="&amp;7723029999)</f>
        <v>0</v>
      </c>
      <c r="BT74" s="66" t="n">
        <f aca="false">COUNTIFS(Данные!$B$2:$B$722,33,Данные!$C$2:$C$722,0,Данные!$A$2:$A$722,"&gt;="&amp;7723055000,Данные!$A$2:$A$722,"&lt;="&amp;7723056549)</f>
        <v>0</v>
      </c>
      <c r="BU74" s="65" t="n">
        <f aca="false">COUNTIFS(Данные!$B$2:$B$722,33,Данные!$C$2:$C$722,0,Данные!$A$2:$A$722,"&gt;="&amp;7725250000,Данные!$A$2:$A$722,"&lt;="&amp;7725250499)</f>
        <v>0</v>
      </c>
      <c r="BV74" s="66" t="n">
        <f aca="false">COUNTIFS(Данные!$B$2:$B$722,33,Данные!$C$2:$C$722,0,Данные!$A$2:$A$722,"&gt;="&amp;7183841400,Данные!$A$2:$A$722,"&lt;="&amp;7183841499)</f>
        <v>0</v>
      </c>
      <c r="BW74" s="49" t="n">
        <v>300</v>
      </c>
      <c r="BX74" s="67" t="n">
        <f aca="false">F74-BW74</f>
        <v>-300</v>
      </c>
    </row>
    <row r="75" s="15" customFormat="true" ht="12" hidden="false" customHeight="true" outlineLevel="0" collapsed="false">
      <c r="A75" s="47"/>
      <c r="B75" s="48"/>
      <c r="C75" s="50" t="n">
        <v>1</v>
      </c>
      <c r="D75" s="50" t="n">
        <v>331</v>
      </c>
      <c r="E75" s="51"/>
      <c r="F75" s="65" t="n">
        <f aca="false">COUNTIFS(Данные!$B$2:$B$722,33,Данные!$C$2:$C$722,1)</f>
        <v>0</v>
      </c>
      <c r="G75" s="65" t="n">
        <f aca="false">COUNTIFS(Данные!$B$2:$B$722,33,Данные!$C$2:$C$722,1,Данные!$A$2:$A$722,"&gt;="&amp;77232210840,Данные!$A$2:$A$722,"&lt;="&amp;77232216999)</f>
        <v>0</v>
      </c>
      <c r="H75" s="65" t="n">
        <f aca="false">COUNTIFS(Данные!$B$2:$B$722,33,Данные!$C$2:$C$722,1,Данные!$A$2:$A$722,"&gt;="&amp;77232510512,Данные!$A$2:$A$722,"&lt;="&amp;77232519487)</f>
        <v>0</v>
      </c>
      <c r="I75" s="65" t="n">
        <f aca="false">COUNTIFS(Данные!$B$2:$B$722,33,Данные!$C$2:$C$722,1,Данные!$A$2:$A$722,"&gt;="&amp;77232524160,Данные!$A$2:$A$722,"&lt;="&amp;77232529999)</f>
        <v>0</v>
      </c>
      <c r="J75" s="65" t="n">
        <f aca="false">COUNTIFS(Данные!$B$2:$B$722,33,Данные!$C$2:$C$722,1,Данные!$A$2:$A$722,"&gt;="&amp;77232544000,Данные!$A$2:$A$722,"&lt;="&amp;77232544999)</f>
        <v>0</v>
      </c>
      <c r="K75" s="65" t="n">
        <f aca="false">COUNTIFS(Данные!$B$2:$B$722,33,Данные!$C$2:$C$722,1,Данные!$A$2:$A$722,"&gt;="&amp;77232295504,Данные!$A$2:$A$722,"&lt;="&amp;77232296999)</f>
        <v>0</v>
      </c>
      <c r="L75" s="65" t="n">
        <f aca="false">COUNTIFS(Данные!$B$2:$B$722,33,Данные!$C$2:$C$722,1,Данные!$A$2:$A$722,"&gt;="&amp;77232785000,Данные!$A$2:$A$722,"&lt;="&amp;77232789999)</f>
        <v>0</v>
      </c>
      <c r="M75" s="65" t="n">
        <f aca="false">COUNTIFS(Данные!$B$2:$B$722,33,Данные!$C$2:$C$722,1,Данные!$A$2:$A$722,"&gt;="&amp;77233150000,Данные!$A$2:$A$722,"&lt;="&amp;77233155999)</f>
        <v>0</v>
      </c>
      <c r="N75" s="65" t="n">
        <f aca="false">COUNTIFS(Данные!$B$2:$B$722,33,Данные!$C$2:$C$722,1,Данные!$A$2:$A$722,"&gt;="&amp;77233235000,Данные!$A$2:$A$722,"&lt;="&amp;77233235999)</f>
        <v>0</v>
      </c>
      <c r="O75" s="65" t="n">
        <f aca="false">COUNTIFS(Данные!$B$2:$B$722,33,Данные!$C$2:$C$722,1,Данные!$A$2:$A$722,"&gt;="&amp;77233239000,Данные!$A$2:$A$722,"&lt;="&amp;77233239999)</f>
        <v>0</v>
      </c>
      <c r="P75" s="65" t="n">
        <f aca="false">COUNTIFS(Данные!$B$2:$B$722,33,Данные!$C$2:$C$722,1,Данные!$A$2:$A$722,"&gt;="&amp;77233272000,Данные!$A$2:$A$722,"&lt;="&amp;77233272999)</f>
        <v>0</v>
      </c>
      <c r="Q75" s="65" t="n">
        <f aca="false">COUNTIFS(Данные!$B$2:$B$722,33,Данные!$C$2:$C$722,1,Данные!$A$2:$A$722,"&gt;="&amp;77233291100,Данные!$A$2:$A$722,"&lt;="&amp;77233292999)</f>
        <v>0</v>
      </c>
      <c r="R75" s="65" t="n">
        <f aca="false">COUNTIFS(Данные!$B$2:$B$722,33,Данные!$C$2:$C$722,1,Данные!$A$2:$A$722,"&gt;="&amp;77233297000,Данные!$A$2:$A$722,"&lt;="&amp;77233298399)</f>
        <v>0</v>
      </c>
      <c r="S75" s="65" t="n">
        <f aca="false">COUNTIFS(Данные!$B$2:$B$722,33,Данные!$C$2:$C$722,1,Данные!$A$2:$A$722,"&gt;="&amp;77235124000,Данные!$A$2:$A$722,"&lt;="&amp;77235128499)</f>
        <v>0</v>
      </c>
      <c r="T75" s="65" t="n">
        <f aca="false">COUNTIFS(Данные!$B$2:$B$722,33,Данные!$C$2:$C$722,1,Данные!$A$2:$A$722,"&gt;="&amp;77235320000,Данные!$A$2:$A$722,"&lt;="&amp;77235320999)</f>
        <v>0</v>
      </c>
      <c r="U75" s="65" t="n">
        <f aca="false">COUNTIFS(Данные!$B$2:$B$722,33,Данные!$C$2:$C$722,1,Данные!$A$2:$A$722,"&gt;="&amp;77233620000,Данные!$A$2:$A$722,"&lt;="&amp;77233623339)</f>
        <v>0</v>
      </c>
      <c r="V75" s="65" t="n">
        <f aca="false">COUNTIFS(Данные!$B$2:$B$722,33,Данные!$C$2:$C$722,1,Данные!$A$2:$A$722,"&gt;="&amp;77233630000,Данные!$A$2:$A$722,"&lt;="&amp;77233630999)</f>
        <v>0</v>
      </c>
      <c r="W75" s="65" t="n">
        <f aca="false">COUNTIFS(Данные!$B$2:$B$722,33,Данные!$C$2:$C$722,1,Данные!$A$2:$A$722,"&gt;="&amp;77233637000,Данные!$A$2:$A$722,"&lt;="&amp;77233637599)</f>
        <v>0</v>
      </c>
      <c r="X75" s="65" t="n">
        <f aca="false">COUNTIFS(Данные!$B$2:$B$722,33,Данные!$C$2:$C$722,1,Данные!$A$2:$A$722,"&gt;="&amp;77233550000,Данные!$A$2:$A$722,"&lt;="&amp;77233550999)</f>
        <v>0</v>
      </c>
      <c r="Y75" s="65" t="n">
        <f aca="false">COUNTIFS(Данные!$B$2:$B$722,33,Данные!$C$2:$C$722,1,Данные!$A$2:$A$722,"&gt;="&amp;77233554000,Данные!$A$2:$A$722,"&lt;="&amp;77233554999)</f>
        <v>0</v>
      </c>
      <c r="Z75" s="65" t="n">
        <f aca="false">COUNTIFS(Данные!$B$2:$B$722,33,Данные!$C$2:$C$722,1,Данные!$A$2:$A$722,"&gt;="&amp;77233555000,Данные!$A$2:$A$722,"&lt;="&amp;77233556999)</f>
        <v>0</v>
      </c>
      <c r="AA75" s="65" t="n">
        <f aca="false">COUNTIFS(Данные!$B$2:$B$722,33,Данные!$C$2:$C$722,1,Данные!$A$2:$A$722,"&gt;="&amp;77233726000,Данные!$A$2:$A$722,"&lt;="&amp;77233726999)</f>
        <v>0</v>
      </c>
      <c r="AB75" s="65" t="n">
        <f aca="false">COUNTIFS(Данные!$B$2:$B$722,33,Данные!$C$2:$C$722,1,Данные!$A$2:$A$722,"&gt;="&amp;77233820000,Данные!$A$2:$A$722,"&lt;="&amp;77233820999)</f>
        <v>0</v>
      </c>
      <c r="AC75" s="65" t="n">
        <f aca="false">COUNTIFS(Данные!$B$2:$B$722,33,Данные!$C$2:$C$722,1,Данные!$A$2:$A$722,"&gt;="&amp;77233850000,Данные!$A$2:$A$722,"&lt;="&amp;77233850999)</f>
        <v>0</v>
      </c>
      <c r="AD75" s="65" t="n">
        <f aca="false">COUNTIFS(Данные!$B$2:$B$722,33,Данные!$C$2:$C$722,1,Данные!$A$2:$A$722,"&gt;="&amp;77233420000,Данные!$A$2:$A$722,"&lt;="&amp;77233420999)</f>
        <v>0</v>
      </c>
      <c r="AE75" s="65" t="n">
        <f aca="false">COUNTIFS(Данные!$B$2:$B$722,33,Данные!$C$2:$C$722,1,Данные!$A$2:$A$722,"&gt;="&amp;77234740000,Данные!$A$2:$A$722,"&lt;="&amp;77234742999)</f>
        <v>0</v>
      </c>
      <c r="AF75" s="65" t="n">
        <f aca="false">COUNTIFS(Данные!$B$2:$B$722,33,Данные!$C$2:$C$722,1,Данные!$A$2:$A$722,"&gt;="&amp;77234767000,Данные!$A$2:$A$722,"&lt;="&amp;77234767999)</f>
        <v>0</v>
      </c>
      <c r="AG75" s="65" t="n">
        <f aca="false">COUNTIFS(Данные!$B$2:$B$722,33,Данные!$C$2:$C$722,1,Данные!$A$2:$A$722,"&gt;="&amp;77234120000,Данные!$A$2:$A$722,"&lt;="&amp;77234120999)</f>
        <v>0</v>
      </c>
      <c r="AH75" s="65" t="n">
        <f aca="false">COUNTIFS(Данные!$B$2:$B$722,33,Данные!$C$2:$C$722,1,Данные!$A$2:$A$722,"&gt;="&amp;77234127000,Данные!$A$2:$A$722,"&lt;="&amp;77234127999)</f>
        <v>0</v>
      </c>
      <c r="AI75" s="65" t="n">
        <f aca="false">COUNTIFS(Данные!$B$2:$B$722,33,Данные!$C$2:$C$722,1,Данные!$A$2:$A$722,"&gt;="&amp;77234220000,Данные!$A$2:$A$722,"&lt;="&amp;77234220999)</f>
        <v>0</v>
      </c>
      <c r="AJ75" s="65" t="n">
        <f aca="false">COUNTIFS(Данные!$B$2:$B$722,33,Данные!$C$2:$C$722,1,Данные!$A$2:$A$722,"&gt;="&amp;77234250000,Данные!$A$2:$A$722,"&lt;="&amp;77234250999)</f>
        <v>0</v>
      </c>
      <c r="AK75" s="65" t="n">
        <f aca="false">COUNTIFS(Данные!$B$2:$B$722,33,Данные!$C$2:$C$722,1,Данные!$A$2:$A$722,"&gt;="&amp;77233922950,Данные!$A$2:$A$722,"&lt;="&amp;77233924999)</f>
        <v>0</v>
      </c>
      <c r="AL75" s="65" t="n">
        <f aca="false">COUNTIFS(Данные!$B$2:$B$722,33,Данные!$C$2:$C$722,1,Данные!$A$2:$A$722,"&gt;="&amp;77234320000,Данные!$A$2:$A$722,"&lt;="&amp;77234320999)</f>
        <v>0</v>
      </c>
      <c r="AM75" s="65" t="n">
        <f aca="false">COUNTIFS(Данные!$B$2:$B$722,33,Данные!$C$2:$C$722,1,Данные!$A$2:$A$722,"&gt;="&amp;77234350000,Данные!$A$2:$A$722,"&lt;="&amp;77234350999)</f>
        <v>0</v>
      </c>
      <c r="AN75" s="65" t="n">
        <f aca="false">COUNTIFS(Данные!$B$2:$B$722,33,Данные!$C$2:$C$722,1,Данные!$A$2:$A$722,"&gt;="&amp;77234020000,Данные!$A$2:$A$722,"&lt;="&amp;77234020999)</f>
        <v>0</v>
      </c>
      <c r="AO75" s="65" t="n">
        <f aca="false">COUNTIFS(Данные!$B$2:$B$722,33,Данные!$C$2:$C$722,1,Данные!$A$2:$A$722,"&gt;="&amp;77234029000,Данные!$A$2:$A$722,"&lt;="&amp;77234029999)</f>
        <v>0</v>
      </c>
      <c r="AP75" s="65" t="n">
        <f aca="false">COUNTIFS(Данные!$B$2:$B$722,33,Данные!$C$2:$C$722,1,Данные!$A$2:$A$722,"&gt;="&amp;77234050000,Данные!$A$2:$A$722,"&lt;="&amp;77234050999)</f>
        <v>0</v>
      </c>
      <c r="AQ75" s="65" t="n">
        <f aca="false">COUNTIFS(Данные!$B$2:$B$722,33,Данные!$C$2:$C$722,1,Данные!$A$2:$A$722,"&gt;="&amp;77234427000,Данные!$A$2:$A$722,"&lt;="&amp;77234428999)</f>
        <v>0</v>
      </c>
      <c r="AR75" s="65" t="n">
        <f aca="false">COUNTIFS(Данные!$B$2:$B$722,33,Данные!$C$2:$C$722,1,Данные!$A$2:$A$722,"&gt;="&amp;77234450000,Данные!$A$2:$A$722,"&lt;="&amp;77234450999)</f>
        <v>0</v>
      </c>
      <c r="AS75" s="65" t="n">
        <f aca="false">COUNTIFS(Данные!$B$2:$B$722,33,Данные!$C$2:$C$722,1,Данные!$A$2:$A$722,"&gt;="&amp;77234620000,Данные!$A$2:$A$722,"&lt;="&amp;77234620999)</f>
        <v>0</v>
      </c>
      <c r="AT75" s="65" t="n">
        <f aca="false">COUNTIFS(Данные!$B$2:$B$722,33,Данные!$C$2:$C$722,1,Данные!$A$2:$A$722,"&gt;="&amp;77234650000,Данные!$A$2:$A$722,"&lt;="&amp;77234650999)</f>
        <v>0</v>
      </c>
      <c r="AU75" s="65" t="n">
        <f aca="false">COUNTIFS(Данные!$B$2:$B$722,33,Данные!$C$2:$C$722,1,Данные!$A$2:$A$722,"&gt;="&amp;77234820000,Данные!$A$2:$A$722,"&lt;="&amp;77234820999)</f>
        <v>0</v>
      </c>
      <c r="AV75" s="65" t="n">
        <f aca="false">COUNTIFS(Данные!$B$2:$B$722,33,Данные!$C$2:$C$722,1,Данные!$A$2:$A$722,"&gt;="&amp;77234850000,Данные!$A$2:$A$722,"&lt;="&amp;77234850999)</f>
        <v>0</v>
      </c>
      <c r="AW75" s="65" t="n">
        <f aca="false">COUNTIFS(Данные!$B$2:$B$722,33,Данные!$C$2:$C$722,1,Данные!$A$2:$A$722,"&gt;="&amp;77233327000,Данные!$A$2:$A$722,"&lt;="&amp;77233327999)</f>
        <v>0</v>
      </c>
      <c r="AX75" s="65" t="n">
        <f aca="false">COUNTIFS(Данные!$B$2:$B$722,33,Данные!$C$2:$C$722,1,Данные!$A$2:$A$722,"&gt;="&amp;77233350000,Данные!$A$2:$A$722,"&lt;="&amp;77233350599)</f>
        <v>0</v>
      </c>
      <c r="AY75" s="65" t="n">
        <f aca="false">COUNTIFS(Данные!$B$2:$B$722,33,Данные!$C$2:$C$722,1,Данные!$A$2:$A$722,"&gt;="&amp;77233351000,Данные!$A$2:$A$722,"&lt;="&amp;77233351999)</f>
        <v>0</v>
      </c>
      <c r="AZ75" s="66" t="n">
        <f aca="false">COUNTIFS(Данные!$B$2:$B$722,33,Данные!$C$2:$C$722,1,Данные!$A$2:$A$722,"&gt;="&amp;7722440000,Данные!$A$2:$A$722,"&lt;="&amp;7722440999)</f>
        <v>0</v>
      </c>
      <c r="BA75" s="66" t="n">
        <f aca="false">COUNTIFS(Данные!$B$2:$B$722,33,Данные!$C$2:$C$722,1,Данные!$A$2:$A$722,"&gt;="&amp;7722442000,Данные!$A$2:$A$722,"&lt;="&amp;7722445659)</f>
        <v>0</v>
      </c>
      <c r="BB75" s="66" t="n">
        <f aca="false">COUNTIFS(Данные!$B$2:$B$722,33,Данные!$C$2:$C$722,1,Данные!$A$2:$A$722,"&gt;="&amp;7722450000,Данные!$A$2:$A$722,"&lt;="&amp;7722450199)</f>
        <v>0</v>
      </c>
      <c r="BC75" s="66" t="n">
        <f aca="false">COUNTIFS(Данные!$B$2:$B$722,33,Данные!$C$2:$C$722,1,Данные!$A$2:$A$722,"&gt;="&amp;7722451000,Данные!$A$2:$A$722,"&lt;="&amp;7722451374)</f>
        <v>0</v>
      </c>
      <c r="BD75" s="66" t="n">
        <f aca="false">COUNTIFS(Данные!$B$2:$B$722,33,Данные!$C$2:$C$722,1,Данные!$A$2:$A$722,"&gt;="&amp;7722452000,Данные!$A$2:$A$722,"&lt;="&amp;7722452299)</f>
        <v>0</v>
      </c>
      <c r="BE75" s="66" t="n">
        <f aca="false">COUNTIFS(Данные!$B$2:$B$722,33,Данные!$C$2:$C$722,1,Данные!$A$2:$A$722,"&gt;="&amp;7722453000,Данные!$A$2:$A$722,"&lt;="&amp;7722453816)</f>
        <v>0</v>
      </c>
      <c r="BF75" s="66" t="n">
        <f aca="false">COUNTIFS(Данные!$B$2:$B$722,33,Данные!$C$2:$C$722,1,Данные!$A$2:$A$722,"&gt;="&amp;7722454000,Данные!$A$2:$A$722,"&lt;="&amp;7722454099)</f>
        <v>0</v>
      </c>
      <c r="BG75" s="66" t="n">
        <f aca="false">COUNTIFS(Данные!$B$2:$B$722,33,Данные!$C$2:$C$722,1,Данные!$A$2:$A$722,"&gt;="&amp;7722458000,Данные!$A$2:$A$722,"&lt;="&amp;7722458999)</f>
        <v>0</v>
      </c>
      <c r="BH75" s="66" t="n">
        <f aca="false">COUNTIFS(Данные!$B$2:$B$722,33,Данные!$C$2:$C$722,1,Данные!$A$2:$A$722,"&gt;="&amp;7722630000,Данные!$A$2:$A$722,"&lt;="&amp;7722638549)</f>
        <v>0</v>
      </c>
      <c r="BI75" s="66" t="n">
        <f aca="false">COUNTIFS(Данные!$B$2:$B$722,33,Данные!$C$2:$C$722,1,Данные!$A$2:$A$722,"&gt;="&amp;7722639400,Данные!$A$2:$A$722,"&lt;="&amp;7722639899)</f>
        <v>0</v>
      </c>
      <c r="BJ75" s="66" t="n">
        <f aca="false">COUNTIFS(Данные!$B$2:$B$722,33,Данные!$C$2:$C$722,1,Данные!$A$2:$A$722,"&gt;="&amp;7725750000,Данные!$A$2:$A$722,"&lt;="&amp;7725750399)</f>
        <v>0</v>
      </c>
      <c r="BK75" s="66" t="n">
        <f aca="false">COUNTIFS(Данные!$B$2:$B$722,33,Данные!$C$2:$C$722,1,Данные!$A$2:$A$722,"&gt;="&amp;7723620000,Данные!$A$2:$A$722,"&lt;="&amp;7723621299)</f>
        <v>0</v>
      </c>
      <c r="BL75" s="66" t="n">
        <f aca="false">COUNTIFS(Данные!$B$2:$B$722,33,Данные!$C$2:$C$722,1,Данные!$A$2:$A$722,"&gt;="&amp;7723621600,Данные!$A$2:$A$722,"&lt;="&amp;7723623399)</f>
        <v>0</v>
      </c>
      <c r="BM75" s="66" t="n">
        <f aca="false">COUNTIFS(Данные!$B$2:$B$722,33,Данные!$C$2:$C$722,1,Данные!$A$2:$A$722,"&gt;="&amp;7725127000,Данные!$A$2:$A$722,"&lt;="&amp;7725127999)</f>
        <v>0</v>
      </c>
      <c r="BN75" s="66" t="n">
        <f aca="false">COUNTIFS(Данные!$B$2:$B$722,33,Данные!$C$2:$C$722,1,Данные!$A$2:$A$722,"&gt;="&amp;7723772000,Данные!$A$2:$A$722,"&lt;="&amp;7723724999)</f>
        <v>0</v>
      </c>
      <c r="BO75" s="65" t="n">
        <f aca="false">COUNTIFS(Данные!$B$2:$B$722,33,Данные!$C$2:$C$722,1,Данные!$A$2:$A$722,"&gt;="&amp;7723765000,Данные!$A$2:$A$722,"&lt;="&amp;7723765499)</f>
        <v>0</v>
      </c>
      <c r="BP75" s="66" t="n">
        <f aca="false">COUNTIFS(Данные!$B$2:$B$722,33,Данные!$C$2:$C$722,1,Данные!$A$2:$A$722,"&gt;="&amp;7723948000,Данные!$A$2:$A$722,"&lt;="&amp;7723948999)</f>
        <v>0</v>
      </c>
      <c r="BQ75" s="66" t="n">
        <f aca="false">COUNTIFS(Данные!$B$2:$B$722,33,Данные!$C$2:$C$722,1,Данные!$A$2:$A$722,"&gt;="&amp;7723950000,Данные!$A$2:$A$722,"&lt;="&amp;7723951099)</f>
        <v>0</v>
      </c>
      <c r="BR75" s="66" t="n">
        <f aca="false">COUNTIFS(Данные!$B$2:$B$722,33,Данные!$C$2:$C$722,1,Данные!$A$2:$A$722,"&gt;="&amp;7723020000,Данные!$A$2:$A$722,"&lt;="&amp;7723020999)</f>
        <v>0</v>
      </c>
      <c r="BS75" s="66" t="n">
        <f aca="false">COUNTIFS(Данные!$B$2:$B$722,33,Данные!$C$2:$C$722,1,Данные!$A$2:$A$722,"&gt;="&amp;7723029000,Данные!$A$2:$A$722,"&lt;="&amp;7723029999)</f>
        <v>0</v>
      </c>
      <c r="BT75" s="66" t="n">
        <f aca="false">COUNTIFS(Данные!$B$2:$B$722,33,Данные!$C$2:$C$722,1,Данные!$A$2:$A$722,"&gt;="&amp;7723055000,Данные!$A$2:$A$722,"&lt;="&amp;7723056549)</f>
        <v>0</v>
      </c>
      <c r="BU75" s="65" t="n">
        <f aca="false">COUNTIFS(Данные!$B$2:$B$722,33,Данные!$C$2:$C$722,1,Данные!$A$2:$A$722,"&gt;="&amp;7725250000,Данные!$A$2:$A$722,"&lt;="&amp;7725250499)</f>
        <v>0</v>
      </c>
      <c r="BV75" s="66" t="n">
        <f aca="false">COUNTIFS(Данные!$B$2:$B$722,33,Данные!$C$2:$C$722,1,Данные!$A$2:$A$722,"&gt;="&amp;7183841400,Данные!$A$2:$A$722,"&lt;="&amp;7183841499)</f>
        <v>0</v>
      </c>
      <c r="BW75" s="49" t="n">
        <v>300</v>
      </c>
      <c r="BX75" s="67" t="n">
        <f aca="false">F75-BW75</f>
        <v>-300</v>
      </c>
    </row>
    <row r="76" s="15" customFormat="true" ht="12" hidden="false" customHeight="true" outlineLevel="0" collapsed="false">
      <c r="A76" s="47"/>
      <c r="B76" s="48"/>
      <c r="C76" s="50" t="n">
        <v>2</v>
      </c>
      <c r="D76" s="50" t="n">
        <v>332</v>
      </c>
      <c r="E76" s="51"/>
      <c r="F76" s="65" t="n">
        <f aca="false">COUNTIFS(Данные!$B$2:$B$722,33,Данные!$C$2:$C$722,2)</f>
        <v>0</v>
      </c>
      <c r="G76" s="65" t="n">
        <f aca="false">COUNTIFS(Данные!$B$2:$B$722,33,Данные!$C$2:$C$722,2,Данные!$A$2:$A$722,"&gt;="&amp;77232210840,Данные!$A$2:$A$722,"&lt;="&amp;77232216999)</f>
        <v>0</v>
      </c>
      <c r="H76" s="65" t="n">
        <f aca="false">COUNTIFS(Данные!$B$2:$B$722,33,Данные!$C$2:$C$722,2,Данные!$A$2:$A$722,"&gt;="&amp;77232510512,Данные!$A$2:$A$722,"&lt;="&amp;77232519487)</f>
        <v>0</v>
      </c>
      <c r="I76" s="65" t="n">
        <f aca="false">COUNTIFS(Данные!$B$2:$B$722,33,Данные!$C$2:$C$722,2,Данные!$A$2:$A$722,"&gt;="&amp;77232524160,Данные!$A$2:$A$722,"&lt;="&amp;77232529999)</f>
        <v>0</v>
      </c>
      <c r="J76" s="65" t="n">
        <f aca="false">COUNTIFS(Данные!$B$2:$B$722,33,Данные!$C$2:$C$722,2,Данные!$A$2:$A$722,"&gt;="&amp;77232544000,Данные!$A$2:$A$722,"&lt;="&amp;77232544999)</f>
        <v>0</v>
      </c>
      <c r="K76" s="65" t="n">
        <f aca="false">COUNTIFS(Данные!$B$2:$B$722,33,Данные!$C$2:$C$722,2,Данные!$A$2:$A$722,"&gt;="&amp;77232295504,Данные!$A$2:$A$722,"&lt;="&amp;77232296999)</f>
        <v>0</v>
      </c>
      <c r="L76" s="65" t="n">
        <f aca="false">COUNTIFS(Данные!$B$2:$B$722,33,Данные!$C$2:$C$722,2,Данные!$A$2:$A$722,"&gt;="&amp;77232785000,Данные!$A$2:$A$722,"&lt;="&amp;77232789999)</f>
        <v>0</v>
      </c>
      <c r="M76" s="65" t="n">
        <f aca="false">COUNTIFS(Данные!$B$2:$B$722,33,Данные!$C$2:$C$722,2,Данные!$A$2:$A$722,"&gt;="&amp;77233150000,Данные!$A$2:$A$722,"&lt;="&amp;77233155999)</f>
        <v>0</v>
      </c>
      <c r="N76" s="65" t="n">
        <f aca="false">COUNTIFS(Данные!$B$2:$B$722,33,Данные!$C$2:$C$722,2,Данные!$A$2:$A$722,"&gt;="&amp;77233235000,Данные!$A$2:$A$722,"&lt;="&amp;77233235999)</f>
        <v>0</v>
      </c>
      <c r="O76" s="65" t="n">
        <f aca="false">COUNTIFS(Данные!$B$2:$B$722,33,Данные!$C$2:$C$722,2,Данные!$A$2:$A$722,"&gt;="&amp;77233239000,Данные!$A$2:$A$722,"&lt;="&amp;77233239999)</f>
        <v>0</v>
      </c>
      <c r="P76" s="65" t="n">
        <f aca="false">COUNTIFS(Данные!$B$2:$B$722,33,Данные!$C$2:$C$722,2,Данные!$A$2:$A$722,"&gt;="&amp;77233272000,Данные!$A$2:$A$722,"&lt;="&amp;77233272999)</f>
        <v>0</v>
      </c>
      <c r="Q76" s="65" t="n">
        <f aca="false">COUNTIFS(Данные!$B$2:$B$722,33,Данные!$C$2:$C$722,2,Данные!$A$2:$A$722,"&gt;="&amp;77233291100,Данные!$A$2:$A$722,"&lt;="&amp;77233292999)</f>
        <v>0</v>
      </c>
      <c r="R76" s="65" t="n">
        <f aca="false">COUNTIFS(Данные!$B$2:$B$722,33,Данные!$C$2:$C$722,2,Данные!$A$2:$A$722,"&gt;="&amp;77233297000,Данные!$A$2:$A$722,"&lt;="&amp;77233298399)</f>
        <v>0</v>
      </c>
      <c r="S76" s="65" t="n">
        <f aca="false">COUNTIFS(Данные!$B$2:$B$722,33,Данные!$C$2:$C$722,2,Данные!$A$2:$A$722,"&gt;="&amp;77235124000,Данные!$A$2:$A$722,"&lt;="&amp;77235128499)</f>
        <v>0</v>
      </c>
      <c r="T76" s="65" t="n">
        <f aca="false">COUNTIFS(Данные!$B$2:$B$722,33,Данные!$C$2:$C$722,2,Данные!$A$2:$A$722,"&gt;="&amp;77235320000,Данные!$A$2:$A$722,"&lt;="&amp;77235320999)</f>
        <v>0</v>
      </c>
      <c r="U76" s="65" t="n">
        <f aca="false">COUNTIFS(Данные!$B$2:$B$722,33,Данные!$C$2:$C$722,2,Данные!$A$2:$A$722,"&gt;="&amp;77233620000,Данные!$A$2:$A$722,"&lt;="&amp;77233623339)</f>
        <v>0</v>
      </c>
      <c r="V76" s="65" t="n">
        <f aca="false">COUNTIFS(Данные!$B$2:$B$722,33,Данные!$C$2:$C$722,2,Данные!$A$2:$A$722,"&gt;="&amp;77233630000,Данные!$A$2:$A$722,"&lt;="&amp;77233630999)</f>
        <v>0</v>
      </c>
      <c r="W76" s="65" t="n">
        <f aca="false">COUNTIFS(Данные!$B$2:$B$722,33,Данные!$C$2:$C$722,2,Данные!$A$2:$A$722,"&gt;="&amp;77233637000,Данные!$A$2:$A$722,"&lt;="&amp;77233637599)</f>
        <v>0</v>
      </c>
      <c r="X76" s="65" t="n">
        <f aca="false">COUNTIFS(Данные!$B$2:$B$722,33,Данные!$C$2:$C$722,2,Данные!$A$2:$A$722,"&gt;="&amp;77233550000,Данные!$A$2:$A$722,"&lt;="&amp;77233550999)</f>
        <v>0</v>
      </c>
      <c r="Y76" s="65" t="n">
        <f aca="false">COUNTIFS(Данные!$B$2:$B$722,33,Данные!$C$2:$C$722,2,Данные!$A$2:$A$722,"&gt;="&amp;77233554000,Данные!$A$2:$A$722,"&lt;="&amp;77233554999)</f>
        <v>0</v>
      </c>
      <c r="Z76" s="65" t="n">
        <f aca="false">COUNTIFS(Данные!$B$2:$B$722,33,Данные!$C$2:$C$722,2,Данные!$A$2:$A$722,"&gt;="&amp;77233555000,Данные!$A$2:$A$722,"&lt;="&amp;77233556999)</f>
        <v>0</v>
      </c>
      <c r="AA76" s="65" t="n">
        <f aca="false">COUNTIFS(Данные!$B$2:$B$722,33,Данные!$C$2:$C$722,2,Данные!$A$2:$A$722,"&gt;="&amp;77233726000,Данные!$A$2:$A$722,"&lt;="&amp;77233726999)</f>
        <v>0</v>
      </c>
      <c r="AB76" s="65" t="n">
        <f aca="false">COUNTIFS(Данные!$B$2:$B$722,33,Данные!$C$2:$C$722,2,Данные!$A$2:$A$722,"&gt;="&amp;77233820000,Данные!$A$2:$A$722,"&lt;="&amp;77233820999)</f>
        <v>0</v>
      </c>
      <c r="AC76" s="65" t="n">
        <f aca="false">COUNTIFS(Данные!$B$2:$B$722,33,Данные!$C$2:$C$722,2,Данные!$A$2:$A$722,"&gt;="&amp;77233850000,Данные!$A$2:$A$722,"&lt;="&amp;77233850999)</f>
        <v>0</v>
      </c>
      <c r="AD76" s="65" t="n">
        <f aca="false">COUNTIFS(Данные!$B$2:$B$722,33,Данные!$C$2:$C$722,2,Данные!$A$2:$A$722,"&gt;="&amp;77233420000,Данные!$A$2:$A$722,"&lt;="&amp;77233420999)</f>
        <v>0</v>
      </c>
      <c r="AE76" s="65" t="n">
        <f aca="false">COUNTIFS(Данные!$B$2:$B$722,33,Данные!$C$2:$C$722,2,Данные!$A$2:$A$722,"&gt;="&amp;77234740000,Данные!$A$2:$A$722,"&lt;="&amp;77234742999)</f>
        <v>0</v>
      </c>
      <c r="AF76" s="65" t="n">
        <f aca="false">COUNTIFS(Данные!$B$2:$B$722,33,Данные!$C$2:$C$722,2,Данные!$A$2:$A$722,"&gt;="&amp;77234767000,Данные!$A$2:$A$722,"&lt;="&amp;77234767999)</f>
        <v>0</v>
      </c>
      <c r="AG76" s="65" t="n">
        <f aca="false">COUNTIFS(Данные!$B$2:$B$722,33,Данные!$C$2:$C$722,2,Данные!$A$2:$A$722,"&gt;="&amp;77234120000,Данные!$A$2:$A$722,"&lt;="&amp;77234120999)</f>
        <v>0</v>
      </c>
      <c r="AH76" s="65" t="n">
        <f aca="false">COUNTIFS(Данные!$B$2:$B$722,33,Данные!$C$2:$C$722,2,Данные!$A$2:$A$722,"&gt;="&amp;77234127000,Данные!$A$2:$A$722,"&lt;="&amp;77234127999)</f>
        <v>0</v>
      </c>
      <c r="AI76" s="65" t="n">
        <f aca="false">COUNTIFS(Данные!$B$2:$B$722,33,Данные!$C$2:$C$722,2,Данные!$A$2:$A$722,"&gt;="&amp;77234220000,Данные!$A$2:$A$722,"&lt;="&amp;77234220999)</f>
        <v>0</v>
      </c>
      <c r="AJ76" s="65" t="n">
        <f aca="false">COUNTIFS(Данные!$B$2:$B$722,33,Данные!$C$2:$C$722,2,Данные!$A$2:$A$722,"&gt;="&amp;77234250000,Данные!$A$2:$A$722,"&lt;="&amp;77234250999)</f>
        <v>0</v>
      </c>
      <c r="AK76" s="65" t="n">
        <f aca="false">COUNTIFS(Данные!$B$2:$B$722,33,Данные!$C$2:$C$722,2,Данные!$A$2:$A$722,"&gt;="&amp;77233922950,Данные!$A$2:$A$722,"&lt;="&amp;77233924999)</f>
        <v>0</v>
      </c>
      <c r="AL76" s="65" t="n">
        <f aca="false">COUNTIFS(Данные!$B$2:$B$722,33,Данные!$C$2:$C$722,2,Данные!$A$2:$A$722,"&gt;="&amp;77234320000,Данные!$A$2:$A$722,"&lt;="&amp;77234320999)</f>
        <v>0</v>
      </c>
      <c r="AM76" s="65" t="n">
        <f aca="false">COUNTIFS(Данные!$B$2:$B$722,33,Данные!$C$2:$C$722,2,Данные!$A$2:$A$722,"&gt;="&amp;77234350000,Данные!$A$2:$A$722,"&lt;="&amp;77234350999)</f>
        <v>0</v>
      </c>
      <c r="AN76" s="65" t="n">
        <f aca="false">COUNTIFS(Данные!$B$2:$B$722,33,Данные!$C$2:$C$722,2,Данные!$A$2:$A$722,"&gt;="&amp;77234020000,Данные!$A$2:$A$722,"&lt;="&amp;77234020999)</f>
        <v>0</v>
      </c>
      <c r="AO76" s="65" t="n">
        <f aca="false">COUNTIFS(Данные!$B$2:$B$722,33,Данные!$C$2:$C$722,2,Данные!$A$2:$A$722,"&gt;="&amp;77234029000,Данные!$A$2:$A$722,"&lt;="&amp;77234029999)</f>
        <v>0</v>
      </c>
      <c r="AP76" s="65" t="n">
        <f aca="false">COUNTIFS(Данные!$B$2:$B$722,33,Данные!$C$2:$C$722,2,Данные!$A$2:$A$722,"&gt;="&amp;77234050000,Данные!$A$2:$A$722,"&lt;="&amp;77234050999)</f>
        <v>0</v>
      </c>
      <c r="AQ76" s="65" t="n">
        <f aca="false">COUNTIFS(Данные!$B$2:$B$722,33,Данные!$C$2:$C$722,2,Данные!$A$2:$A$722,"&gt;="&amp;77234427000,Данные!$A$2:$A$722,"&lt;="&amp;77234428999)</f>
        <v>0</v>
      </c>
      <c r="AR76" s="65" t="n">
        <f aca="false">COUNTIFS(Данные!$B$2:$B$722,33,Данные!$C$2:$C$722,2,Данные!$A$2:$A$722,"&gt;="&amp;77234450000,Данные!$A$2:$A$722,"&lt;="&amp;77234450999)</f>
        <v>0</v>
      </c>
      <c r="AS76" s="65" t="n">
        <f aca="false">COUNTIFS(Данные!$B$2:$B$722,33,Данные!$C$2:$C$722,2,Данные!$A$2:$A$722,"&gt;="&amp;77234620000,Данные!$A$2:$A$722,"&lt;="&amp;77234620999)</f>
        <v>0</v>
      </c>
      <c r="AT76" s="65" t="n">
        <f aca="false">COUNTIFS(Данные!$B$2:$B$722,33,Данные!$C$2:$C$722,2,Данные!$A$2:$A$722,"&gt;="&amp;77234650000,Данные!$A$2:$A$722,"&lt;="&amp;77234650999)</f>
        <v>0</v>
      </c>
      <c r="AU76" s="65" t="n">
        <f aca="false">COUNTIFS(Данные!$B$2:$B$722,33,Данные!$C$2:$C$722,2,Данные!$A$2:$A$722,"&gt;="&amp;77234820000,Данные!$A$2:$A$722,"&lt;="&amp;77234820999)</f>
        <v>0</v>
      </c>
      <c r="AV76" s="65" t="n">
        <f aca="false">COUNTIFS(Данные!$B$2:$B$722,33,Данные!$C$2:$C$722,2,Данные!$A$2:$A$722,"&gt;="&amp;77234850000,Данные!$A$2:$A$722,"&lt;="&amp;77234850999)</f>
        <v>0</v>
      </c>
      <c r="AW76" s="65" t="n">
        <f aca="false">COUNTIFS(Данные!$B$2:$B$722,33,Данные!$C$2:$C$722,2,Данные!$A$2:$A$722,"&gt;="&amp;77233327000,Данные!$A$2:$A$722,"&lt;="&amp;77233327999)</f>
        <v>0</v>
      </c>
      <c r="AX76" s="65" t="n">
        <f aca="false">COUNTIFS(Данные!$B$2:$B$722,33,Данные!$C$2:$C$722,2,Данные!$A$2:$A$722,"&gt;="&amp;77233350000,Данные!$A$2:$A$722,"&lt;="&amp;77233350599)</f>
        <v>0</v>
      </c>
      <c r="AY76" s="65" t="n">
        <f aca="false">COUNTIFS(Данные!$B$2:$B$722,33,Данные!$C$2:$C$722,2,Данные!$A$2:$A$722,"&gt;="&amp;77233351000,Данные!$A$2:$A$722,"&lt;="&amp;77233351999)</f>
        <v>0</v>
      </c>
      <c r="AZ76" s="66" t="n">
        <f aca="false">COUNTIFS(Данные!$B$2:$B$722,33,Данные!$C$2:$C$722,2,Данные!$A$2:$A$722,"&gt;="&amp;7722440000,Данные!$A$2:$A$722,"&lt;="&amp;7722440999)</f>
        <v>0</v>
      </c>
      <c r="BA76" s="66" t="n">
        <f aca="false">COUNTIFS(Данные!$B$2:$B$722,33,Данные!$C$2:$C$722,2,Данные!$A$2:$A$722,"&gt;="&amp;7722442000,Данные!$A$2:$A$722,"&lt;="&amp;7722445659)</f>
        <v>0</v>
      </c>
      <c r="BB76" s="66" t="n">
        <f aca="false">COUNTIFS(Данные!$B$2:$B$722,33,Данные!$C$2:$C$722,2,Данные!$A$2:$A$722,"&gt;="&amp;7722450000,Данные!$A$2:$A$722,"&lt;="&amp;7722450199)</f>
        <v>0</v>
      </c>
      <c r="BC76" s="66" t="n">
        <f aca="false">COUNTIFS(Данные!$B$2:$B$722,33,Данные!$C$2:$C$722,2,Данные!$A$2:$A$722,"&gt;="&amp;7722451000,Данные!$A$2:$A$722,"&lt;="&amp;7722451374)</f>
        <v>0</v>
      </c>
      <c r="BD76" s="66" t="n">
        <f aca="false">COUNTIFS(Данные!$B$2:$B$722,33,Данные!$C$2:$C$722,2,Данные!$A$2:$A$722,"&gt;="&amp;7722452000,Данные!$A$2:$A$722,"&lt;="&amp;7722452299)</f>
        <v>0</v>
      </c>
      <c r="BE76" s="66" t="n">
        <f aca="false">COUNTIFS(Данные!$B$2:$B$722,33,Данные!$C$2:$C$722,2,Данные!$A$2:$A$722,"&gt;="&amp;7722453000,Данные!$A$2:$A$722,"&lt;="&amp;7722453816)</f>
        <v>0</v>
      </c>
      <c r="BF76" s="66" t="n">
        <f aca="false">COUNTIFS(Данные!$B$2:$B$722,33,Данные!$C$2:$C$722,2,Данные!$A$2:$A$722,"&gt;="&amp;7722454000,Данные!$A$2:$A$722,"&lt;="&amp;7722454099)</f>
        <v>0</v>
      </c>
      <c r="BG76" s="66" t="n">
        <f aca="false">COUNTIFS(Данные!$B$2:$B$722,33,Данные!$C$2:$C$722,2,Данные!$A$2:$A$722,"&gt;="&amp;7722458000,Данные!$A$2:$A$722,"&lt;="&amp;7722458999)</f>
        <v>0</v>
      </c>
      <c r="BH76" s="66" t="n">
        <f aca="false">COUNTIFS(Данные!$B$2:$B$722,33,Данные!$C$2:$C$722,2,Данные!$A$2:$A$722,"&gt;="&amp;7722630000,Данные!$A$2:$A$722,"&lt;="&amp;7722638549)</f>
        <v>0</v>
      </c>
      <c r="BI76" s="66" t="n">
        <f aca="false">COUNTIFS(Данные!$B$2:$B$722,33,Данные!$C$2:$C$722,2,Данные!$A$2:$A$722,"&gt;="&amp;7722639400,Данные!$A$2:$A$722,"&lt;="&amp;7722639899)</f>
        <v>0</v>
      </c>
      <c r="BJ76" s="66" t="n">
        <f aca="false">COUNTIFS(Данные!$B$2:$B$722,33,Данные!$C$2:$C$722,2,Данные!$A$2:$A$722,"&gt;="&amp;7725750000,Данные!$A$2:$A$722,"&lt;="&amp;7725750399)</f>
        <v>0</v>
      </c>
      <c r="BK76" s="66" t="n">
        <f aca="false">COUNTIFS(Данные!$B$2:$B$722,33,Данные!$C$2:$C$722,2,Данные!$A$2:$A$722,"&gt;="&amp;7723620000,Данные!$A$2:$A$722,"&lt;="&amp;7723621299)</f>
        <v>0</v>
      </c>
      <c r="BL76" s="66" t="n">
        <f aca="false">COUNTIFS(Данные!$B$2:$B$722,33,Данные!$C$2:$C$722,2,Данные!$A$2:$A$722,"&gt;="&amp;7723621600,Данные!$A$2:$A$722,"&lt;="&amp;7723623399)</f>
        <v>0</v>
      </c>
      <c r="BM76" s="66" t="n">
        <f aca="false">COUNTIFS(Данные!$B$2:$B$722,33,Данные!$C$2:$C$722,2,Данные!$A$2:$A$722,"&gt;="&amp;7725127000,Данные!$A$2:$A$722,"&lt;="&amp;7725127999)</f>
        <v>0</v>
      </c>
      <c r="BN76" s="66" t="n">
        <f aca="false">COUNTIFS(Данные!$B$2:$B$722,33,Данные!$C$2:$C$722,2,Данные!$A$2:$A$722,"&gt;="&amp;7723772000,Данные!$A$2:$A$722,"&lt;="&amp;7723724999)</f>
        <v>0</v>
      </c>
      <c r="BO76" s="65" t="n">
        <f aca="false">COUNTIFS(Данные!$B$2:$B$722,33,Данные!$C$2:$C$722,2,Данные!$A$2:$A$722,"&gt;="&amp;7723765000,Данные!$A$2:$A$722,"&lt;="&amp;7723765499)</f>
        <v>0</v>
      </c>
      <c r="BP76" s="66" t="n">
        <f aca="false">COUNTIFS(Данные!$B$2:$B$722,33,Данные!$C$2:$C$722,2,Данные!$A$2:$A$722,"&gt;="&amp;7723948000,Данные!$A$2:$A$722,"&lt;="&amp;7723948999)</f>
        <v>0</v>
      </c>
      <c r="BQ76" s="66" t="n">
        <f aca="false">COUNTIFS(Данные!$B$2:$B$722,33,Данные!$C$2:$C$722,2,Данные!$A$2:$A$722,"&gt;="&amp;7723950000,Данные!$A$2:$A$722,"&lt;="&amp;7723951099)</f>
        <v>0</v>
      </c>
      <c r="BR76" s="66" t="n">
        <f aca="false">COUNTIFS(Данные!$B$2:$B$722,33,Данные!$C$2:$C$722,2,Данные!$A$2:$A$722,"&gt;="&amp;7723020000,Данные!$A$2:$A$722,"&lt;="&amp;7723020999)</f>
        <v>0</v>
      </c>
      <c r="BS76" s="66" t="n">
        <f aca="false">COUNTIFS(Данные!$B$2:$B$722,33,Данные!$C$2:$C$722,2,Данные!$A$2:$A$722,"&gt;="&amp;7723029000,Данные!$A$2:$A$722,"&lt;="&amp;7723029999)</f>
        <v>0</v>
      </c>
      <c r="BT76" s="66" t="n">
        <f aca="false">COUNTIFS(Данные!$B$2:$B$722,33,Данные!$C$2:$C$722,2,Данные!$A$2:$A$722,"&gt;="&amp;7723055000,Данные!$A$2:$A$722,"&lt;="&amp;7723056549)</f>
        <v>0</v>
      </c>
      <c r="BU76" s="65" t="n">
        <f aca="false">COUNTIFS(Данные!$B$2:$B$722,33,Данные!$C$2:$C$722,2,Данные!$A$2:$A$722,"&gt;="&amp;7725250000,Данные!$A$2:$A$722,"&lt;="&amp;7725250499)</f>
        <v>0</v>
      </c>
      <c r="BV76" s="66" t="n">
        <f aca="false">COUNTIFS(Данные!$B$2:$B$722,33,Данные!$C$2:$C$722,2,Данные!$A$2:$A$722,"&gt;="&amp;7183841400,Данные!$A$2:$A$722,"&lt;="&amp;7183841499)</f>
        <v>0</v>
      </c>
      <c r="BW76" s="49" t="n">
        <v>300</v>
      </c>
      <c r="BX76" s="67" t="n">
        <f aca="false">F76-BW76</f>
        <v>-300</v>
      </c>
    </row>
    <row r="77" s="15" customFormat="true" ht="12" hidden="false" customHeight="true" outlineLevel="0" collapsed="false">
      <c r="A77" s="38" t="n">
        <v>36</v>
      </c>
      <c r="B77" s="39" t="s">
        <v>85</v>
      </c>
      <c r="C77" s="41" t="n">
        <v>0</v>
      </c>
      <c r="D77" s="41" t="n">
        <v>360</v>
      </c>
      <c r="E77" s="42" t="n">
        <f aca="false">SUM(F77:F79)</f>
        <v>92</v>
      </c>
      <c r="F77" s="62" t="n">
        <f aca="false">COUNTIFS(Данные!$B$2:$B$722,36,Данные!$C$2:$C$722,0)</f>
        <v>10</v>
      </c>
      <c r="G77" s="62" t="n">
        <f aca="false">COUNTIFS(Данные!$B$2:$B$722,36,Данные!$C$2:$C$722,0,Данные!$A$2:$A$722,"&gt;="&amp;77232210840,Данные!$A$2:$A$722,"&lt;="&amp;77232216999)</f>
        <v>0</v>
      </c>
      <c r="H77" s="62" t="n">
        <f aca="false">COUNTIFS(Данные!$B$2:$B$722,36,Данные!$C$2:$C$722,0,Данные!$A$2:$A$722,"&gt;="&amp;77232510512,Данные!$A$2:$A$722,"&lt;="&amp;77232519487)</f>
        <v>0</v>
      </c>
      <c r="I77" s="62" t="n">
        <f aca="false">COUNTIFS(Данные!$B$2:$B$722,36,Данные!$C$2:$C$722,0,Данные!$A$2:$A$722,"&gt;="&amp;77232524160,Данные!$A$2:$A$722,"&lt;="&amp;77232529999)</f>
        <v>0</v>
      </c>
      <c r="J77" s="62" t="n">
        <f aca="false">COUNTIFS(Данные!$B$2:$B$722,36,Данные!$C$2:$C$722,0,Данные!$A$2:$A$722,"&gt;="&amp;77232544000,Данные!$A$2:$A$722,"&lt;="&amp;77232544999)</f>
        <v>0</v>
      </c>
      <c r="K77" s="62" t="n">
        <f aca="false">COUNTIFS(Данные!$B$2:$B$722,36,Данные!$C$2:$C$722,0,Данные!$A$2:$A$722,"&gt;="&amp;77232295504,Данные!$A$2:$A$722,"&lt;="&amp;77232296999)</f>
        <v>0</v>
      </c>
      <c r="L77" s="62" t="n">
        <f aca="false">COUNTIFS(Данные!$B$2:$B$722,36,Данные!$C$2:$C$722,0,Данные!$A$2:$A$722,"&gt;="&amp;77232785000,Данные!$A$2:$A$722,"&lt;="&amp;77232789999)</f>
        <v>0</v>
      </c>
      <c r="M77" s="62" t="n">
        <f aca="false">COUNTIFS(Данные!$B$2:$B$722,36,Данные!$C$2:$C$722,0,Данные!$A$2:$A$722,"&gt;="&amp;77233150000,Данные!$A$2:$A$722,"&lt;="&amp;77233155999)</f>
        <v>0</v>
      </c>
      <c r="N77" s="62" t="n">
        <f aca="false">COUNTIFS(Данные!$B$2:$B$722,36,Данные!$C$2:$C$722,0,Данные!$A$2:$A$722,"&gt;="&amp;77233235000,Данные!$A$2:$A$722,"&lt;="&amp;77233235999)</f>
        <v>0</v>
      </c>
      <c r="O77" s="62" t="n">
        <f aca="false">COUNTIFS(Данные!$B$2:$B$722,36,Данные!$C$2:$C$722,0,Данные!$A$2:$A$722,"&gt;="&amp;77233239000,Данные!$A$2:$A$722,"&lt;="&amp;77233239999)</f>
        <v>0</v>
      </c>
      <c r="P77" s="62" t="n">
        <f aca="false">COUNTIFS(Данные!$B$2:$B$722,36,Данные!$C$2:$C$722,0,Данные!$A$2:$A$722,"&gt;="&amp;77233272000,Данные!$A$2:$A$722,"&lt;="&amp;77233272999)</f>
        <v>0</v>
      </c>
      <c r="Q77" s="62" t="n">
        <f aca="false">COUNTIFS(Данные!$B$2:$B$722,36,Данные!$C$2:$C$722,0,Данные!$A$2:$A$722,"&gt;="&amp;77233291100,Данные!$A$2:$A$722,"&lt;="&amp;77233292999)</f>
        <v>0</v>
      </c>
      <c r="R77" s="62" t="n">
        <f aca="false">COUNTIFS(Данные!$B$2:$B$722,36,Данные!$C$2:$C$722,0,Данные!$A$2:$A$722,"&gt;="&amp;77233297000,Данные!$A$2:$A$722,"&lt;="&amp;77233298399)</f>
        <v>0</v>
      </c>
      <c r="S77" s="62" t="n">
        <f aca="false">COUNTIFS(Данные!$B$2:$B$722,36,Данные!$C$2:$C$722,0,Данные!$A$2:$A$722,"&gt;="&amp;77235124000,Данные!$A$2:$A$722,"&lt;="&amp;77235128499)</f>
        <v>0</v>
      </c>
      <c r="T77" s="62" t="n">
        <f aca="false">COUNTIFS(Данные!$B$2:$B$722,36,Данные!$C$2:$C$722,0,Данные!$A$2:$A$722,"&gt;="&amp;77235320000,Данные!$A$2:$A$722,"&lt;="&amp;77235320999)</f>
        <v>10</v>
      </c>
      <c r="U77" s="62" t="n">
        <f aca="false">COUNTIFS(Данные!$B$2:$B$722,36,Данные!$C$2:$C$722,0,Данные!$A$2:$A$722,"&gt;="&amp;77233620000,Данные!$A$2:$A$722,"&lt;="&amp;77233623339)</f>
        <v>0</v>
      </c>
      <c r="V77" s="62" t="n">
        <f aca="false">COUNTIFS(Данные!$B$2:$B$722,36,Данные!$C$2:$C$722,0,Данные!$A$2:$A$722,"&gt;="&amp;77233630000,Данные!$A$2:$A$722,"&lt;="&amp;77233630999)</f>
        <v>0</v>
      </c>
      <c r="W77" s="62" t="n">
        <f aca="false">COUNTIFS(Данные!$B$2:$B$722,36,Данные!$C$2:$C$722,0,Данные!$A$2:$A$722,"&gt;="&amp;77233637000,Данные!$A$2:$A$722,"&lt;="&amp;77233637599)</f>
        <v>0</v>
      </c>
      <c r="X77" s="62" t="n">
        <f aca="false">COUNTIFS(Данные!$B$2:$B$722,36,Данные!$C$2:$C$722,0,Данные!$A$2:$A$722,"&gt;="&amp;77233550000,Данные!$A$2:$A$722,"&lt;="&amp;77233550999)</f>
        <v>0</v>
      </c>
      <c r="Y77" s="62" t="n">
        <f aca="false">COUNTIFS(Данные!$B$2:$B$722,36,Данные!$C$2:$C$722,0,Данные!$A$2:$A$722,"&gt;="&amp;77233554000,Данные!$A$2:$A$722,"&lt;="&amp;77233554999)</f>
        <v>0</v>
      </c>
      <c r="Z77" s="62" t="n">
        <f aca="false">COUNTIFS(Данные!$B$2:$B$722,36,Данные!$C$2:$C$722,0,Данные!$A$2:$A$722,"&gt;="&amp;77233555000,Данные!$A$2:$A$722,"&lt;="&amp;77233556999)</f>
        <v>0</v>
      </c>
      <c r="AA77" s="62" t="n">
        <f aca="false">COUNTIFS(Данные!$B$2:$B$722,36,Данные!$C$2:$C$722,0,Данные!$A$2:$A$722,"&gt;="&amp;77233726000,Данные!$A$2:$A$722,"&lt;="&amp;77233726999)</f>
        <v>0</v>
      </c>
      <c r="AB77" s="62" t="n">
        <f aca="false">COUNTIFS(Данные!$B$2:$B$722,36,Данные!$C$2:$C$722,0,Данные!$A$2:$A$722,"&gt;="&amp;77233820000,Данные!$A$2:$A$722,"&lt;="&amp;77233820999)</f>
        <v>0</v>
      </c>
      <c r="AC77" s="62" t="n">
        <f aca="false">COUNTIFS(Данные!$B$2:$B$722,36,Данные!$C$2:$C$722,0,Данные!$A$2:$A$722,"&gt;="&amp;77233850000,Данные!$A$2:$A$722,"&lt;="&amp;77233850999)</f>
        <v>0</v>
      </c>
      <c r="AD77" s="62" t="n">
        <f aca="false">COUNTIFS(Данные!$B$2:$B$722,36,Данные!$C$2:$C$722,0,Данные!$A$2:$A$722,"&gt;="&amp;77233420000,Данные!$A$2:$A$722,"&lt;="&amp;77233420999)</f>
        <v>0</v>
      </c>
      <c r="AE77" s="62" t="n">
        <f aca="false">COUNTIFS(Данные!$B$2:$B$722,36,Данные!$C$2:$C$722,0,Данные!$A$2:$A$722,"&gt;="&amp;77234740000,Данные!$A$2:$A$722,"&lt;="&amp;77234742999)</f>
        <v>0</v>
      </c>
      <c r="AF77" s="62" t="n">
        <f aca="false">COUNTIFS(Данные!$B$2:$B$722,36,Данные!$C$2:$C$722,0,Данные!$A$2:$A$722,"&gt;="&amp;77234767000,Данные!$A$2:$A$722,"&lt;="&amp;77234767999)</f>
        <v>0</v>
      </c>
      <c r="AG77" s="62" t="n">
        <f aca="false">COUNTIFS(Данные!$B$2:$B$722,36,Данные!$C$2:$C$722,0,Данные!$A$2:$A$722,"&gt;="&amp;77234120000,Данные!$A$2:$A$722,"&lt;="&amp;77234120999)</f>
        <v>0</v>
      </c>
      <c r="AH77" s="62" t="n">
        <f aca="false">COUNTIFS(Данные!$B$2:$B$722,36,Данные!$C$2:$C$722,0,Данные!$A$2:$A$722,"&gt;="&amp;77234127000,Данные!$A$2:$A$722,"&lt;="&amp;77234127999)</f>
        <v>0</v>
      </c>
      <c r="AI77" s="62" t="n">
        <f aca="false">COUNTIFS(Данные!$B$2:$B$722,36,Данные!$C$2:$C$722,0,Данные!$A$2:$A$722,"&gt;="&amp;77234220000,Данные!$A$2:$A$722,"&lt;="&amp;77234220999)</f>
        <v>0</v>
      </c>
      <c r="AJ77" s="62" t="n">
        <f aca="false">COUNTIFS(Данные!$B$2:$B$722,36,Данные!$C$2:$C$722,0,Данные!$A$2:$A$722,"&gt;="&amp;77234250000,Данные!$A$2:$A$722,"&lt;="&amp;77234250999)</f>
        <v>0</v>
      </c>
      <c r="AK77" s="62" t="n">
        <f aca="false">COUNTIFS(Данные!$B$2:$B$722,36,Данные!$C$2:$C$722,0,Данные!$A$2:$A$722,"&gt;="&amp;77233922950,Данные!$A$2:$A$722,"&lt;="&amp;77233924999)</f>
        <v>0</v>
      </c>
      <c r="AL77" s="62" t="n">
        <f aca="false">COUNTIFS(Данные!$B$2:$B$722,36,Данные!$C$2:$C$722,0,Данные!$A$2:$A$722,"&gt;="&amp;77234320000,Данные!$A$2:$A$722,"&lt;="&amp;77234320999)</f>
        <v>0</v>
      </c>
      <c r="AM77" s="62" t="n">
        <f aca="false">COUNTIFS(Данные!$B$2:$B$722,36,Данные!$C$2:$C$722,0,Данные!$A$2:$A$722,"&gt;="&amp;77234350000,Данные!$A$2:$A$722,"&lt;="&amp;77234350999)</f>
        <v>0</v>
      </c>
      <c r="AN77" s="62" t="n">
        <f aca="false">COUNTIFS(Данные!$B$2:$B$722,36,Данные!$C$2:$C$722,0,Данные!$A$2:$A$722,"&gt;="&amp;77234020000,Данные!$A$2:$A$722,"&lt;="&amp;77234020999)</f>
        <v>0</v>
      </c>
      <c r="AO77" s="62" t="n">
        <f aca="false">COUNTIFS(Данные!$B$2:$B$722,36,Данные!$C$2:$C$722,0,Данные!$A$2:$A$722,"&gt;="&amp;77234029000,Данные!$A$2:$A$722,"&lt;="&amp;77234029999)</f>
        <v>0</v>
      </c>
      <c r="AP77" s="62" t="n">
        <f aca="false">COUNTIFS(Данные!$B$2:$B$722,36,Данные!$C$2:$C$722,0,Данные!$A$2:$A$722,"&gt;="&amp;77234050000,Данные!$A$2:$A$722,"&lt;="&amp;77234050999)</f>
        <v>0</v>
      </c>
      <c r="AQ77" s="62" t="n">
        <f aca="false">COUNTIFS(Данные!$B$2:$B$722,36,Данные!$C$2:$C$722,0,Данные!$A$2:$A$722,"&gt;="&amp;77234427000,Данные!$A$2:$A$722,"&lt;="&amp;77234428999)</f>
        <v>0</v>
      </c>
      <c r="AR77" s="62" t="n">
        <f aca="false">COUNTIFS(Данные!$B$2:$B$722,36,Данные!$C$2:$C$722,0,Данные!$A$2:$A$722,"&gt;="&amp;77234450000,Данные!$A$2:$A$722,"&lt;="&amp;77234450999)</f>
        <v>0</v>
      </c>
      <c r="AS77" s="62" t="n">
        <f aca="false">COUNTIFS(Данные!$B$2:$B$722,36,Данные!$C$2:$C$722,0,Данные!$A$2:$A$722,"&gt;="&amp;77234620000,Данные!$A$2:$A$722,"&lt;="&amp;77234620999)</f>
        <v>0</v>
      </c>
      <c r="AT77" s="62" t="n">
        <f aca="false">COUNTIFS(Данные!$B$2:$B$722,36,Данные!$C$2:$C$722,0,Данные!$A$2:$A$722,"&gt;="&amp;77234650000,Данные!$A$2:$A$722,"&lt;="&amp;77234650999)</f>
        <v>0</v>
      </c>
      <c r="AU77" s="62" t="n">
        <f aca="false">COUNTIFS(Данные!$B$2:$B$722,36,Данные!$C$2:$C$722,0,Данные!$A$2:$A$722,"&gt;="&amp;77234820000,Данные!$A$2:$A$722,"&lt;="&amp;77234820999)</f>
        <v>0</v>
      </c>
      <c r="AV77" s="62" t="n">
        <f aca="false">COUNTIFS(Данные!$B$2:$B$722,36,Данные!$C$2:$C$722,0,Данные!$A$2:$A$722,"&gt;="&amp;77234850000,Данные!$A$2:$A$722,"&lt;="&amp;77234850999)</f>
        <v>0</v>
      </c>
      <c r="AW77" s="62" t="n">
        <f aca="false">COUNTIFS(Данные!$B$2:$B$722,36,Данные!$C$2:$C$722,0,Данные!$A$2:$A$722,"&gt;="&amp;77233327000,Данные!$A$2:$A$722,"&lt;="&amp;77233327999)</f>
        <v>0</v>
      </c>
      <c r="AX77" s="62" t="n">
        <f aca="false">COUNTIFS(Данные!$B$2:$B$722,36,Данные!$C$2:$C$722,0,Данные!$A$2:$A$722,"&gt;="&amp;77233350000,Данные!$A$2:$A$722,"&lt;="&amp;77233350599)</f>
        <v>0</v>
      </c>
      <c r="AY77" s="62" t="n">
        <f aca="false">COUNTIFS(Данные!$B$2:$B$722,36,Данные!$C$2:$C$722,0,Данные!$A$2:$A$722,"&gt;="&amp;77233351000,Данные!$A$2:$A$722,"&lt;="&amp;77233351999)</f>
        <v>0</v>
      </c>
      <c r="AZ77" s="62" t="n">
        <f aca="false">COUNTIFS(Данные!$B$2:$B$722,36,Данные!$C$2:$C$722,0,Данные!$A$2:$A$722,"&gt;="&amp;7722440000,Данные!$A$2:$A$722,"&lt;="&amp;7722440999)</f>
        <v>0</v>
      </c>
      <c r="BA77" s="63" t="n">
        <f aca="false">COUNTIFS(Данные!$B$2:$B$722,36,Данные!$C$2:$C$722,0,Данные!$A$2:$A$722,"&gt;="&amp;7722442000,Данные!$A$2:$A$722,"&lt;="&amp;7722445659)</f>
        <v>0</v>
      </c>
      <c r="BB77" s="63" t="n">
        <f aca="false">COUNTIFS(Данные!$B$2:$B$722,36,Данные!$C$2:$C$722,0,Данные!$A$2:$A$722,"&gt;="&amp;7722450000,Данные!$A$2:$A$722,"&lt;="&amp;7722450199)</f>
        <v>0</v>
      </c>
      <c r="BC77" s="63" t="n">
        <f aca="false">COUNTIFS(Данные!$B$2:$B$722,36,Данные!$C$2:$C$722,0,Данные!$A$2:$A$722,"&gt;="&amp;7722451000,Данные!$A$2:$A$722,"&lt;="&amp;7722451374)</f>
        <v>0</v>
      </c>
      <c r="BD77" s="63" t="n">
        <f aca="false">COUNTIFS(Данные!$B$2:$B$722,36,Данные!$C$2:$C$722,0,Данные!$A$2:$A$722,"&gt;="&amp;7722452000,Данные!$A$2:$A$722,"&lt;="&amp;7722452299)</f>
        <v>0</v>
      </c>
      <c r="BE77" s="63" t="n">
        <f aca="false">COUNTIFS(Данные!$B$2:$B$722,36,Данные!$C$2:$C$722,0,Данные!$A$2:$A$722,"&gt;="&amp;7722453000,Данные!$A$2:$A$722,"&lt;="&amp;7722453816)</f>
        <v>0</v>
      </c>
      <c r="BF77" s="63" t="n">
        <f aca="false">COUNTIFS(Данные!$B$2:$B$722,36,Данные!$C$2:$C$722,0,Данные!$A$2:$A$722,"&gt;="&amp;7722454000,Данные!$A$2:$A$722,"&lt;="&amp;7722454099)</f>
        <v>0</v>
      </c>
      <c r="BG77" s="63" t="n">
        <f aca="false">COUNTIFS(Данные!$B$2:$B$722,36,Данные!$C$2:$C$722,0,Данные!$A$2:$A$722,"&gt;="&amp;7722458000,Данные!$A$2:$A$722,"&lt;="&amp;7722458999)</f>
        <v>0</v>
      </c>
      <c r="BH77" s="63" t="n">
        <f aca="false">COUNTIFS(Данные!$B$2:$B$722,36,Данные!$C$2:$C$722,0,Данные!$A$2:$A$722,"&gt;="&amp;7722630000,Данные!$A$2:$A$722,"&lt;="&amp;7722638549)</f>
        <v>0</v>
      </c>
      <c r="BI77" s="63" t="n">
        <f aca="false">COUNTIFS(Данные!$B$2:$B$722,36,Данные!$C$2:$C$722,0,Данные!$A$2:$A$722,"&gt;="&amp;7722639400,Данные!$A$2:$A$722,"&lt;="&amp;7722639899)</f>
        <v>0</v>
      </c>
      <c r="BJ77" s="63" t="n">
        <f aca="false">COUNTIFS(Данные!$B$2:$B$722,36,Данные!$C$2:$C$722,0,Данные!$A$2:$A$722,"&gt;="&amp;7725750000,Данные!$A$2:$A$722,"&lt;="&amp;7725750399)</f>
        <v>0</v>
      </c>
      <c r="BK77" s="63" t="n">
        <f aca="false">COUNTIFS(Данные!$B$2:$B$722,36,Данные!$C$2:$C$722,0,Данные!$A$2:$A$722,"&gt;="&amp;7723620000,Данные!$A$2:$A$722,"&lt;="&amp;7723621299)</f>
        <v>0</v>
      </c>
      <c r="BL77" s="63" t="n">
        <f aca="false">COUNTIFS(Данные!$B$2:$B$722,36,Данные!$C$2:$C$722,0,Данные!$A$2:$A$722,"&gt;="&amp;7723621600,Данные!$A$2:$A$722,"&lt;="&amp;7723623399)</f>
        <v>0</v>
      </c>
      <c r="BM77" s="63" t="n">
        <f aca="false">COUNTIFS(Данные!$B$2:$B$722,36,Данные!$C$2:$C$722,0,Данные!$A$2:$A$722,"&gt;="&amp;7725127000,Данные!$A$2:$A$722,"&lt;="&amp;7725127999)</f>
        <v>0</v>
      </c>
      <c r="BN77" s="63" t="n">
        <f aca="false">COUNTIFS(Данные!$B$2:$B$722,36,Данные!$C$2:$C$722,0,Данные!$A$2:$A$722,"&gt;="&amp;7723772000,Данные!$A$2:$A$722,"&lt;="&amp;7723724999)</f>
        <v>0</v>
      </c>
      <c r="BO77" s="62" t="n">
        <f aca="false">COUNTIFS(Данные!$B$2:$B$722,36,Данные!$C$2:$C$722,0,Данные!$A$2:$A$722,"&gt;="&amp;7723765000,Данные!$A$2:$A$722,"&lt;="&amp;7723765499)</f>
        <v>0</v>
      </c>
      <c r="BP77" s="63" t="n">
        <f aca="false">COUNTIFS(Данные!$B$2:$B$722,36,Данные!$C$2:$C$722,0,Данные!$A$2:$A$722,"&gt;="&amp;7723948000,Данные!$A$2:$A$722,"&lt;="&amp;7723948999)</f>
        <v>0</v>
      </c>
      <c r="BQ77" s="63" t="n">
        <f aca="false">COUNTIFS(Данные!$B$2:$B$722,36,Данные!$C$2:$C$722,0,Данные!$A$2:$A$722,"&gt;="&amp;7723950000,Данные!$A$2:$A$722,"&lt;="&amp;7723951099)</f>
        <v>0</v>
      </c>
      <c r="BR77" s="63" t="n">
        <f aca="false">COUNTIFS(Данные!$B$2:$B$722,36,Данные!$C$2:$C$722,0,Данные!$A$2:$A$722,"&gt;="&amp;7723020000,Данные!$A$2:$A$722,"&lt;="&amp;7723020999)</f>
        <v>0</v>
      </c>
      <c r="BS77" s="63" t="n">
        <f aca="false">COUNTIFS(Данные!$B$2:$B$722,36,Данные!$C$2:$C$722,0,Данные!$A$2:$A$722,"&gt;="&amp;7723029000,Данные!$A$2:$A$722,"&lt;="&amp;7723029999)</f>
        <v>0</v>
      </c>
      <c r="BT77" s="63" t="n">
        <f aca="false">COUNTIFS(Данные!$B$2:$B$722,36,Данные!$C$2:$C$722,0,Данные!$A$2:$A$722,"&gt;="&amp;7723055000,Данные!$A$2:$A$722,"&lt;="&amp;7723056549)</f>
        <v>0</v>
      </c>
      <c r="BU77" s="62" t="n">
        <f aca="false">COUNTIFS(Данные!$B$2:$B$722,36,Данные!$C$2:$C$722,0,Данные!$A$2:$A$722,"&gt;="&amp;7725250000,Данные!$A$2:$A$722,"&lt;="&amp;7725250499)</f>
        <v>0</v>
      </c>
      <c r="BV77" s="63" t="n">
        <f aca="false">COUNTIFS(Данные!$B$2:$B$722,36,Данные!$C$2:$C$722,0,Данные!$A$2:$A$722,"&gt;="&amp;7183841400,Данные!$A$2:$A$722,"&lt;="&amp;7183841499)</f>
        <v>0</v>
      </c>
      <c r="BW77" s="40" t="n">
        <v>300</v>
      </c>
      <c r="BX77" s="64" t="n">
        <f aca="false">F77-BW77</f>
        <v>-290</v>
      </c>
    </row>
    <row r="78" s="15" customFormat="true" ht="12" hidden="false" customHeight="true" outlineLevel="0" collapsed="false">
      <c r="A78" s="38"/>
      <c r="B78" s="39"/>
      <c r="C78" s="41" t="n">
        <v>1</v>
      </c>
      <c r="D78" s="41" t="n">
        <v>361</v>
      </c>
      <c r="E78" s="42"/>
      <c r="F78" s="62" t="n">
        <f aca="false">COUNTIFS(Данные!$B$2:$B$722,36,Данные!$C$2:$C$722,1)</f>
        <v>25</v>
      </c>
      <c r="G78" s="62" t="n">
        <f aca="false">COUNTIFS(Данные!$B$2:$B$722,36,Данные!$C$2:$C$722,1,Данные!$A$2:$A$722,"&gt;="&amp;77232210840,Данные!$A$2:$A$722,"&lt;="&amp;77232216999)</f>
        <v>0</v>
      </c>
      <c r="H78" s="62" t="n">
        <f aca="false">COUNTIFS(Данные!$B$2:$B$722,36,Данные!$C$2:$C$722,1,Данные!$A$2:$A$722,"&gt;="&amp;77232510512,Данные!$A$2:$A$722,"&lt;="&amp;77232519487)</f>
        <v>0</v>
      </c>
      <c r="I78" s="62" t="n">
        <f aca="false">COUNTIFS(Данные!$B$2:$B$722,36,Данные!$C$2:$C$722,1,Данные!$A$2:$A$722,"&gt;="&amp;77232524160,Данные!$A$2:$A$722,"&lt;="&amp;77232529999)</f>
        <v>0</v>
      </c>
      <c r="J78" s="62" t="n">
        <f aca="false">COUNTIFS(Данные!$B$2:$B$722,36,Данные!$C$2:$C$722,1,Данные!$A$2:$A$722,"&gt;="&amp;77232544000,Данные!$A$2:$A$722,"&lt;="&amp;77232544999)</f>
        <v>0</v>
      </c>
      <c r="K78" s="62" t="n">
        <f aca="false">COUNTIFS(Данные!$B$2:$B$722,36,Данные!$C$2:$C$722,1,Данные!$A$2:$A$722,"&gt;="&amp;77232295504,Данные!$A$2:$A$722,"&lt;="&amp;77232296999)</f>
        <v>0</v>
      </c>
      <c r="L78" s="62" t="n">
        <f aca="false">COUNTIFS(Данные!$B$2:$B$722,36,Данные!$C$2:$C$722,1,Данные!$A$2:$A$722,"&gt;="&amp;77232785000,Данные!$A$2:$A$722,"&lt;="&amp;77232789999)</f>
        <v>0</v>
      </c>
      <c r="M78" s="62" t="n">
        <f aca="false">COUNTIFS(Данные!$B$2:$B$722,36,Данные!$C$2:$C$722,1,Данные!$A$2:$A$722,"&gt;="&amp;77233150000,Данные!$A$2:$A$722,"&lt;="&amp;77233155999)</f>
        <v>0</v>
      </c>
      <c r="N78" s="62" t="n">
        <f aca="false">COUNTIFS(Данные!$B$2:$B$722,36,Данные!$C$2:$C$722,1,Данные!$A$2:$A$722,"&gt;="&amp;77233235000,Данные!$A$2:$A$722,"&lt;="&amp;77233235999)</f>
        <v>0</v>
      </c>
      <c r="O78" s="62" t="n">
        <f aca="false">COUNTIFS(Данные!$B$2:$B$722,36,Данные!$C$2:$C$722,1,Данные!$A$2:$A$722,"&gt;="&amp;77233239000,Данные!$A$2:$A$722,"&lt;="&amp;77233239999)</f>
        <v>0</v>
      </c>
      <c r="P78" s="62" t="n">
        <f aca="false">COUNTIFS(Данные!$B$2:$B$722,36,Данные!$C$2:$C$722,1,Данные!$A$2:$A$722,"&gt;="&amp;77233272000,Данные!$A$2:$A$722,"&lt;="&amp;77233272999)</f>
        <v>0</v>
      </c>
      <c r="Q78" s="62" t="n">
        <f aca="false">COUNTIFS(Данные!$B$2:$B$722,36,Данные!$C$2:$C$722,1,Данные!$A$2:$A$722,"&gt;="&amp;77233291100,Данные!$A$2:$A$722,"&lt;="&amp;77233292999)</f>
        <v>0</v>
      </c>
      <c r="R78" s="62" t="n">
        <f aca="false">COUNTIFS(Данные!$B$2:$B$722,36,Данные!$C$2:$C$722,1,Данные!$A$2:$A$722,"&gt;="&amp;77233297000,Данные!$A$2:$A$722,"&lt;="&amp;77233298399)</f>
        <v>0</v>
      </c>
      <c r="S78" s="62" t="n">
        <f aca="false">COUNTIFS(Данные!$B$2:$B$722,36,Данные!$C$2:$C$722,1,Данные!$A$2:$A$722,"&gt;="&amp;77235124000,Данные!$A$2:$A$722,"&lt;="&amp;77235128499)</f>
        <v>0</v>
      </c>
      <c r="T78" s="62" t="n">
        <f aca="false">COUNTIFS(Данные!$B$2:$B$722,36,Данные!$C$2:$C$722,1,Данные!$A$2:$A$722,"&gt;="&amp;77235320000,Данные!$A$2:$A$722,"&lt;="&amp;77235320999)</f>
        <v>24</v>
      </c>
      <c r="U78" s="62" t="n">
        <f aca="false">COUNTIFS(Данные!$B$2:$B$722,36,Данные!$C$2:$C$722,1,Данные!$A$2:$A$722,"&gt;="&amp;77233620000,Данные!$A$2:$A$722,"&lt;="&amp;77233623339)</f>
        <v>0</v>
      </c>
      <c r="V78" s="62" t="n">
        <f aca="false">COUNTIFS(Данные!$B$2:$B$722,36,Данные!$C$2:$C$722,1,Данные!$A$2:$A$722,"&gt;="&amp;77233630000,Данные!$A$2:$A$722,"&lt;="&amp;77233630999)</f>
        <v>0</v>
      </c>
      <c r="W78" s="62" t="n">
        <f aca="false">COUNTIFS(Данные!$B$2:$B$722,36,Данные!$C$2:$C$722,1,Данные!$A$2:$A$722,"&gt;="&amp;77233637000,Данные!$A$2:$A$722,"&lt;="&amp;77233637599)</f>
        <v>0</v>
      </c>
      <c r="X78" s="62" t="n">
        <f aca="false">COUNTIFS(Данные!$B$2:$B$722,36,Данные!$C$2:$C$722,1,Данные!$A$2:$A$722,"&gt;="&amp;77233550000,Данные!$A$2:$A$722,"&lt;="&amp;77233550999)</f>
        <v>0</v>
      </c>
      <c r="Y78" s="62" t="n">
        <f aca="false">COUNTIFS(Данные!$B$2:$B$722,36,Данные!$C$2:$C$722,1,Данные!$A$2:$A$722,"&gt;="&amp;77233554000,Данные!$A$2:$A$722,"&lt;="&amp;77233554999)</f>
        <v>0</v>
      </c>
      <c r="Z78" s="62" t="n">
        <f aca="false">COUNTIFS(Данные!$B$2:$B$722,36,Данные!$C$2:$C$722,1,Данные!$A$2:$A$722,"&gt;="&amp;77233555000,Данные!$A$2:$A$722,"&lt;="&amp;77233556999)</f>
        <v>0</v>
      </c>
      <c r="AA78" s="62" t="n">
        <f aca="false">COUNTIFS(Данные!$B$2:$B$722,36,Данные!$C$2:$C$722,1,Данные!$A$2:$A$722,"&gt;="&amp;77233726000,Данные!$A$2:$A$722,"&lt;="&amp;77233726999)</f>
        <v>0</v>
      </c>
      <c r="AB78" s="62" t="n">
        <f aca="false">COUNTIFS(Данные!$B$2:$B$722,36,Данные!$C$2:$C$722,1,Данные!$A$2:$A$722,"&gt;="&amp;77233820000,Данные!$A$2:$A$722,"&lt;="&amp;77233820999)</f>
        <v>0</v>
      </c>
      <c r="AC78" s="62" t="n">
        <f aca="false">COUNTIFS(Данные!$B$2:$B$722,36,Данные!$C$2:$C$722,1,Данные!$A$2:$A$722,"&gt;="&amp;77233850000,Данные!$A$2:$A$722,"&lt;="&amp;77233850999)</f>
        <v>0</v>
      </c>
      <c r="AD78" s="62" t="n">
        <f aca="false">COUNTIFS(Данные!$B$2:$B$722,36,Данные!$C$2:$C$722,1,Данные!$A$2:$A$722,"&gt;="&amp;77233420000,Данные!$A$2:$A$722,"&lt;="&amp;77233420999)</f>
        <v>0</v>
      </c>
      <c r="AE78" s="62" t="n">
        <f aca="false">COUNTIFS(Данные!$B$2:$B$722,36,Данные!$C$2:$C$722,1,Данные!$A$2:$A$722,"&gt;="&amp;77234740000,Данные!$A$2:$A$722,"&lt;="&amp;77234742999)</f>
        <v>0</v>
      </c>
      <c r="AF78" s="62" t="n">
        <f aca="false">COUNTIFS(Данные!$B$2:$B$722,36,Данные!$C$2:$C$722,1,Данные!$A$2:$A$722,"&gt;="&amp;77234767000,Данные!$A$2:$A$722,"&lt;="&amp;77234767999)</f>
        <v>0</v>
      </c>
      <c r="AG78" s="62" t="n">
        <f aca="false">COUNTIFS(Данные!$B$2:$B$722,36,Данные!$C$2:$C$722,1,Данные!$A$2:$A$722,"&gt;="&amp;77234120000,Данные!$A$2:$A$722,"&lt;="&amp;77234120999)</f>
        <v>0</v>
      </c>
      <c r="AH78" s="62" t="n">
        <f aca="false">COUNTIFS(Данные!$B$2:$B$722,36,Данные!$C$2:$C$722,1,Данные!$A$2:$A$722,"&gt;="&amp;77234127000,Данные!$A$2:$A$722,"&lt;="&amp;77234127999)</f>
        <v>0</v>
      </c>
      <c r="AI78" s="62" t="n">
        <f aca="false">COUNTIFS(Данные!$B$2:$B$722,36,Данные!$C$2:$C$722,1,Данные!$A$2:$A$722,"&gt;="&amp;77234220000,Данные!$A$2:$A$722,"&lt;="&amp;77234220999)</f>
        <v>0</v>
      </c>
      <c r="AJ78" s="62" t="n">
        <f aca="false">COUNTIFS(Данные!$B$2:$B$722,36,Данные!$C$2:$C$722,1,Данные!$A$2:$A$722,"&gt;="&amp;77234250000,Данные!$A$2:$A$722,"&lt;="&amp;77234250999)</f>
        <v>0</v>
      </c>
      <c r="AK78" s="62" t="n">
        <f aca="false">COUNTIFS(Данные!$B$2:$B$722,36,Данные!$C$2:$C$722,1,Данные!$A$2:$A$722,"&gt;="&amp;77233922950,Данные!$A$2:$A$722,"&lt;="&amp;77233924999)</f>
        <v>0</v>
      </c>
      <c r="AL78" s="62" t="n">
        <f aca="false">COUNTIFS(Данные!$B$2:$B$722,36,Данные!$C$2:$C$722,1,Данные!$A$2:$A$722,"&gt;="&amp;77234320000,Данные!$A$2:$A$722,"&lt;="&amp;77234320999)</f>
        <v>0</v>
      </c>
      <c r="AM78" s="62" t="n">
        <f aca="false">COUNTIFS(Данные!$B$2:$B$722,36,Данные!$C$2:$C$722,1,Данные!$A$2:$A$722,"&gt;="&amp;77234350000,Данные!$A$2:$A$722,"&lt;="&amp;77234350999)</f>
        <v>0</v>
      </c>
      <c r="AN78" s="62" t="n">
        <f aca="false">COUNTIFS(Данные!$B$2:$B$722,36,Данные!$C$2:$C$722,1,Данные!$A$2:$A$722,"&gt;="&amp;77234020000,Данные!$A$2:$A$722,"&lt;="&amp;77234020999)</f>
        <v>0</v>
      </c>
      <c r="AO78" s="62" t="n">
        <f aca="false">COUNTIFS(Данные!$B$2:$B$722,36,Данные!$C$2:$C$722,1,Данные!$A$2:$A$722,"&gt;="&amp;77234029000,Данные!$A$2:$A$722,"&lt;="&amp;77234029999)</f>
        <v>0</v>
      </c>
      <c r="AP78" s="62" t="n">
        <f aca="false">COUNTIFS(Данные!$B$2:$B$722,36,Данные!$C$2:$C$722,1,Данные!$A$2:$A$722,"&gt;="&amp;77234050000,Данные!$A$2:$A$722,"&lt;="&amp;77234050999)</f>
        <v>0</v>
      </c>
      <c r="AQ78" s="62" t="n">
        <f aca="false">COUNTIFS(Данные!$B$2:$B$722,36,Данные!$C$2:$C$722,1,Данные!$A$2:$A$722,"&gt;="&amp;77234427000,Данные!$A$2:$A$722,"&lt;="&amp;77234428999)</f>
        <v>0</v>
      </c>
      <c r="AR78" s="62" t="n">
        <f aca="false">COUNTIFS(Данные!$B$2:$B$722,36,Данные!$C$2:$C$722,1,Данные!$A$2:$A$722,"&gt;="&amp;77234450000,Данные!$A$2:$A$722,"&lt;="&amp;77234450999)</f>
        <v>0</v>
      </c>
      <c r="AS78" s="62" t="n">
        <f aca="false">COUNTIFS(Данные!$B$2:$B$722,36,Данные!$C$2:$C$722,1,Данные!$A$2:$A$722,"&gt;="&amp;77234620000,Данные!$A$2:$A$722,"&lt;="&amp;77234620999)</f>
        <v>0</v>
      </c>
      <c r="AT78" s="62" t="n">
        <f aca="false">COUNTIFS(Данные!$B$2:$B$722,36,Данные!$C$2:$C$722,1,Данные!$A$2:$A$722,"&gt;="&amp;77234650000,Данные!$A$2:$A$722,"&lt;="&amp;77234650999)</f>
        <v>0</v>
      </c>
      <c r="AU78" s="62" t="n">
        <f aca="false">COUNTIFS(Данные!$B$2:$B$722,36,Данные!$C$2:$C$722,1,Данные!$A$2:$A$722,"&gt;="&amp;77234820000,Данные!$A$2:$A$722,"&lt;="&amp;77234820999)</f>
        <v>0</v>
      </c>
      <c r="AV78" s="62" t="n">
        <f aca="false">COUNTIFS(Данные!$B$2:$B$722,36,Данные!$C$2:$C$722,1,Данные!$A$2:$A$722,"&gt;="&amp;77234850000,Данные!$A$2:$A$722,"&lt;="&amp;77234850999)</f>
        <v>0</v>
      </c>
      <c r="AW78" s="62" t="n">
        <f aca="false">COUNTIFS(Данные!$B$2:$B$722,36,Данные!$C$2:$C$722,1,Данные!$A$2:$A$722,"&gt;="&amp;77233327000,Данные!$A$2:$A$722,"&lt;="&amp;77233327999)</f>
        <v>0</v>
      </c>
      <c r="AX78" s="62" t="n">
        <f aca="false">COUNTIFS(Данные!$B$2:$B$722,36,Данные!$C$2:$C$722,1,Данные!$A$2:$A$722,"&gt;="&amp;77233350000,Данные!$A$2:$A$722,"&lt;="&amp;77233350599)</f>
        <v>0</v>
      </c>
      <c r="AY78" s="62" t="n">
        <f aca="false">COUNTIFS(Данные!$B$2:$B$722,36,Данные!$C$2:$C$722,1,Данные!$A$2:$A$722,"&gt;="&amp;77233351000,Данные!$A$2:$A$722,"&lt;="&amp;77233351999)</f>
        <v>0</v>
      </c>
      <c r="AZ78" s="63" t="n">
        <f aca="false">COUNTIFS(Данные!$B$2:$B$722,36,Данные!$C$2:$C$722,1,Данные!$A$2:$A$722,"&gt;="&amp;7722440000,Данные!$A$2:$A$722,"&lt;="&amp;7722440999)</f>
        <v>0</v>
      </c>
      <c r="BA78" s="63" t="n">
        <f aca="false">COUNTIFS(Данные!$B$2:$B$722,36,Данные!$C$2:$C$722,1,Данные!$A$2:$A$722,"&gt;="&amp;7722442000,Данные!$A$2:$A$722,"&lt;="&amp;7722445659)</f>
        <v>0</v>
      </c>
      <c r="BB78" s="63" t="n">
        <f aca="false">COUNTIFS(Данные!$B$2:$B$722,36,Данные!$C$2:$C$722,1,Данные!$A$2:$A$722,"&gt;="&amp;7722450000,Данные!$A$2:$A$722,"&lt;="&amp;7722450199)</f>
        <v>0</v>
      </c>
      <c r="BC78" s="63" t="n">
        <f aca="false">COUNTIFS(Данные!$B$2:$B$722,36,Данные!$C$2:$C$722,1,Данные!$A$2:$A$722,"&gt;="&amp;7722451000,Данные!$A$2:$A$722,"&lt;="&amp;7722451374)</f>
        <v>0</v>
      </c>
      <c r="BD78" s="63" t="n">
        <f aca="false">COUNTIFS(Данные!$B$2:$B$722,36,Данные!$C$2:$C$722,1,Данные!$A$2:$A$722,"&gt;="&amp;7722452000,Данные!$A$2:$A$722,"&lt;="&amp;7722452299)</f>
        <v>0</v>
      </c>
      <c r="BE78" s="63" t="n">
        <f aca="false">COUNTIFS(Данные!$B$2:$B$722,36,Данные!$C$2:$C$722,1,Данные!$A$2:$A$722,"&gt;="&amp;7722453000,Данные!$A$2:$A$722,"&lt;="&amp;7722453816)</f>
        <v>0</v>
      </c>
      <c r="BF78" s="63" t="n">
        <f aca="false">COUNTIFS(Данные!$B$2:$B$722,36,Данные!$C$2:$C$722,1,Данные!$A$2:$A$722,"&gt;="&amp;7722454000,Данные!$A$2:$A$722,"&lt;="&amp;7722454099)</f>
        <v>0</v>
      </c>
      <c r="BG78" s="63" t="n">
        <f aca="false">COUNTIFS(Данные!$B$2:$B$722,36,Данные!$C$2:$C$722,1,Данные!$A$2:$A$722,"&gt;="&amp;7722458000,Данные!$A$2:$A$722,"&lt;="&amp;7722458999)</f>
        <v>0</v>
      </c>
      <c r="BH78" s="63" t="n">
        <f aca="false">COUNTIFS(Данные!$B$2:$B$722,36,Данные!$C$2:$C$722,1,Данные!$A$2:$A$722,"&gt;="&amp;7722630000,Данные!$A$2:$A$722,"&lt;="&amp;7722638549)</f>
        <v>0</v>
      </c>
      <c r="BI78" s="63" t="n">
        <f aca="false">COUNTIFS(Данные!$B$2:$B$722,36,Данные!$C$2:$C$722,1,Данные!$A$2:$A$722,"&gt;="&amp;7722639400,Данные!$A$2:$A$722,"&lt;="&amp;7722639899)</f>
        <v>0</v>
      </c>
      <c r="BJ78" s="63" t="n">
        <f aca="false">COUNTIFS(Данные!$B$2:$B$722,36,Данные!$C$2:$C$722,1,Данные!$A$2:$A$722,"&gt;="&amp;7725750000,Данные!$A$2:$A$722,"&lt;="&amp;7725750399)</f>
        <v>0</v>
      </c>
      <c r="BK78" s="63" t="n">
        <f aca="false">COUNTIFS(Данные!$B$2:$B$722,36,Данные!$C$2:$C$722,1,Данные!$A$2:$A$722,"&gt;="&amp;7723620000,Данные!$A$2:$A$722,"&lt;="&amp;7723621299)</f>
        <v>0</v>
      </c>
      <c r="BL78" s="63" t="n">
        <f aca="false">COUNTIFS(Данные!$B$2:$B$722,36,Данные!$C$2:$C$722,1,Данные!$A$2:$A$722,"&gt;="&amp;7723621600,Данные!$A$2:$A$722,"&lt;="&amp;7723623399)</f>
        <v>0</v>
      </c>
      <c r="BM78" s="63" t="n">
        <f aca="false">COUNTIFS(Данные!$B$2:$B$722,36,Данные!$C$2:$C$722,1,Данные!$A$2:$A$722,"&gt;="&amp;7725127000,Данные!$A$2:$A$722,"&lt;="&amp;7725127999)</f>
        <v>0</v>
      </c>
      <c r="BN78" s="63" t="n">
        <f aca="false">COUNTIFS(Данные!$B$2:$B$722,36,Данные!$C$2:$C$722,1,Данные!$A$2:$A$722,"&gt;="&amp;7723772000,Данные!$A$2:$A$722,"&lt;="&amp;7723724999)</f>
        <v>0</v>
      </c>
      <c r="BO78" s="62" t="n">
        <f aca="false">COUNTIFS(Данные!$B$2:$B$722,36,Данные!$C$2:$C$722,1,Данные!$A$2:$A$722,"&gt;="&amp;7723765000,Данные!$A$2:$A$722,"&lt;="&amp;7723765499)</f>
        <v>0</v>
      </c>
      <c r="BP78" s="63" t="n">
        <f aca="false">COUNTIFS(Данные!$B$2:$B$722,36,Данные!$C$2:$C$722,1,Данные!$A$2:$A$722,"&gt;="&amp;7723948000,Данные!$A$2:$A$722,"&lt;="&amp;7723948999)</f>
        <v>0</v>
      </c>
      <c r="BQ78" s="63" t="n">
        <f aca="false">COUNTIFS(Данные!$B$2:$B$722,36,Данные!$C$2:$C$722,1,Данные!$A$2:$A$722,"&gt;="&amp;7723950000,Данные!$A$2:$A$722,"&lt;="&amp;7723951099)</f>
        <v>0</v>
      </c>
      <c r="BR78" s="63" t="n">
        <f aca="false">COUNTIFS(Данные!$B$2:$B$722,36,Данные!$C$2:$C$722,1,Данные!$A$2:$A$722,"&gt;="&amp;7723020000,Данные!$A$2:$A$722,"&lt;="&amp;7723020999)</f>
        <v>0</v>
      </c>
      <c r="BS78" s="63" t="n">
        <f aca="false">COUNTIFS(Данные!$B$2:$B$722,36,Данные!$C$2:$C$722,1,Данные!$A$2:$A$722,"&gt;="&amp;7723029000,Данные!$A$2:$A$722,"&lt;="&amp;7723029999)</f>
        <v>0</v>
      </c>
      <c r="BT78" s="63" t="n">
        <f aca="false">COUNTIFS(Данные!$B$2:$B$722,36,Данные!$C$2:$C$722,1,Данные!$A$2:$A$722,"&gt;="&amp;7723055000,Данные!$A$2:$A$722,"&lt;="&amp;7723056549)</f>
        <v>0</v>
      </c>
      <c r="BU78" s="62" t="n">
        <f aca="false">COUNTIFS(Данные!$B$2:$B$722,36,Данные!$C$2:$C$722,1,Данные!$A$2:$A$722,"&gt;="&amp;7725250000,Данные!$A$2:$A$722,"&lt;="&amp;7725250499)</f>
        <v>0</v>
      </c>
      <c r="BV78" s="63" t="n">
        <f aca="false">COUNTIFS(Данные!$B$2:$B$722,36,Данные!$C$2:$C$722,1,Данные!$A$2:$A$722,"&gt;="&amp;7183841400,Данные!$A$2:$A$722,"&lt;="&amp;7183841499)</f>
        <v>0</v>
      </c>
      <c r="BW78" s="40" t="n">
        <v>300</v>
      </c>
      <c r="BX78" s="64" t="n">
        <f aca="false">F78-BW78</f>
        <v>-275</v>
      </c>
    </row>
    <row r="79" s="15" customFormat="true" ht="12" hidden="false" customHeight="true" outlineLevel="0" collapsed="false">
      <c r="A79" s="38"/>
      <c r="B79" s="39"/>
      <c r="C79" s="41" t="n">
        <v>2</v>
      </c>
      <c r="D79" s="41" t="n">
        <v>362</v>
      </c>
      <c r="E79" s="42"/>
      <c r="F79" s="62" t="n">
        <f aca="false">COUNTIFS(Данные!$B$2:$B$722,36,Данные!$C$2:$C$722,2)</f>
        <v>57</v>
      </c>
      <c r="G79" s="62" t="n">
        <f aca="false">COUNTIFS(Данные!$B$2:$B$722,36,Данные!$C$2:$C$722,2,Данные!$A$2:$A$722,"&gt;="&amp;77232210840,Данные!$A$2:$A$722,"&lt;="&amp;77232216999)</f>
        <v>0</v>
      </c>
      <c r="H79" s="62" t="n">
        <f aca="false">COUNTIFS(Данные!$B$2:$B$722,36,Данные!$C$2:$C$722,2,Данные!$A$2:$A$722,"&gt;="&amp;77232510512,Данные!$A$2:$A$722,"&lt;="&amp;77232519487)</f>
        <v>0</v>
      </c>
      <c r="I79" s="62" t="n">
        <f aca="false">COUNTIFS(Данные!$B$2:$B$722,36,Данные!$C$2:$C$722,2,Данные!$A$2:$A$722,"&gt;="&amp;77232524160,Данные!$A$2:$A$722,"&lt;="&amp;77232529999)</f>
        <v>0</v>
      </c>
      <c r="J79" s="62" t="n">
        <f aca="false">COUNTIFS(Данные!$B$2:$B$722,36,Данные!$C$2:$C$722,2,Данные!$A$2:$A$722,"&gt;="&amp;77232544000,Данные!$A$2:$A$722,"&lt;="&amp;77232544999)</f>
        <v>0</v>
      </c>
      <c r="K79" s="62" t="n">
        <f aca="false">COUNTIFS(Данные!$B$2:$B$722,36,Данные!$C$2:$C$722,2,Данные!$A$2:$A$722,"&gt;="&amp;77232295504,Данные!$A$2:$A$722,"&lt;="&amp;77232296999)</f>
        <v>0</v>
      </c>
      <c r="L79" s="62" t="n">
        <f aca="false">COUNTIFS(Данные!$B$2:$B$722,36,Данные!$C$2:$C$722,2,Данные!$A$2:$A$722,"&gt;="&amp;77232785000,Данные!$A$2:$A$722,"&lt;="&amp;77232789999)</f>
        <v>0</v>
      </c>
      <c r="M79" s="62" t="n">
        <f aca="false">COUNTIFS(Данные!$B$2:$B$722,36,Данные!$C$2:$C$722,2,Данные!$A$2:$A$722,"&gt;="&amp;77233150000,Данные!$A$2:$A$722,"&lt;="&amp;77233155999)</f>
        <v>0</v>
      </c>
      <c r="N79" s="62" t="n">
        <f aca="false">COUNTIFS(Данные!$B$2:$B$722,36,Данные!$C$2:$C$722,2,Данные!$A$2:$A$722,"&gt;="&amp;77233235000,Данные!$A$2:$A$722,"&lt;="&amp;77233235999)</f>
        <v>0</v>
      </c>
      <c r="O79" s="62" t="n">
        <f aca="false">COUNTIFS(Данные!$B$2:$B$722,36,Данные!$C$2:$C$722,2,Данные!$A$2:$A$722,"&gt;="&amp;77233239000,Данные!$A$2:$A$722,"&lt;="&amp;77233239999)</f>
        <v>0</v>
      </c>
      <c r="P79" s="62" t="n">
        <f aca="false">COUNTIFS(Данные!$B$2:$B$722,36,Данные!$C$2:$C$722,2,Данные!$A$2:$A$722,"&gt;="&amp;77233272000,Данные!$A$2:$A$722,"&lt;="&amp;77233272999)</f>
        <v>0</v>
      </c>
      <c r="Q79" s="62" t="n">
        <f aca="false">COUNTIFS(Данные!$B$2:$B$722,36,Данные!$C$2:$C$722,2,Данные!$A$2:$A$722,"&gt;="&amp;77233291100,Данные!$A$2:$A$722,"&lt;="&amp;77233292999)</f>
        <v>0</v>
      </c>
      <c r="R79" s="62" t="n">
        <f aca="false">COUNTIFS(Данные!$B$2:$B$722,36,Данные!$C$2:$C$722,2,Данные!$A$2:$A$722,"&gt;="&amp;77233297000,Данные!$A$2:$A$722,"&lt;="&amp;77233298399)</f>
        <v>0</v>
      </c>
      <c r="S79" s="62" t="n">
        <f aca="false">COUNTIFS(Данные!$B$2:$B$722,36,Данные!$C$2:$C$722,2,Данные!$A$2:$A$722,"&gt;="&amp;77235124000,Данные!$A$2:$A$722,"&lt;="&amp;77235128499)</f>
        <v>0</v>
      </c>
      <c r="T79" s="62" t="n">
        <f aca="false">COUNTIFS(Данные!$B$2:$B$722,36,Данные!$C$2:$C$722,2,Данные!$A$2:$A$722,"&gt;="&amp;77235320000,Данные!$A$2:$A$722,"&lt;="&amp;77235320999)</f>
        <v>52</v>
      </c>
      <c r="U79" s="62" t="n">
        <f aca="false">COUNTIFS(Данные!$B$2:$B$722,36,Данные!$C$2:$C$722,2,Данные!$A$2:$A$722,"&gt;="&amp;77233620000,Данные!$A$2:$A$722,"&lt;="&amp;77233623339)</f>
        <v>0</v>
      </c>
      <c r="V79" s="62" t="n">
        <f aca="false">COUNTIFS(Данные!$B$2:$B$722,36,Данные!$C$2:$C$722,2,Данные!$A$2:$A$722,"&gt;="&amp;77233630000,Данные!$A$2:$A$722,"&lt;="&amp;77233630999)</f>
        <v>0</v>
      </c>
      <c r="W79" s="62" t="n">
        <f aca="false">COUNTIFS(Данные!$B$2:$B$722,36,Данные!$C$2:$C$722,2,Данные!$A$2:$A$722,"&gt;="&amp;77233637000,Данные!$A$2:$A$722,"&lt;="&amp;77233637599)</f>
        <v>0</v>
      </c>
      <c r="X79" s="62" t="n">
        <f aca="false">COUNTIFS(Данные!$B$2:$B$722,36,Данные!$C$2:$C$722,2,Данные!$A$2:$A$722,"&gt;="&amp;77233550000,Данные!$A$2:$A$722,"&lt;="&amp;77233550999)</f>
        <v>0</v>
      </c>
      <c r="Y79" s="62" t="n">
        <f aca="false">COUNTIFS(Данные!$B$2:$B$722,36,Данные!$C$2:$C$722,2,Данные!$A$2:$A$722,"&gt;="&amp;77233554000,Данные!$A$2:$A$722,"&lt;="&amp;77233554999)</f>
        <v>0</v>
      </c>
      <c r="Z79" s="62" t="n">
        <f aca="false">COUNTIFS(Данные!$B$2:$B$722,36,Данные!$C$2:$C$722,2,Данные!$A$2:$A$722,"&gt;="&amp;77233555000,Данные!$A$2:$A$722,"&lt;="&amp;77233556999)</f>
        <v>0</v>
      </c>
      <c r="AA79" s="62" t="n">
        <f aca="false">COUNTIFS(Данные!$B$2:$B$722,36,Данные!$C$2:$C$722,2,Данные!$A$2:$A$722,"&gt;="&amp;77233726000,Данные!$A$2:$A$722,"&lt;="&amp;77233726999)</f>
        <v>0</v>
      </c>
      <c r="AB79" s="62" t="n">
        <f aca="false">COUNTIFS(Данные!$B$2:$B$722,36,Данные!$C$2:$C$722,2,Данные!$A$2:$A$722,"&gt;="&amp;77233820000,Данные!$A$2:$A$722,"&lt;="&amp;77233820999)</f>
        <v>0</v>
      </c>
      <c r="AC79" s="62" t="n">
        <f aca="false">COUNTIFS(Данные!$B$2:$B$722,36,Данные!$C$2:$C$722,2,Данные!$A$2:$A$722,"&gt;="&amp;77233850000,Данные!$A$2:$A$722,"&lt;="&amp;77233850999)</f>
        <v>0</v>
      </c>
      <c r="AD79" s="62" t="n">
        <f aca="false">COUNTIFS(Данные!$B$2:$B$722,36,Данные!$C$2:$C$722,2,Данные!$A$2:$A$722,"&gt;="&amp;77233420000,Данные!$A$2:$A$722,"&lt;="&amp;77233420999)</f>
        <v>0</v>
      </c>
      <c r="AE79" s="62" t="n">
        <f aca="false">COUNTIFS(Данные!$B$2:$B$722,36,Данные!$C$2:$C$722,2,Данные!$A$2:$A$722,"&gt;="&amp;77234740000,Данные!$A$2:$A$722,"&lt;="&amp;77234742999)</f>
        <v>0</v>
      </c>
      <c r="AF79" s="62" t="n">
        <f aca="false">COUNTIFS(Данные!$B$2:$B$722,36,Данные!$C$2:$C$722,2,Данные!$A$2:$A$722,"&gt;="&amp;77234767000,Данные!$A$2:$A$722,"&lt;="&amp;77234767999)</f>
        <v>0</v>
      </c>
      <c r="AG79" s="62" t="n">
        <f aca="false">COUNTIFS(Данные!$B$2:$B$722,36,Данные!$C$2:$C$722,2,Данные!$A$2:$A$722,"&gt;="&amp;77234120000,Данные!$A$2:$A$722,"&lt;="&amp;77234120999)</f>
        <v>0</v>
      </c>
      <c r="AH79" s="62" t="n">
        <f aca="false">COUNTIFS(Данные!$B$2:$B$722,36,Данные!$C$2:$C$722,2,Данные!$A$2:$A$722,"&gt;="&amp;77234127000,Данные!$A$2:$A$722,"&lt;="&amp;77234127999)</f>
        <v>0</v>
      </c>
      <c r="AI79" s="62" t="n">
        <f aca="false">COUNTIFS(Данные!$B$2:$B$722,36,Данные!$C$2:$C$722,2,Данные!$A$2:$A$722,"&gt;="&amp;77234220000,Данные!$A$2:$A$722,"&lt;="&amp;77234220999)</f>
        <v>0</v>
      </c>
      <c r="AJ79" s="62" t="n">
        <f aca="false">COUNTIFS(Данные!$B$2:$B$722,36,Данные!$C$2:$C$722,2,Данные!$A$2:$A$722,"&gt;="&amp;77234250000,Данные!$A$2:$A$722,"&lt;="&amp;77234250999)</f>
        <v>0</v>
      </c>
      <c r="AK79" s="62" t="n">
        <f aca="false">COUNTIFS(Данные!$B$2:$B$722,36,Данные!$C$2:$C$722,2,Данные!$A$2:$A$722,"&gt;="&amp;77233922950,Данные!$A$2:$A$722,"&lt;="&amp;77233924999)</f>
        <v>0</v>
      </c>
      <c r="AL79" s="62" t="n">
        <f aca="false">COUNTIFS(Данные!$B$2:$B$722,36,Данные!$C$2:$C$722,2,Данные!$A$2:$A$722,"&gt;="&amp;77234320000,Данные!$A$2:$A$722,"&lt;="&amp;77234320999)</f>
        <v>0</v>
      </c>
      <c r="AM79" s="62" t="n">
        <f aca="false">COUNTIFS(Данные!$B$2:$B$722,36,Данные!$C$2:$C$722,2,Данные!$A$2:$A$722,"&gt;="&amp;77234350000,Данные!$A$2:$A$722,"&lt;="&amp;77234350999)</f>
        <v>0</v>
      </c>
      <c r="AN79" s="62" t="n">
        <f aca="false">COUNTIFS(Данные!$B$2:$B$722,36,Данные!$C$2:$C$722,2,Данные!$A$2:$A$722,"&gt;="&amp;77234020000,Данные!$A$2:$A$722,"&lt;="&amp;77234020999)</f>
        <v>0</v>
      </c>
      <c r="AO79" s="62" t="n">
        <f aca="false">COUNTIFS(Данные!$B$2:$B$722,36,Данные!$C$2:$C$722,2,Данные!$A$2:$A$722,"&gt;="&amp;77234029000,Данные!$A$2:$A$722,"&lt;="&amp;77234029999)</f>
        <v>0</v>
      </c>
      <c r="AP79" s="62" t="n">
        <f aca="false">COUNTIFS(Данные!$B$2:$B$722,36,Данные!$C$2:$C$722,2,Данные!$A$2:$A$722,"&gt;="&amp;77234050000,Данные!$A$2:$A$722,"&lt;="&amp;77234050999)</f>
        <v>0</v>
      </c>
      <c r="AQ79" s="62" t="n">
        <f aca="false">COUNTIFS(Данные!$B$2:$B$722,36,Данные!$C$2:$C$722,2,Данные!$A$2:$A$722,"&gt;="&amp;77234427000,Данные!$A$2:$A$722,"&lt;="&amp;77234428999)</f>
        <v>0</v>
      </c>
      <c r="AR79" s="62" t="n">
        <f aca="false">COUNTIFS(Данные!$B$2:$B$722,36,Данные!$C$2:$C$722,2,Данные!$A$2:$A$722,"&gt;="&amp;77234450000,Данные!$A$2:$A$722,"&lt;="&amp;77234450999)</f>
        <v>0</v>
      </c>
      <c r="AS79" s="62" t="n">
        <f aca="false">COUNTIFS(Данные!$B$2:$B$722,36,Данные!$C$2:$C$722,2,Данные!$A$2:$A$722,"&gt;="&amp;77234620000,Данные!$A$2:$A$722,"&lt;="&amp;77234620999)</f>
        <v>0</v>
      </c>
      <c r="AT79" s="62" t="n">
        <f aca="false">COUNTIFS(Данные!$B$2:$B$722,36,Данные!$C$2:$C$722,2,Данные!$A$2:$A$722,"&gt;="&amp;77234650000,Данные!$A$2:$A$722,"&lt;="&amp;77234650999)</f>
        <v>0</v>
      </c>
      <c r="AU79" s="62" t="n">
        <f aca="false">COUNTIFS(Данные!$B$2:$B$722,36,Данные!$C$2:$C$722,2,Данные!$A$2:$A$722,"&gt;="&amp;77234820000,Данные!$A$2:$A$722,"&lt;="&amp;77234820999)</f>
        <v>0</v>
      </c>
      <c r="AV79" s="62" t="n">
        <f aca="false">COUNTIFS(Данные!$B$2:$B$722,36,Данные!$C$2:$C$722,2,Данные!$A$2:$A$722,"&gt;="&amp;77234850000,Данные!$A$2:$A$722,"&lt;="&amp;77234850999)</f>
        <v>0</v>
      </c>
      <c r="AW79" s="62" t="n">
        <f aca="false">COUNTIFS(Данные!$B$2:$B$722,36,Данные!$C$2:$C$722,2,Данные!$A$2:$A$722,"&gt;="&amp;77233327000,Данные!$A$2:$A$722,"&lt;="&amp;77233327999)</f>
        <v>0</v>
      </c>
      <c r="AX79" s="62" t="n">
        <f aca="false">COUNTIFS(Данные!$B$2:$B$722,36,Данные!$C$2:$C$722,2,Данные!$A$2:$A$722,"&gt;="&amp;77233350000,Данные!$A$2:$A$722,"&lt;="&amp;77233350599)</f>
        <v>0</v>
      </c>
      <c r="AY79" s="62" t="n">
        <f aca="false">COUNTIFS(Данные!$B$2:$B$722,36,Данные!$C$2:$C$722,2,Данные!$A$2:$A$722,"&gt;="&amp;77233351000,Данные!$A$2:$A$722,"&lt;="&amp;77233351999)</f>
        <v>0</v>
      </c>
      <c r="AZ79" s="63" t="n">
        <f aca="false">COUNTIFS(Данные!$B$2:$B$722,36,Данные!$C$2:$C$722,2,Данные!$A$2:$A$722,"&gt;="&amp;7722440000,Данные!$A$2:$A$722,"&lt;="&amp;7722440999)</f>
        <v>0</v>
      </c>
      <c r="BA79" s="63" t="n">
        <f aca="false">COUNTIFS(Данные!$B$2:$B$722,36,Данные!$C$2:$C$722,2,Данные!$A$2:$A$722,"&gt;="&amp;7722442000,Данные!$A$2:$A$722,"&lt;="&amp;7722445659)</f>
        <v>0</v>
      </c>
      <c r="BB79" s="63" t="n">
        <f aca="false">COUNTIFS(Данные!$B$2:$B$722,36,Данные!$C$2:$C$722,2,Данные!$A$2:$A$722,"&gt;="&amp;7722450000,Данные!$A$2:$A$722,"&lt;="&amp;7722450199)</f>
        <v>0</v>
      </c>
      <c r="BC79" s="63" t="n">
        <f aca="false">COUNTIFS(Данные!$B$2:$B$722,36,Данные!$C$2:$C$722,2,Данные!$A$2:$A$722,"&gt;="&amp;7722451000,Данные!$A$2:$A$722,"&lt;="&amp;7722451374)</f>
        <v>0</v>
      </c>
      <c r="BD79" s="63" t="n">
        <f aca="false">COUNTIFS(Данные!$B$2:$B$722,36,Данные!$C$2:$C$722,2,Данные!$A$2:$A$722,"&gt;="&amp;7722452000,Данные!$A$2:$A$722,"&lt;="&amp;7722452299)</f>
        <v>0</v>
      </c>
      <c r="BE79" s="63" t="n">
        <f aca="false">COUNTIFS(Данные!$B$2:$B$722,36,Данные!$C$2:$C$722,2,Данные!$A$2:$A$722,"&gt;="&amp;7722453000,Данные!$A$2:$A$722,"&lt;="&amp;7722453816)</f>
        <v>0</v>
      </c>
      <c r="BF79" s="63" t="n">
        <f aca="false">COUNTIFS(Данные!$B$2:$B$722,36,Данные!$C$2:$C$722,2,Данные!$A$2:$A$722,"&gt;="&amp;7722454000,Данные!$A$2:$A$722,"&lt;="&amp;7722454099)</f>
        <v>0</v>
      </c>
      <c r="BG79" s="63" t="n">
        <f aca="false">COUNTIFS(Данные!$B$2:$B$722,36,Данные!$C$2:$C$722,2,Данные!$A$2:$A$722,"&gt;="&amp;7722458000,Данные!$A$2:$A$722,"&lt;="&amp;7722458999)</f>
        <v>0</v>
      </c>
      <c r="BH79" s="63" t="n">
        <f aca="false">COUNTIFS(Данные!$B$2:$B$722,36,Данные!$C$2:$C$722,2,Данные!$A$2:$A$722,"&gt;="&amp;7722630000,Данные!$A$2:$A$722,"&lt;="&amp;7722638549)</f>
        <v>0</v>
      </c>
      <c r="BI79" s="63" t="n">
        <f aca="false">COUNTIFS(Данные!$B$2:$B$722,36,Данные!$C$2:$C$722,2,Данные!$A$2:$A$722,"&gt;="&amp;7722639400,Данные!$A$2:$A$722,"&lt;="&amp;7722639899)</f>
        <v>0</v>
      </c>
      <c r="BJ79" s="63" t="n">
        <f aca="false">COUNTIFS(Данные!$B$2:$B$722,36,Данные!$C$2:$C$722,2,Данные!$A$2:$A$722,"&gt;="&amp;7725750000,Данные!$A$2:$A$722,"&lt;="&amp;7725750399)</f>
        <v>0</v>
      </c>
      <c r="BK79" s="63" t="n">
        <f aca="false">COUNTIFS(Данные!$B$2:$B$722,36,Данные!$C$2:$C$722,2,Данные!$A$2:$A$722,"&gt;="&amp;7723620000,Данные!$A$2:$A$722,"&lt;="&amp;7723621299)</f>
        <v>0</v>
      </c>
      <c r="BL79" s="63" t="n">
        <f aca="false">COUNTIFS(Данные!$B$2:$B$722,36,Данные!$C$2:$C$722,2,Данные!$A$2:$A$722,"&gt;="&amp;7723621600,Данные!$A$2:$A$722,"&lt;="&amp;7723623399)</f>
        <v>0</v>
      </c>
      <c r="BM79" s="63" t="n">
        <f aca="false">COUNTIFS(Данные!$B$2:$B$722,36,Данные!$C$2:$C$722,2,Данные!$A$2:$A$722,"&gt;="&amp;7725127000,Данные!$A$2:$A$722,"&lt;="&amp;7725127999)</f>
        <v>0</v>
      </c>
      <c r="BN79" s="63" t="n">
        <f aca="false">COUNTIFS(Данные!$B$2:$B$722,36,Данные!$C$2:$C$722,2,Данные!$A$2:$A$722,"&gt;="&amp;7723772000,Данные!$A$2:$A$722,"&lt;="&amp;7723724999)</f>
        <v>0</v>
      </c>
      <c r="BO79" s="62" t="n">
        <f aca="false">COUNTIFS(Данные!$B$2:$B$722,36,Данные!$C$2:$C$722,2,Данные!$A$2:$A$722,"&gt;="&amp;7723765000,Данные!$A$2:$A$722,"&lt;="&amp;7723765499)</f>
        <v>0</v>
      </c>
      <c r="BP79" s="63" t="n">
        <f aca="false">COUNTIFS(Данные!$B$2:$B$722,36,Данные!$C$2:$C$722,2,Данные!$A$2:$A$722,"&gt;="&amp;7723948000,Данные!$A$2:$A$722,"&lt;="&amp;7723948999)</f>
        <v>0</v>
      </c>
      <c r="BQ79" s="63" t="n">
        <f aca="false">COUNTIFS(Данные!$B$2:$B$722,36,Данные!$C$2:$C$722,2,Данные!$A$2:$A$722,"&gt;="&amp;7723950000,Данные!$A$2:$A$722,"&lt;="&amp;7723951099)</f>
        <v>0</v>
      </c>
      <c r="BR79" s="63" t="n">
        <f aca="false">COUNTIFS(Данные!$B$2:$B$722,36,Данные!$C$2:$C$722,2,Данные!$A$2:$A$722,"&gt;="&amp;7723020000,Данные!$A$2:$A$722,"&lt;="&amp;7723020999)</f>
        <v>0</v>
      </c>
      <c r="BS79" s="63" t="n">
        <f aca="false">COUNTIFS(Данные!$B$2:$B$722,36,Данные!$C$2:$C$722,2,Данные!$A$2:$A$722,"&gt;="&amp;7723029000,Данные!$A$2:$A$722,"&lt;="&amp;7723029999)</f>
        <v>0</v>
      </c>
      <c r="BT79" s="63" t="n">
        <f aca="false">COUNTIFS(Данные!$B$2:$B$722,36,Данные!$C$2:$C$722,2,Данные!$A$2:$A$722,"&gt;="&amp;7723055000,Данные!$A$2:$A$722,"&lt;="&amp;7723056549)</f>
        <v>0</v>
      </c>
      <c r="BU79" s="62" t="n">
        <f aca="false">COUNTIFS(Данные!$B$2:$B$722,36,Данные!$C$2:$C$722,2,Данные!$A$2:$A$722,"&gt;="&amp;7725250000,Данные!$A$2:$A$722,"&lt;="&amp;7725250499)</f>
        <v>0</v>
      </c>
      <c r="BV79" s="63" t="n">
        <f aca="false">COUNTIFS(Данные!$B$2:$B$722,36,Данные!$C$2:$C$722,2,Данные!$A$2:$A$722,"&gt;="&amp;7183841400,Данные!$A$2:$A$722,"&lt;="&amp;7183841499)</f>
        <v>0</v>
      </c>
      <c r="BW79" s="40" t="n">
        <v>300</v>
      </c>
      <c r="BX79" s="64" t="n">
        <f aca="false">F79-BW79</f>
        <v>-243</v>
      </c>
    </row>
    <row r="80" s="15" customFormat="true" ht="12" hidden="false" customHeight="true" outlineLevel="0" collapsed="false">
      <c r="A80" s="47" t="n">
        <v>37</v>
      </c>
      <c r="B80" s="48" t="s">
        <v>86</v>
      </c>
      <c r="C80" s="50" t="n">
        <v>0</v>
      </c>
      <c r="D80" s="50" t="n">
        <v>370</v>
      </c>
      <c r="E80" s="51" t="n">
        <f aca="false">SUM(F80:F82)</f>
        <v>67</v>
      </c>
      <c r="F80" s="65" t="n">
        <f aca="false">COUNTIFS(Данные!$B$2:$B$722,37,Данные!$C$2:$C$722,0)</f>
        <v>31</v>
      </c>
      <c r="G80" s="65" t="n">
        <f aca="false">COUNTIFS(Данные!$B$2:$B$722,37,Данные!$C$2:$C$722,0,Данные!$A$2:$A$722,"&gt;="&amp;77232210840,Данные!$A$2:$A$722,"&lt;="&amp;77232216999)</f>
        <v>0</v>
      </c>
      <c r="H80" s="65" t="n">
        <f aca="false">COUNTIFS(Данные!$B$2:$B$722,37,Данные!$C$2:$C$722,0,Данные!$A$2:$A$722,"&gt;="&amp;77232510512,Данные!$A$2:$A$722,"&lt;="&amp;77232519487)</f>
        <v>0</v>
      </c>
      <c r="I80" s="65" t="n">
        <f aca="false">COUNTIFS(Данные!$B$2:$B$722,37,Данные!$C$2:$C$722,0,Данные!$A$2:$A$722,"&gt;="&amp;77232524160,Данные!$A$2:$A$722,"&lt;="&amp;77232529999)</f>
        <v>0</v>
      </c>
      <c r="J80" s="65" t="n">
        <f aca="false">COUNTIFS(Данные!$B$2:$B$722,37,Данные!$C$2:$C$722,0,Данные!$A$2:$A$722,"&gt;="&amp;77232544000,Данные!$A$2:$A$722,"&lt;="&amp;77232544999)</f>
        <v>0</v>
      </c>
      <c r="K80" s="65" t="n">
        <f aca="false">COUNTIFS(Данные!$B$2:$B$722,37,Данные!$C$2:$C$722,0,Данные!$A$2:$A$722,"&gt;="&amp;77232295504,Данные!$A$2:$A$722,"&lt;="&amp;77232296999)</f>
        <v>0</v>
      </c>
      <c r="L80" s="65" t="n">
        <f aca="false">COUNTIFS(Данные!$B$2:$B$722,37,Данные!$C$2:$C$722,0,Данные!$A$2:$A$722,"&gt;="&amp;77232785000,Данные!$A$2:$A$722,"&lt;="&amp;77232789999)</f>
        <v>0</v>
      </c>
      <c r="M80" s="65" t="n">
        <f aca="false">COUNTIFS(Данные!$B$2:$B$722,37,Данные!$C$2:$C$722,0,Данные!$A$2:$A$722,"&gt;="&amp;77233150000,Данные!$A$2:$A$722,"&lt;="&amp;77233155999)</f>
        <v>0</v>
      </c>
      <c r="N80" s="65" t="n">
        <f aca="false">COUNTIFS(Данные!$B$2:$B$722,37,Данные!$C$2:$C$722,0,Данные!$A$2:$A$722,"&gt;="&amp;77233235000,Данные!$A$2:$A$722,"&lt;="&amp;77233235999)</f>
        <v>0</v>
      </c>
      <c r="O80" s="65" t="n">
        <f aca="false">COUNTIFS(Данные!$B$2:$B$722,37,Данные!$C$2:$C$722,0,Данные!$A$2:$A$722,"&gt;="&amp;77233239000,Данные!$A$2:$A$722,"&lt;="&amp;77233239999)</f>
        <v>0</v>
      </c>
      <c r="P80" s="65" t="n">
        <f aca="false">COUNTIFS(Данные!$B$2:$B$722,37,Данные!$C$2:$C$722,0,Данные!$A$2:$A$722,"&gt;="&amp;77233272000,Данные!$A$2:$A$722,"&lt;="&amp;77233272999)</f>
        <v>0</v>
      </c>
      <c r="Q80" s="65" t="n">
        <f aca="false">COUNTIFS(Данные!$B$2:$B$722,37,Данные!$C$2:$C$722,0,Данные!$A$2:$A$722,"&gt;="&amp;77233291100,Данные!$A$2:$A$722,"&lt;="&amp;77233292999)</f>
        <v>0</v>
      </c>
      <c r="R80" s="65" t="n">
        <f aca="false">COUNTIFS(Данные!$B$2:$B$722,37,Данные!$C$2:$C$722,0,Данные!$A$2:$A$722,"&gt;="&amp;77233297000,Данные!$A$2:$A$722,"&lt;="&amp;77233298399)</f>
        <v>0</v>
      </c>
      <c r="S80" s="65" t="n">
        <f aca="false">COUNTIFS(Данные!$B$2:$B$722,37,Данные!$C$2:$C$722,0,Данные!$A$2:$A$722,"&gt;="&amp;77235124000,Данные!$A$2:$A$722,"&lt;="&amp;77235128499)</f>
        <v>31</v>
      </c>
      <c r="T80" s="65" t="n">
        <f aca="false">COUNTIFS(Данные!$B$2:$B$722,37,Данные!$C$2:$C$722,0,Данные!$A$2:$A$722,"&gt;="&amp;77235320000,Данные!$A$2:$A$722,"&lt;="&amp;77235320999)</f>
        <v>0</v>
      </c>
      <c r="U80" s="65" t="n">
        <f aca="false">COUNTIFS(Данные!$B$2:$B$722,37,Данные!$C$2:$C$722,0,Данные!$A$2:$A$722,"&gt;="&amp;77233620000,Данные!$A$2:$A$722,"&lt;="&amp;77233623339)</f>
        <v>0</v>
      </c>
      <c r="V80" s="65" t="n">
        <f aca="false">COUNTIFS(Данные!$B$2:$B$722,37,Данные!$C$2:$C$722,0,Данные!$A$2:$A$722,"&gt;="&amp;77233630000,Данные!$A$2:$A$722,"&lt;="&amp;77233630999)</f>
        <v>0</v>
      </c>
      <c r="W80" s="65" t="n">
        <f aca="false">COUNTIFS(Данные!$B$2:$B$722,37,Данные!$C$2:$C$722,0,Данные!$A$2:$A$722,"&gt;="&amp;77233637000,Данные!$A$2:$A$722,"&lt;="&amp;77233637599)</f>
        <v>0</v>
      </c>
      <c r="X80" s="65" t="n">
        <f aca="false">COUNTIFS(Данные!$B$2:$B$722,37,Данные!$C$2:$C$722,0,Данные!$A$2:$A$722,"&gt;="&amp;77233550000,Данные!$A$2:$A$722,"&lt;="&amp;77233550999)</f>
        <v>0</v>
      </c>
      <c r="Y80" s="65" t="n">
        <f aca="false">COUNTIFS(Данные!$B$2:$B$722,37,Данные!$C$2:$C$722,0,Данные!$A$2:$A$722,"&gt;="&amp;77233554000,Данные!$A$2:$A$722,"&lt;="&amp;77233554999)</f>
        <v>0</v>
      </c>
      <c r="Z80" s="65" t="n">
        <f aca="false">COUNTIFS(Данные!$B$2:$B$722,37,Данные!$C$2:$C$722,0,Данные!$A$2:$A$722,"&gt;="&amp;77233555000,Данные!$A$2:$A$722,"&lt;="&amp;77233556999)</f>
        <v>0</v>
      </c>
      <c r="AA80" s="65" t="n">
        <f aca="false">COUNTIFS(Данные!$B$2:$B$722,37,Данные!$C$2:$C$722,0,Данные!$A$2:$A$722,"&gt;="&amp;77233726000,Данные!$A$2:$A$722,"&lt;="&amp;77233726999)</f>
        <v>0</v>
      </c>
      <c r="AB80" s="65" t="n">
        <f aca="false">COUNTIFS(Данные!$B$2:$B$722,37,Данные!$C$2:$C$722,0,Данные!$A$2:$A$722,"&gt;="&amp;77233820000,Данные!$A$2:$A$722,"&lt;="&amp;77233820999)</f>
        <v>0</v>
      </c>
      <c r="AC80" s="65" t="n">
        <f aca="false">COUNTIFS(Данные!$B$2:$B$722,37,Данные!$C$2:$C$722,0,Данные!$A$2:$A$722,"&gt;="&amp;77233850000,Данные!$A$2:$A$722,"&lt;="&amp;77233850999)</f>
        <v>0</v>
      </c>
      <c r="AD80" s="65" t="n">
        <f aca="false">COUNTIFS(Данные!$B$2:$B$722,37,Данные!$C$2:$C$722,0,Данные!$A$2:$A$722,"&gt;="&amp;77233420000,Данные!$A$2:$A$722,"&lt;="&amp;77233420999)</f>
        <v>0</v>
      </c>
      <c r="AE80" s="65" t="n">
        <f aca="false">COUNTIFS(Данные!$B$2:$B$722,37,Данные!$C$2:$C$722,0,Данные!$A$2:$A$722,"&gt;="&amp;77234740000,Данные!$A$2:$A$722,"&lt;="&amp;77234742999)</f>
        <v>0</v>
      </c>
      <c r="AF80" s="65" t="n">
        <f aca="false">COUNTIFS(Данные!$B$2:$B$722,37,Данные!$C$2:$C$722,0,Данные!$A$2:$A$722,"&gt;="&amp;77234767000,Данные!$A$2:$A$722,"&lt;="&amp;77234767999)</f>
        <v>0</v>
      </c>
      <c r="AG80" s="65" t="n">
        <f aca="false">COUNTIFS(Данные!$B$2:$B$722,37,Данные!$C$2:$C$722,0,Данные!$A$2:$A$722,"&gt;="&amp;77234120000,Данные!$A$2:$A$722,"&lt;="&amp;77234120999)</f>
        <v>0</v>
      </c>
      <c r="AH80" s="65" t="n">
        <f aca="false">COUNTIFS(Данные!$B$2:$B$722,37,Данные!$C$2:$C$722,0,Данные!$A$2:$A$722,"&gt;="&amp;77234127000,Данные!$A$2:$A$722,"&lt;="&amp;77234127999)</f>
        <v>0</v>
      </c>
      <c r="AI80" s="65" t="n">
        <f aca="false">COUNTIFS(Данные!$B$2:$B$722,37,Данные!$C$2:$C$722,0,Данные!$A$2:$A$722,"&gt;="&amp;77234220000,Данные!$A$2:$A$722,"&lt;="&amp;77234220999)</f>
        <v>0</v>
      </c>
      <c r="AJ80" s="65" t="n">
        <f aca="false">COUNTIFS(Данные!$B$2:$B$722,37,Данные!$C$2:$C$722,0,Данные!$A$2:$A$722,"&gt;="&amp;77234250000,Данные!$A$2:$A$722,"&lt;="&amp;77234250999)</f>
        <v>0</v>
      </c>
      <c r="AK80" s="65" t="n">
        <f aca="false">COUNTIFS(Данные!$B$2:$B$722,37,Данные!$C$2:$C$722,0,Данные!$A$2:$A$722,"&gt;="&amp;77233922950,Данные!$A$2:$A$722,"&lt;="&amp;77233924999)</f>
        <v>0</v>
      </c>
      <c r="AL80" s="65" t="n">
        <f aca="false">COUNTIFS(Данные!$B$2:$B$722,37,Данные!$C$2:$C$722,0,Данные!$A$2:$A$722,"&gt;="&amp;77234320000,Данные!$A$2:$A$722,"&lt;="&amp;77234320999)</f>
        <v>0</v>
      </c>
      <c r="AM80" s="65" t="n">
        <f aca="false">COUNTIFS(Данные!$B$2:$B$722,37,Данные!$C$2:$C$722,0,Данные!$A$2:$A$722,"&gt;="&amp;77234350000,Данные!$A$2:$A$722,"&lt;="&amp;77234350999)</f>
        <v>0</v>
      </c>
      <c r="AN80" s="65" t="n">
        <f aca="false">COUNTIFS(Данные!$B$2:$B$722,37,Данные!$C$2:$C$722,0,Данные!$A$2:$A$722,"&gt;="&amp;77234020000,Данные!$A$2:$A$722,"&lt;="&amp;77234020999)</f>
        <v>0</v>
      </c>
      <c r="AO80" s="65" t="n">
        <f aca="false">COUNTIFS(Данные!$B$2:$B$722,37,Данные!$C$2:$C$722,0,Данные!$A$2:$A$722,"&gt;="&amp;77234029000,Данные!$A$2:$A$722,"&lt;="&amp;77234029999)</f>
        <v>0</v>
      </c>
      <c r="AP80" s="65" t="n">
        <f aca="false">COUNTIFS(Данные!$B$2:$B$722,37,Данные!$C$2:$C$722,0,Данные!$A$2:$A$722,"&gt;="&amp;77234050000,Данные!$A$2:$A$722,"&lt;="&amp;77234050999)</f>
        <v>0</v>
      </c>
      <c r="AQ80" s="65" t="n">
        <f aca="false">COUNTIFS(Данные!$B$2:$B$722,37,Данные!$C$2:$C$722,0,Данные!$A$2:$A$722,"&gt;="&amp;77234427000,Данные!$A$2:$A$722,"&lt;="&amp;77234428999)</f>
        <v>0</v>
      </c>
      <c r="AR80" s="65" t="n">
        <f aca="false">COUNTIFS(Данные!$B$2:$B$722,37,Данные!$C$2:$C$722,0,Данные!$A$2:$A$722,"&gt;="&amp;77234450000,Данные!$A$2:$A$722,"&lt;="&amp;77234450999)</f>
        <v>0</v>
      </c>
      <c r="AS80" s="65" t="n">
        <f aca="false">COUNTIFS(Данные!$B$2:$B$722,37,Данные!$C$2:$C$722,0,Данные!$A$2:$A$722,"&gt;="&amp;77234620000,Данные!$A$2:$A$722,"&lt;="&amp;77234620999)</f>
        <v>0</v>
      </c>
      <c r="AT80" s="65" t="n">
        <f aca="false">COUNTIFS(Данные!$B$2:$B$722,37,Данные!$C$2:$C$722,0,Данные!$A$2:$A$722,"&gt;="&amp;77234650000,Данные!$A$2:$A$722,"&lt;="&amp;77234650999)</f>
        <v>0</v>
      </c>
      <c r="AU80" s="65" t="n">
        <f aca="false">COUNTIFS(Данные!$B$2:$B$722,37,Данные!$C$2:$C$722,0,Данные!$A$2:$A$722,"&gt;="&amp;77234820000,Данные!$A$2:$A$722,"&lt;="&amp;77234820999)</f>
        <v>0</v>
      </c>
      <c r="AV80" s="65" t="n">
        <f aca="false">COUNTIFS(Данные!$B$2:$B$722,37,Данные!$C$2:$C$722,0,Данные!$A$2:$A$722,"&gt;="&amp;77234850000,Данные!$A$2:$A$722,"&lt;="&amp;77234850999)</f>
        <v>0</v>
      </c>
      <c r="AW80" s="65" t="n">
        <f aca="false">COUNTIFS(Данные!$B$2:$B$722,37,Данные!$C$2:$C$722,0,Данные!$A$2:$A$722,"&gt;="&amp;77233327000,Данные!$A$2:$A$722,"&lt;="&amp;77233327999)</f>
        <v>0</v>
      </c>
      <c r="AX80" s="65" t="n">
        <f aca="false">COUNTIFS(Данные!$B$2:$B$722,37,Данные!$C$2:$C$722,0,Данные!$A$2:$A$722,"&gt;="&amp;77233350000,Данные!$A$2:$A$722,"&lt;="&amp;77233350599)</f>
        <v>0</v>
      </c>
      <c r="AY80" s="65" t="n">
        <f aca="false">COUNTIFS(Данные!$B$2:$B$722,37,Данные!$C$2:$C$722,0,Данные!$A$2:$A$722,"&gt;="&amp;77233351000,Данные!$A$2:$A$722,"&lt;="&amp;77233351999)</f>
        <v>0</v>
      </c>
      <c r="AZ80" s="66" t="n">
        <f aca="false">COUNTIFS(Данные!$B$2:$B$722,37,Данные!$C$2:$C$722,0,Данные!$A$2:$A$722,"&gt;="&amp;7722440000,Данные!$A$2:$A$722,"&lt;="&amp;7722440999)</f>
        <v>0</v>
      </c>
      <c r="BA80" s="66" t="n">
        <f aca="false">COUNTIFS(Данные!$B$2:$B$722,37,Данные!$C$2:$C$722,0,Данные!$A$2:$A$722,"&gt;="&amp;7722442000,Данные!$A$2:$A$722,"&lt;="&amp;7722445659)</f>
        <v>0</v>
      </c>
      <c r="BB80" s="66" t="n">
        <f aca="false">COUNTIFS(Данные!$B$2:$B$722,37,Данные!$C$2:$C$722,0,Данные!$A$2:$A$722,"&gt;="&amp;7722450000,Данные!$A$2:$A$722,"&lt;="&amp;7722450199)</f>
        <v>0</v>
      </c>
      <c r="BC80" s="66" t="n">
        <f aca="false">COUNTIFS(Данные!$B$2:$B$722,37,Данные!$C$2:$C$722,0,Данные!$A$2:$A$722,"&gt;="&amp;7722451000,Данные!$A$2:$A$722,"&lt;="&amp;7722451374)</f>
        <v>0</v>
      </c>
      <c r="BD80" s="66" t="n">
        <f aca="false">COUNTIFS(Данные!$B$2:$B$722,37,Данные!$C$2:$C$722,0,Данные!$A$2:$A$722,"&gt;="&amp;7722452000,Данные!$A$2:$A$722,"&lt;="&amp;7722452299)</f>
        <v>0</v>
      </c>
      <c r="BE80" s="66" t="n">
        <f aca="false">COUNTIFS(Данные!$B$2:$B$722,37,Данные!$C$2:$C$722,0,Данные!$A$2:$A$722,"&gt;="&amp;7722453000,Данные!$A$2:$A$722,"&lt;="&amp;7722453816)</f>
        <v>0</v>
      </c>
      <c r="BF80" s="66" t="n">
        <f aca="false">COUNTIFS(Данные!$B$2:$B$722,37,Данные!$C$2:$C$722,0,Данные!$A$2:$A$722,"&gt;="&amp;7722454000,Данные!$A$2:$A$722,"&lt;="&amp;7722454099)</f>
        <v>0</v>
      </c>
      <c r="BG80" s="66" t="n">
        <f aca="false">COUNTIFS(Данные!$B$2:$B$722,37,Данные!$C$2:$C$722,0,Данные!$A$2:$A$722,"&gt;="&amp;7722458000,Данные!$A$2:$A$722,"&lt;="&amp;7722458999)</f>
        <v>0</v>
      </c>
      <c r="BH80" s="66" t="n">
        <f aca="false">COUNTIFS(Данные!$B$2:$B$722,37,Данные!$C$2:$C$722,0,Данные!$A$2:$A$722,"&gt;="&amp;7722630000,Данные!$A$2:$A$722,"&lt;="&amp;7722638549)</f>
        <v>0</v>
      </c>
      <c r="BI80" s="66" t="n">
        <f aca="false">COUNTIFS(Данные!$B$2:$B$722,37,Данные!$C$2:$C$722,0,Данные!$A$2:$A$722,"&gt;="&amp;7722639400,Данные!$A$2:$A$722,"&lt;="&amp;7722639899)</f>
        <v>0</v>
      </c>
      <c r="BJ80" s="66" t="n">
        <f aca="false">COUNTIFS(Данные!$B$2:$B$722,37,Данные!$C$2:$C$722,0,Данные!$A$2:$A$722,"&gt;="&amp;7725750000,Данные!$A$2:$A$722,"&lt;="&amp;7725750399)</f>
        <v>0</v>
      </c>
      <c r="BK80" s="66" t="n">
        <f aca="false">COUNTIFS(Данные!$B$2:$B$722,37,Данные!$C$2:$C$722,0,Данные!$A$2:$A$722,"&gt;="&amp;7723620000,Данные!$A$2:$A$722,"&lt;="&amp;7723621299)</f>
        <v>0</v>
      </c>
      <c r="BL80" s="66" t="n">
        <f aca="false">COUNTIFS(Данные!$B$2:$B$722,37,Данные!$C$2:$C$722,0,Данные!$A$2:$A$722,"&gt;="&amp;7723621600,Данные!$A$2:$A$722,"&lt;="&amp;7723623399)</f>
        <v>0</v>
      </c>
      <c r="BM80" s="66" t="n">
        <f aca="false">COUNTIFS(Данные!$B$2:$B$722,37,Данные!$C$2:$C$722,0,Данные!$A$2:$A$722,"&gt;="&amp;7725127000,Данные!$A$2:$A$722,"&lt;="&amp;7725127999)</f>
        <v>0</v>
      </c>
      <c r="BN80" s="66" t="n">
        <f aca="false">COUNTIFS(Данные!$B$2:$B$722,37,Данные!$C$2:$C$722,0,Данные!$A$2:$A$722,"&gt;="&amp;7723772000,Данные!$A$2:$A$722,"&lt;="&amp;7723724999)</f>
        <v>0</v>
      </c>
      <c r="BO80" s="65" t="n">
        <f aca="false">COUNTIFS(Данные!$B$2:$B$722,37,Данные!$C$2:$C$722,0,Данные!$A$2:$A$722,"&gt;="&amp;7723765000,Данные!$A$2:$A$722,"&lt;="&amp;7723765499)</f>
        <v>0</v>
      </c>
      <c r="BP80" s="66" t="n">
        <f aca="false">COUNTIFS(Данные!$B$2:$B$722,37,Данные!$C$2:$C$722,0,Данные!$A$2:$A$722,"&gt;="&amp;7723948000,Данные!$A$2:$A$722,"&lt;="&amp;7723948999)</f>
        <v>0</v>
      </c>
      <c r="BQ80" s="66" t="n">
        <f aca="false">COUNTIFS(Данные!$B$2:$B$722,37,Данные!$C$2:$C$722,0,Данные!$A$2:$A$722,"&gt;="&amp;7723950000,Данные!$A$2:$A$722,"&lt;="&amp;7723951099)</f>
        <v>0</v>
      </c>
      <c r="BR80" s="66" t="n">
        <f aca="false">COUNTIFS(Данные!$B$2:$B$722,37,Данные!$C$2:$C$722,0,Данные!$A$2:$A$722,"&gt;="&amp;7723020000,Данные!$A$2:$A$722,"&lt;="&amp;7723020999)</f>
        <v>0</v>
      </c>
      <c r="BS80" s="66" t="n">
        <f aca="false">COUNTIFS(Данные!$B$2:$B$722,37,Данные!$C$2:$C$722,0,Данные!$A$2:$A$722,"&gt;="&amp;7723029000,Данные!$A$2:$A$722,"&lt;="&amp;7723029999)</f>
        <v>0</v>
      </c>
      <c r="BT80" s="66" t="n">
        <f aca="false">COUNTIFS(Данные!$B$2:$B$722,37,Данные!$C$2:$C$722,0,Данные!$A$2:$A$722,"&gt;="&amp;7723055000,Данные!$A$2:$A$722,"&lt;="&amp;7723056549)</f>
        <v>0</v>
      </c>
      <c r="BU80" s="65" t="n">
        <f aca="false">COUNTIFS(Данные!$B$2:$B$722,37,Данные!$C$2:$C$722,0,Данные!$A$2:$A$722,"&gt;="&amp;7725250000,Данные!$A$2:$A$722,"&lt;="&amp;7725250499)</f>
        <v>0</v>
      </c>
      <c r="BV80" s="66" t="n">
        <f aca="false">COUNTIFS(Данные!$B$2:$B$722,37,Данные!$C$2:$C$722,0,Данные!$A$2:$A$722,"&gt;="&amp;7183841400,Данные!$A$2:$A$722,"&lt;="&amp;7183841499)</f>
        <v>0</v>
      </c>
      <c r="BW80" s="49" t="n">
        <v>300</v>
      </c>
      <c r="BX80" s="67" t="n">
        <f aca="false">F80-BW80</f>
        <v>-269</v>
      </c>
    </row>
    <row r="81" s="15" customFormat="true" ht="12" hidden="false" customHeight="true" outlineLevel="0" collapsed="false">
      <c r="A81" s="47"/>
      <c r="B81" s="48"/>
      <c r="C81" s="50" t="n">
        <v>1</v>
      </c>
      <c r="D81" s="50" t="n">
        <v>371</v>
      </c>
      <c r="E81" s="51"/>
      <c r="F81" s="65" t="n">
        <f aca="false">COUNTIFS(Данные!$B$2:$B$722,37,Данные!$C$2:$C$722,1)</f>
        <v>34</v>
      </c>
      <c r="G81" s="65" t="n">
        <f aca="false">COUNTIFS(Данные!$B$2:$B$722,37,Данные!$C$2:$C$722,1,Данные!$A$2:$A$722,"&gt;="&amp;77232210840,Данные!$A$2:$A$722,"&lt;="&amp;77232216999)</f>
        <v>0</v>
      </c>
      <c r="H81" s="65" t="n">
        <f aca="false">COUNTIFS(Данные!$B$2:$B$722,37,Данные!$C$2:$C$722,1,Данные!$A$2:$A$722,"&gt;="&amp;77232510512,Данные!$A$2:$A$722,"&lt;="&amp;77232519487)</f>
        <v>0</v>
      </c>
      <c r="I81" s="65" t="n">
        <f aca="false">COUNTIFS(Данные!$B$2:$B$722,37,Данные!$C$2:$C$722,1,Данные!$A$2:$A$722,"&gt;="&amp;77232524160,Данные!$A$2:$A$722,"&lt;="&amp;77232529999)</f>
        <v>0</v>
      </c>
      <c r="J81" s="65" t="n">
        <f aca="false">COUNTIFS(Данные!$B$2:$B$722,37,Данные!$C$2:$C$722,1,Данные!$A$2:$A$722,"&gt;="&amp;77232544000,Данные!$A$2:$A$722,"&lt;="&amp;77232544999)</f>
        <v>0</v>
      </c>
      <c r="K81" s="65" t="n">
        <f aca="false">COUNTIFS(Данные!$B$2:$B$722,37,Данные!$C$2:$C$722,1,Данные!$A$2:$A$722,"&gt;="&amp;77232295504,Данные!$A$2:$A$722,"&lt;="&amp;77232296999)</f>
        <v>0</v>
      </c>
      <c r="L81" s="65" t="n">
        <f aca="false">COUNTIFS(Данные!$B$2:$B$722,37,Данные!$C$2:$C$722,1,Данные!$A$2:$A$722,"&gt;="&amp;77232785000,Данные!$A$2:$A$722,"&lt;="&amp;77232789999)</f>
        <v>0</v>
      </c>
      <c r="M81" s="65" t="n">
        <f aca="false">COUNTIFS(Данные!$B$2:$B$722,37,Данные!$C$2:$C$722,1,Данные!$A$2:$A$722,"&gt;="&amp;77233150000,Данные!$A$2:$A$722,"&lt;="&amp;77233155999)</f>
        <v>0</v>
      </c>
      <c r="N81" s="65" t="n">
        <f aca="false">COUNTIFS(Данные!$B$2:$B$722,37,Данные!$C$2:$C$722,1,Данные!$A$2:$A$722,"&gt;="&amp;77233235000,Данные!$A$2:$A$722,"&lt;="&amp;77233235999)</f>
        <v>0</v>
      </c>
      <c r="O81" s="65" t="n">
        <f aca="false">COUNTIFS(Данные!$B$2:$B$722,37,Данные!$C$2:$C$722,1,Данные!$A$2:$A$722,"&gt;="&amp;77233239000,Данные!$A$2:$A$722,"&lt;="&amp;77233239999)</f>
        <v>0</v>
      </c>
      <c r="P81" s="65" t="n">
        <f aca="false">COUNTIFS(Данные!$B$2:$B$722,37,Данные!$C$2:$C$722,1,Данные!$A$2:$A$722,"&gt;="&amp;77233272000,Данные!$A$2:$A$722,"&lt;="&amp;77233272999)</f>
        <v>0</v>
      </c>
      <c r="Q81" s="65" t="n">
        <f aca="false">COUNTIFS(Данные!$B$2:$B$722,37,Данные!$C$2:$C$722,1,Данные!$A$2:$A$722,"&gt;="&amp;77233291100,Данные!$A$2:$A$722,"&lt;="&amp;77233292999)</f>
        <v>0</v>
      </c>
      <c r="R81" s="65" t="n">
        <f aca="false">COUNTIFS(Данные!$B$2:$B$722,37,Данные!$C$2:$C$722,1,Данные!$A$2:$A$722,"&gt;="&amp;77233297000,Данные!$A$2:$A$722,"&lt;="&amp;77233298399)</f>
        <v>0</v>
      </c>
      <c r="S81" s="65" t="n">
        <f aca="false">COUNTIFS(Данные!$B$2:$B$722,37,Данные!$C$2:$C$722,1,Данные!$A$2:$A$722,"&gt;="&amp;77235124000,Данные!$A$2:$A$722,"&lt;="&amp;77235128499)</f>
        <v>23</v>
      </c>
      <c r="T81" s="65" t="n">
        <f aca="false">COUNTIFS(Данные!$B$2:$B$722,37,Данные!$C$2:$C$722,1,Данные!$A$2:$A$722,"&gt;="&amp;77235320000,Данные!$A$2:$A$722,"&lt;="&amp;77235320999)</f>
        <v>10</v>
      </c>
      <c r="U81" s="65" t="n">
        <f aca="false">COUNTIFS(Данные!$B$2:$B$722,37,Данные!$C$2:$C$722,1,Данные!$A$2:$A$722,"&gt;="&amp;77233620000,Данные!$A$2:$A$722,"&lt;="&amp;77233623339)</f>
        <v>0</v>
      </c>
      <c r="V81" s="65" t="n">
        <f aca="false">COUNTIFS(Данные!$B$2:$B$722,37,Данные!$C$2:$C$722,1,Данные!$A$2:$A$722,"&gt;="&amp;77233630000,Данные!$A$2:$A$722,"&lt;="&amp;77233630999)</f>
        <v>0</v>
      </c>
      <c r="W81" s="65" t="n">
        <f aca="false">COUNTIFS(Данные!$B$2:$B$722,37,Данные!$C$2:$C$722,1,Данные!$A$2:$A$722,"&gt;="&amp;77233637000,Данные!$A$2:$A$722,"&lt;="&amp;77233637599)</f>
        <v>0</v>
      </c>
      <c r="X81" s="65" t="n">
        <f aca="false">COUNTIFS(Данные!$B$2:$B$722,37,Данные!$C$2:$C$722,1,Данные!$A$2:$A$722,"&gt;="&amp;77233550000,Данные!$A$2:$A$722,"&lt;="&amp;77233550999)</f>
        <v>0</v>
      </c>
      <c r="Y81" s="65" t="n">
        <f aca="false">COUNTIFS(Данные!$B$2:$B$722,37,Данные!$C$2:$C$722,1,Данные!$A$2:$A$722,"&gt;="&amp;77233554000,Данные!$A$2:$A$722,"&lt;="&amp;77233554999)</f>
        <v>0</v>
      </c>
      <c r="Z81" s="65" t="n">
        <f aca="false">COUNTIFS(Данные!$B$2:$B$722,37,Данные!$C$2:$C$722,1,Данные!$A$2:$A$722,"&gt;="&amp;77233555000,Данные!$A$2:$A$722,"&lt;="&amp;77233556999)</f>
        <v>0</v>
      </c>
      <c r="AA81" s="65" t="n">
        <f aca="false">COUNTIFS(Данные!$B$2:$B$722,37,Данные!$C$2:$C$722,1,Данные!$A$2:$A$722,"&gt;="&amp;77233726000,Данные!$A$2:$A$722,"&lt;="&amp;77233726999)</f>
        <v>0</v>
      </c>
      <c r="AB81" s="65" t="n">
        <f aca="false">COUNTIFS(Данные!$B$2:$B$722,37,Данные!$C$2:$C$722,1,Данные!$A$2:$A$722,"&gt;="&amp;77233820000,Данные!$A$2:$A$722,"&lt;="&amp;77233820999)</f>
        <v>0</v>
      </c>
      <c r="AC81" s="65" t="n">
        <f aca="false">COUNTIFS(Данные!$B$2:$B$722,37,Данные!$C$2:$C$722,1,Данные!$A$2:$A$722,"&gt;="&amp;77233850000,Данные!$A$2:$A$722,"&lt;="&amp;77233850999)</f>
        <v>0</v>
      </c>
      <c r="AD81" s="65" t="n">
        <f aca="false">COUNTIFS(Данные!$B$2:$B$722,37,Данные!$C$2:$C$722,1,Данные!$A$2:$A$722,"&gt;="&amp;77233420000,Данные!$A$2:$A$722,"&lt;="&amp;77233420999)</f>
        <v>0</v>
      </c>
      <c r="AE81" s="65" t="n">
        <f aca="false">COUNTIFS(Данные!$B$2:$B$722,37,Данные!$C$2:$C$722,1,Данные!$A$2:$A$722,"&gt;="&amp;77234740000,Данные!$A$2:$A$722,"&lt;="&amp;77234742999)</f>
        <v>0</v>
      </c>
      <c r="AF81" s="65" t="n">
        <f aca="false">COUNTIFS(Данные!$B$2:$B$722,37,Данные!$C$2:$C$722,1,Данные!$A$2:$A$722,"&gt;="&amp;77234767000,Данные!$A$2:$A$722,"&lt;="&amp;77234767999)</f>
        <v>0</v>
      </c>
      <c r="AG81" s="65" t="n">
        <f aca="false">COUNTIFS(Данные!$B$2:$B$722,37,Данные!$C$2:$C$722,1,Данные!$A$2:$A$722,"&gt;="&amp;77234120000,Данные!$A$2:$A$722,"&lt;="&amp;77234120999)</f>
        <v>0</v>
      </c>
      <c r="AH81" s="65" t="n">
        <f aca="false">COUNTIFS(Данные!$B$2:$B$722,37,Данные!$C$2:$C$722,1,Данные!$A$2:$A$722,"&gt;="&amp;77234127000,Данные!$A$2:$A$722,"&lt;="&amp;77234127999)</f>
        <v>0</v>
      </c>
      <c r="AI81" s="65" t="n">
        <f aca="false">COUNTIFS(Данные!$B$2:$B$722,37,Данные!$C$2:$C$722,1,Данные!$A$2:$A$722,"&gt;="&amp;77234220000,Данные!$A$2:$A$722,"&lt;="&amp;77234220999)</f>
        <v>0</v>
      </c>
      <c r="AJ81" s="65" t="n">
        <f aca="false">COUNTIFS(Данные!$B$2:$B$722,37,Данные!$C$2:$C$722,1,Данные!$A$2:$A$722,"&gt;="&amp;77234250000,Данные!$A$2:$A$722,"&lt;="&amp;77234250999)</f>
        <v>0</v>
      </c>
      <c r="AK81" s="65" t="n">
        <f aca="false">COUNTIFS(Данные!$B$2:$B$722,37,Данные!$C$2:$C$722,1,Данные!$A$2:$A$722,"&gt;="&amp;77233922950,Данные!$A$2:$A$722,"&lt;="&amp;77233924999)</f>
        <v>0</v>
      </c>
      <c r="AL81" s="65" t="n">
        <f aca="false">COUNTIFS(Данные!$B$2:$B$722,37,Данные!$C$2:$C$722,1,Данные!$A$2:$A$722,"&gt;="&amp;77234320000,Данные!$A$2:$A$722,"&lt;="&amp;77234320999)</f>
        <v>0</v>
      </c>
      <c r="AM81" s="65" t="n">
        <f aca="false">COUNTIFS(Данные!$B$2:$B$722,37,Данные!$C$2:$C$722,1,Данные!$A$2:$A$722,"&gt;="&amp;77234350000,Данные!$A$2:$A$722,"&lt;="&amp;77234350999)</f>
        <v>0</v>
      </c>
      <c r="AN81" s="65" t="n">
        <f aca="false">COUNTIFS(Данные!$B$2:$B$722,37,Данные!$C$2:$C$722,1,Данные!$A$2:$A$722,"&gt;="&amp;77234020000,Данные!$A$2:$A$722,"&lt;="&amp;77234020999)</f>
        <v>0</v>
      </c>
      <c r="AO81" s="65" t="n">
        <f aca="false">COUNTIFS(Данные!$B$2:$B$722,37,Данные!$C$2:$C$722,1,Данные!$A$2:$A$722,"&gt;="&amp;77234029000,Данные!$A$2:$A$722,"&lt;="&amp;77234029999)</f>
        <v>0</v>
      </c>
      <c r="AP81" s="65" t="n">
        <f aca="false">COUNTIFS(Данные!$B$2:$B$722,37,Данные!$C$2:$C$722,1,Данные!$A$2:$A$722,"&gt;="&amp;77234050000,Данные!$A$2:$A$722,"&lt;="&amp;77234050999)</f>
        <v>0</v>
      </c>
      <c r="AQ81" s="65" t="n">
        <f aca="false">COUNTIFS(Данные!$B$2:$B$722,37,Данные!$C$2:$C$722,1,Данные!$A$2:$A$722,"&gt;="&amp;77234427000,Данные!$A$2:$A$722,"&lt;="&amp;77234428999)</f>
        <v>0</v>
      </c>
      <c r="AR81" s="65" t="n">
        <f aca="false">COUNTIFS(Данные!$B$2:$B$722,37,Данные!$C$2:$C$722,1,Данные!$A$2:$A$722,"&gt;="&amp;77234450000,Данные!$A$2:$A$722,"&lt;="&amp;77234450999)</f>
        <v>0</v>
      </c>
      <c r="AS81" s="65" t="n">
        <f aca="false">COUNTIFS(Данные!$B$2:$B$722,37,Данные!$C$2:$C$722,1,Данные!$A$2:$A$722,"&gt;="&amp;77234620000,Данные!$A$2:$A$722,"&lt;="&amp;77234620999)</f>
        <v>0</v>
      </c>
      <c r="AT81" s="65" t="n">
        <f aca="false">COUNTIFS(Данные!$B$2:$B$722,37,Данные!$C$2:$C$722,1,Данные!$A$2:$A$722,"&gt;="&amp;77234650000,Данные!$A$2:$A$722,"&lt;="&amp;77234650999)</f>
        <v>0</v>
      </c>
      <c r="AU81" s="65" t="n">
        <f aca="false">COUNTIFS(Данные!$B$2:$B$722,37,Данные!$C$2:$C$722,1,Данные!$A$2:$A$722,"&gt;="&amp;77234820000,Данные!$A$2:$A$722,"&lt;="&amp;77234820999)</f>
        <v>0</v>
      </c>
      <c r="AV81" s="65" t="n">
        <f aca="false">COUNTIFS(Данные!$B$2:$B$722,37,Данные!$C$2:$C$722,1,Данные!$A$2:$A$722,"&gt;="&amp;77234850000,Данные!$A$2:$A$722,"&lt;="&amp;77234850999)</f>
        <v>0</v>
      </c>
      <c r="AW81" s="65" t="n">
        <f aca="false">COUNTIFS(Данные!$B$2:$B$722,37,Данные!$C$2:$C$722,1,Данные!$A$2:$A$722,"&gt;="&amp;77233327000,Данные!$A$2:$A$722,"&lt;="&amp;77233327999)</f>
        <v>0</v>
      </c>
      <c r="AX81" s="65" t="n">
        <f aca="false">COUNTIFS(Данные!$B$2:$B$722,37,Данные!$C$2:$C$722,1,Данные!$A$2:$A$722,"&gt;="&amp;77233350000,Данные!$A$2:$A$722,"&lt;="&amp;77233350599)</f>
        <v>0</v>
      </c>
      <c r="AY81" s="65" t="n">
        <f aca="false">COUNTIFS(Данные!$B$2:$B$722,37,Данные!$C$2:$C$722,1,Данные!$A$2:$A$722,"&gt;="&amp;77233351000,Данные!$A$2:$A$722,"&lt;="&amp;77233351999)</f>
        <v>0</v>
      </c>
      <c r="AZ81" s="66" t="n">
        <f aca="false">COUNTIFS(Данные!$B$2:$B$722,37,Данные!$C$2:$C$722,1,Данные!$A$2:$A$722,"&gt;="&amp;7722440000,Данные!$A$2:$A$722,"&lt;="&amp;7722440999)</f>
        <v>0</v>
      </c>
      <c r="BA81" s="66" t="n">
        <f aca="false">COUNTIFS(Данные!$B$2:$B$722,37,Данные!$C$2:$C$722,1,Данные!$A$2:$A$722,"&gt;="&amp;7722442000,Данные!$A$2:$A$722,"&lt;="&amp;7722445659)</f>
        <v>0</v>
      </c>
      <c r="BB81" s="66" t="n">
        <f aca="false">COUNTIFS(Данные!$B$2:$B$722,37,Данные!$C$2:$C$722,1,Данные!$A$2:$A$722,"&gt;="&amp;7722450000,Данные!$A$2:$A$722,"&lt;="&amp;7722450199)</f>
        <v>0</v>
      </c>
      <c r="BC81" s="66" t="n">
        <f aca="false">COUNTIFS(Данные!$B$2:$B$722,37,Данные!$C$2:$C$722,1,Данные!$A$2:$A$722,"&gt;="&amp;7722451000,Данные!$A$2:$A$722,"&lt;="&amp;7722451374)</f>
        <v>0</v>
      </c>
      <c r="BD81" s="66" t="n">
        <f aca="false">COUNTIFS(Данные!$B$2:$B$722,37,Данные!$C$2:$C$722,1,Данные!$A$2:$A$722,"&gt;="&amp;7722452000,Данные!$A$2:$A$722,"&lt;="&amp;7722452299)</f>
        <v>0</v>
      </c>
      <c r="BE81" s="66" t="n">
        <f aca="false">COUNTIFS(Данные!$B$2:$B$722,37,Данные!$C$2:$C$722,1,Данные!$A$2:$A$722,"&gt;="&amp;7722453000,Данные!$A$2:$A$722,"&lt;="&amp;7722453816)</f>
        <v>0</v>
      </c>
      <c r="BF81" s="66" t="n">
        <f aca="false">COUNTIFS(Данные!$B$2:$B$722,37,Данные!$C$2:$C$722,1,Данные!$A$2:$A$722,"&gt;="&amp;7722454000,Данные!$A$2:$A$722,"&lt;="&amp;7722454099)</f>
        <v>0</v>
      </c>
      <c r="BG81" s="66" t="n">
        <f aca="false">COUNTIFS(Данные!$B$2:$B$722,37,Данные!$C$2:$C$722,1,Данные!$A$2:$A$722,"&gt;="&amp;7722458000,Данные!$A$2:$A$722,"&lt;="&amp;7722458999)</f>
        <v>0</v>
      </c>
      <c r="BH81" s="66" t="n">
        <f aca="false">COUNTIFS(Данные!$B$2:$B$722,37,Данные!$C$2:$C$722,1,Данные!$A$2:$A$722,"&gt;="&amp;7722630000,Данные!$A$2:$A$722,"&lt;="&amp;7722638549)</f>
        <v>0</v>
      </c>
      <c r="BI81" s="66" t="n">
        <f aca="false">COUNTIFS(Данные!$B$2:$B$722,37,Данные!$C$2:$C$722,1,Данные!$A$2:$A$722,"&gt;="&amp;7722639400,Данные!$A$2:$A$722,"&lt;="&amp;7722639899)</f>
        <v>0</v>
      </c>
      <c r="BJ81" s="66" t="n">
        <f aca="false">COUNTIFS(Данные!$B$2:$B$722,37,Данные!$C$2:$C$722,1,Данные!$A$2:$A$722,"&gt;="&amp;7725750000,Данные!$A$2:$A$722,"&lt;="&amp;7725750399)</f>
        <v>0</v>
      </c>
      <c r="BK81" s="66" t="n">
        <f aca="false">COUNTIFS(Данные!$B$2:$B$722,37,Данные!$C$2:$C$722,1,Данные!$A$2:$A$722,"&gt;="&amp;7723620000,Данные!$A$2:$A$722,"&lt;="&amp;7723621299)</f>
        <v>0</v>
      </c>
      <c r="BL81" s="66" t="n">
        <f aca="false">COUNTIFS(Данные!$B$2:$B$722,37,Данные!$C$2:$C$722,1,Данные!$A$2:$A$722,"&gt;="&amp;7723621600,Данные!$A$2:$A$722,"&lt;="&amp;7723623399)</f>
        <v>0</v>
      </c>
      <c r="BM81" s="66" t="n">
        <f aca="false">COUNTIFS(Данные!$B$2:$B$722,37,Данные!$C$2:$C$722,1,Данные!$A$2:$A$722,"&gt;="&amp;7725127000,Данные!$A$2:$A$722,"&lt;="&amp;7725127999)</f>
        <v>0</v>
      </c>
      <c r="BN81" s="66" t="n">
        <f aca="false">COUNTIFS(Данные!$B$2:$B$722,37,Данные!$C$2:$C$722,1,Данные!$A$2:$A$722,"&gt;="&amp;7723772000,Данные!$A$2:$A$722,"&lt;="&amp;7723724999)</f>
        <v>0</v>
      </c>
      <c r="BO81" s="65" t="n">
        <f aca="false">COUNTIFS(Данные!$B$2:$B$722,37,Данные!$C$2:$C$722,1,Данные!$A$2:$A$722,"&gt;="&amp;7723765000,Данные!$A$2:$A$722,"&lt;="&amp;7723765499)</f>
        <v>0</v>
      </c>
      <c r="BP81" s="66" t="n">
        <f aca="false">COUNTIFS(Данные!$B$2:$B$722,37,Данные!$C$2:$C$722,1,Данные!$A$2:$A$722,"&gt;="&amp;7723948000,Данные!$A$2:$A$722,"&lt;="&amp;7723948999)</f>
        <v>0</v>
      </c>
      <c r="BQ81" s="66" t="n">
        <f aca="false">COUNTIFS(Данные!$B$2:$B$722,37,Данные!$C$2:$C$722,1,Данные!$A$2:$A$722,"&gt;="&amp;7723950000,Данные!$A$2:$A$722,"&lt;="&amp;7723951099)</f>
        <v>0</v>
      </c>
      <c r="BR81" s="66" t="n">
        <f aca="false">COUNTIFS(Данные!$B$2:$B$722,37,Данные!$C$2:$C$722,1,Данные!$A$2:$A$722,"&gt;="&amp;7723020000,Данные!$A$2:$A$722,"&lt;="&amp;7723020999)</f>
        <v>0</v>
      </c>
      <c r="BS81" s="66" t="n">
        <f aca="false">COUNTIFS(Данные!$B$2:$B$722,37,Данные!$C$2:$C$722,1,Данные!$A$2:$A$722,"&gt;="&amp;7723029000,Данные!$A$2:$A$722,"&lt;="&amp;7723029999)</f>
        <v>0</v>
      </c>
      <c r="BT81" s="66" t="n">
        <f aca="false">COUNTIFS(Данные!$B$2:$B$722,37,Данные!$C$2:$C$722,1,Данные!$A$2:$A$722,"&gt;="&amp;7723055000,Данные!$A$2:$A$722,"&lt;="&amp;7723056549)</f>
        <v>0</v>
      </c>
      <c r="BU81" s="65" t="n">
        <f aca="false">COUNTIFS(Данные!$B$2:$B$722,37,Данные!$C$2:$C$722,1,Данные!$A$2:$A$722,"&gt;="&amp;7725250000,Данные!$A$2:$A$722,"&lt;="&amp;7725250499)</f>
        <v>0</v>
      </c>
      <c r="BV81" s="66" t="n">
        <f aca="false">COUNTIFS(Данные!$B$2:$B$722,37,Данные!$C$2:$C$722,1,Данные!$A$2:$A$722,"&gt;="&amp;7183841400,Данные!$A$2:$A$722,"&lt;="&amp;7183841499)</f>
        <v>0</v>
      </c>
      <c r="BW81" s="49" t="n">
        <v>300</v>
      </c>
      <c r="BX81" s="67" t="n">
        <f aca="false">F81-BW81</f>
        <v>-266</v>
      </c>
    </row>
    <row r="82" s="15" customFormat="true" ht="12" hidden="false" customHeight="true" outlineLevel="0" collapsed="false">
      <c r="A82" s="47"/>
      <c r="B82" s="48"/>
      <c r="C82" s="50" t="n">
        <v>2</v>
      </c>
      <c r="D82" s="50" t="n">
        <v>372</v>
      </c>
      <c r="E82" s="51"/>
      <c r="F82" s="65" t="n">
        <f aca="false">COUNTIFS(Данные!$B$2:$B$722,37,Данные!$C$2:$C$722,2)</f>
        <v>2</v>
      </c>
      <c r="G82" s="65" t="n">
        <f aca="false">COUNTIFS(Данные!$B$2:$B$722,37,Данные!$C$2:$C$722,2,Данные!$A$2:$A$722,"&gt;="&amp;77232210840,Данные!$A$2:$A$722,"&lt;="&amp;77232216999)</f>
        <v>0</v>
      </c>
      <c r="H82" s="65" t="n">
        <f aca="false">COUNTIFS(Данные!$B$2:$B$722,37,Данные!$C$2:$C$722,2,Данные!$A$2:$A$722,"&gt;="&amp;77232510512,Данные!$A$2:$A$722,"&lt;="&amp;77232519487)</f>
        <v>0</v>
      </c>
      <c r="I82" s="65" t="n">
        <f aca="false">COUNTIFS(Данные!$B$2:$B$722,37,Данные!$C$2:$C$722,2,Данные!$A$2:$A$722,"&gt;="&amp;77232524160,Данные!$A$2:$A$722,"&lt;="&amp;77232529999)</f>
        <v>0</v>
      </c>
      <c r="J82" s="65" t="n">
        <f aca="false">COUNTIFS(Данные!$B$2:$B$722,37,Данные!$C$2:$C$722,2,Данные!$A$2:$A$722,"&gt;="&amp;77232544000,Данные!$A$2:$A$722,"&lt;="&amp;77232544999)</f>
        <v>0</v>
      </c>
      <c r="K82" s="65" t="n">
        <f aca="false">COUNTIFS(Данные!$B$2:$B$722,37,Данные!$C$2:$C$722,2,Данные!$A$2:$A$722,"&gt;="&amp;77232295504,Данные!$A$2:$A$722,"&lt;="&amp;77232296999)</f>
        <v>0</v>
      </c>
      <c r="L82" s="65" t="n">
        <f aca="false">COUNTIFS(Данные!$B$2:$B$722,37,Данные!$C$2:$C$722,2,Данные!$A$2:$A$722,"&gt;="&amp;77232785000,Данные!$A$2:$A$722,"&lt;="&amp;77232789999)</f>
        <v>0</v>
      </c>
      <c r="M82" s="65" t="n">
        <f aca="false">COUNTIFS(Данные!$B$2:$B$722,37,Данные!$C$2:$C$722,2,Данные!$A$2:$A$722,"&gt;="&amp;77233150000,Данные!$A$2:$A$722,"&lt;="&amp;77233155999)</f>
        <v>0</v>
      </c>
      <c r="N82" s="65" t="n">
        <f aca="false">COUNTIFS(Данные!$B$2:$B$722,37,Данные!$C$2:$C$722,2,Данные!$A$2:$A$722,"&gt;="&amp;77233235000,Данные!$A$2:$A$722,"&lt;="&amp;77233235999)</f>
        <v>0</v>
      </c>
      <c r="O82" s="65" t="n">
        <f aca="false">COUNTIFS(Данные!$B$2:$B$722,37,Данные!$C$2:$C$722,2,Данные!$A$2:$A$722,"&gt;="&amp;77233239000,Данные!$A$2:$A$722,"&lt;="&amp;77233239999)</f>
        <v>0</v>
      </c>
      <c r="P82" s="65" t="n">
        <f aca="false">COUNTIFS(Данные!$B$2:$B$722,37,Данные!$C$2:$C$722,2,Данные!$A$2:$A$722,"&gt;="&amp;77233272000,Данные!$A$2:$A$722,"&lt;="&amp;77233272999)</f>
        <v>0</v>
      </c>
      <c r="Q82" s="65" t="n">
        <f aca="false">COUNTIFS(Данные!$B$2:$B$722,37,Данные!$C$2:$C$722,2,Данные!$A$2:$A$722,"&gt;="&amp;77233291100,Данные!$A$2:$A$722,"&lt;="&amp;77233292999)</f>
        <v>0</v>
      </c>
      <c r="R82" s="65" t="n">
        <f aca="false">COUNTIFS(Данные!$B$2:$B$722,37,Данные!$C$2:$C$722,2,Данные!$A$2:$A$722,"&gt;="&amp;77233297000,Данные!$A$2:$A$722,"&lt;="&amp;77233298399)</f>
        <v>0</v>
      </c>
      <c r="S82" s="65" t="n">
        <f aca="false">COUNTIFS(Данные!$B$2:$B$722,37,Данные!$C$2:$C$722,2,Данные!$A$2:$A$722,"&gt;="&amp;77235124000,Данные!$A$2:$A$722,"&lt;="&amp;77235128499)</f>
        <v>2</v>
      </c>
      <c r="T82" s="65" t="n">
        <f aca="false">COUNTIFS(Данные!$B$2:$B$722,37,Данные!$C$2:$C$722,2,Данные!$A$2:$A$722,"&gt;="&amp;77235320000,Данные!$A$2:$A$722,"&lt;="&amp;77235320999)</f>
        <v>0</v>
      </c>
      <c r="U82" s="65" t="n">
        <f aca="false">COUNTIFS(Данные!$B$2:$B$722,37,Данные!$C$2:$C$722,2,Данные!$A$2:$A$722,"&gt;="&amp;77233620000,Данные!$A$2:$A$722,"&lt;="&amp;77233623339)</f>
        <v>0</v>
      </c>
      <c r="V82" s="65" t="n">
        <f aca="false">COUNTIFS(Данные!$B$2:$B$722,37,Данные!$C$2:$C$722,2,Данные!$A$2:$A$722,"&gt;="&amp;77233630000,Данные!$A$2:$A$722,"&lt;="&amp;77233630999)</f>
        <v>0</v>
      </c>
      <c r="W82" s="65" t="n">
        <f aca="false">COUNTIFS(Данные!$B$2:$B$722,37,Данные!$C$2:$C$722,2,Данные!$A$2:$A$722,"&gt;="&amp;77233637000,Данные!$A$2:$A$722,"&lt;="&amp;77233637599)</f>
        <v>0</v>
      </c>
      <c r="X82" s="65" t="n">
        <f aca="false">COUNTIFS(Данные!$B$2:$B$722,37,Данные!$C$2:$C$722,2,Данные!$A$2:$A$722,"&gt;="&amp;77233550000,Данные!$A$2:$A$722,"&lt;="&amp;77233550999)</f>
        <v>0</v>
      </c>
      <c r="Y82" s="65" t="n">
        <f aca="false">COUNTIFS(Данные!$B$2:$B$722,37,Данные!$C$2:$C$722,2,Данные!$A$2:$A$722,"&gt;="&amp;77233554000,Данные!$A$2:$A$722,"&lt;="&amp;77233554999)</f>
        <v>0</v>
      </c>
      <c r="Z82" s="65" t="n">
        <f aca="false">COUNTIFS(Данные!$B$2:$B$722,37,Данные!$C$2:$C$722,2,Данные!$A$2:$A$722,"&gt;="&amp;77233555000,Данные!$A$2:$A$722,"&lt;="&amp;77233556999)</f>
        <v>0</v>
      </c>
      <c r="AA82" s="65" t="n">
        <f aca="false">COUNTIFS(Данные!$B$2:$B$722,37,Данные!$C$2:$C$722,2,Данные!$A$2:$A$722,"&gt;="&amp;77233726000,Данные!$A$2:$A$722,"&lt;="&amp;77233726999)</f>
        <v>0</v>
      </c>
      <c r="AB82" s="65" t="n">
        <f aca="false">COUNTIFS(Данные!$B$2:$B$722,37,Данные!$C$2:$C$722,2,Данные!$A$2:$A$722,"&gt;="&amp;77233820000,Данные!$A$2:$A$722,"&lt;="&amp;77233820999)</f>
        <v>0</v>
      </c>
      <c r="AC82" s="65" t="n">
        <f aca="false">COUNTIFS(Данные!$B$2:$B$722,37,Данные!$C$2:$C$722,2,Данные!$A$2:$A$722,"&gt;="&amp;77233850000,Данные!$A$2:$A$722,"&lt;="&amp;77233850999)</f>
        <v>0</v>
      </c>
      <c r="AD82" s="65" t="n">
        <f aca="false">COUNTIFS(Данные!$B$2:$B$722,37,Данные!$C$2:$C$722,2,Данные!$A$2:$A$722,"&gt;="&amp;77233420000,Данные!$A$2:$A$722,"&lt;="&amp;77233420999)</f>
        <v>0</v>
      </c>
      <c r="AE82" s="65" t="n">
        <f aca="false">COUNTIFS(Данные!$B$2:$B$722,37,Данные!$C$2:$C$722,2,Данные!$A$2:$A$722,"&gt;="&amp;77234740000,Данные!$A$2:$A$722,"&lt;="&amp;77234742999)</f>
        <v>0</v>
      </c>
      <c r="AF82" s="65" t="n">
        <f aca="false">COUNTIFS(Данные!$B$2:$B$722,37,Данные!$C$2:$C$722,2,Данные!$A$2:$A$722,"&gt;="&amp;77234767000,Данные!$A$2:$A$722,"&lt;="&amp;77234767999)</f>
        <v>0</v>
      </c>
      <c r="AG82" s="65" t="n">
        <f aca="false">COUNTIFS(Данные!$B$2:$B$722,37,Данные!$C$2:$C$722,2,Данные!$A$2:$A$722,"&gt;="&amp;77234120000,Данные!$A$2:$A$722,"&lt;="&amp;77234120999)</f>
        <v>0</v>
      </c>
      <c r="AH82" s="65" t="n">
        <f aca="false">COUNTIFS(Данные!$B$2:$B$722,37,Данные!$C$2:$C$722,2,Данные!$A$2:$A$722,"&gt;="&amp;77234127000,Данные!$A$2:$A$722,"&lt;="&amp;77234127999)</f>
        <v>0</v>
      </c>
      <c r="AI82" s="65" t="n">
        <f aca="false">COUNTIFS(Данные!$B$2:$B$722,37,Данные!$C$2:$C$722,2,Данные!$A$2:$A$722,"&gt;="&amp;77234220000,Данные!$A$2:$A$722,"&lt;="&amp;77234220999)</f>
        <v>0</v>
      </c>
      <c r="AJ82" s="65" t="n">
        <f aca="false">COUNTIFS(Данные!$B$2:$B$722,37,Данные!$C$2:$C$722,2,Данные!$A$2:$A$722,"&gt;="&amp;77234250000,Данные!$A$2:$A$722,"&lt;="&amp;77234250999)</f>
        <v>0</v>
      </c>
      <c r="AK82" s="65" t="n">
        <f aca="false">COUNTIFS(Данные!$B$2:$B$722,37,Данные!$C$2:$C$722,2,Данные!$A$2:$A$722,"&gt;="&amp;77233922950,Данные!$A$2:$A$722,"&lt;="&amp;77233924999)</f>
        <v>0</v>
      </c>
      <c r="AL82" s="65" t="n">
        <f aca="false">COUNTIFS(Данные!$B$2:$B$722,37,Данные!$C$2:$C$722,2,Данные!$A$2:$A$722,"&gt;="&amp;77234320000,Данные!$A$2:$A$722,"&lt;="&amp;77234320999)</f>
        <v>0</v>
      </c>
      <c r="AM82" s="65" t="n">
        <f aca="false">COUNTIFS(Данные!$B$2:$B$722,37,Данные!$C$2:$C$722,2,Данные!$A$2:$A$722,"&gt;="&amp;77234350000,Данные!$A$2:$A$722,"&lt;="&amp;77234350999)</f>
        <v>0</v>
      </c>
      <c r="AN82" s="65" t="n">
        <f aca="false">COUNTIFS(Данные!$B$2:$B$722,37,Данные!$C$2:$C$722,2,Данные!$A$2:$A$722,"&gt;="&amp;77234020000,Данные!$A$2:$A$722,"&lt;="&amp;77234020999)</f>
        <v>0</v>
      </c>
      <c r="AO82" s="65" t="n">
        <f aca="false">COUNTIFS(Данные!$B$2:$B$722,37,Данные!$C$2:$C$722,2,Данные!$A$2:$A$722,"&gt;="&amp;77234029000,Данные!$A$2:$A$722,"&lt;="&amp;77234029999)</f>
        <v>0</v>
      </c>
      <c r="AP82" s="65" t="n">
        <f aca="false">COUNTIFS(Данные!$B$2:$B$722,37,Данные!$C$2:$C$722,2,Данные!$A$2:$A$722,"&gt;="&amp;77234050000,Данные!$A$2:$A$722,"&lt;="&amp;77234050999)</f>
        <v>0</v>
      </c>
      <c r="AQ82" s="65" t="n">
        <f aca="false">COUNTIFS(Данные!$B$2:$B$722,37,Данные!$C$2:$C$722,2,Данные!$A$2:$A$722,"&gt;="&amp;77234427000,Данные!$A$2:$A$722,"&lt;="&amp;77234428999)</f>
        <v>0</v>
      </c>
      <c r="AR82" s="65" t="n">
        <f aca="false">COUNTIFS(Данные!$B$2:$B$722,37,Данные!$C$2:$C$722,2,Данные!$A$2:$A$722,"&gt;="&amp;77234450000,Данные!$A$2:$A$722,"&lt;="&amp;77234450999)</f>
        <v>0</v>
      </c>
      <c r="AS82" s="65" t="n">
        <f aca="false">COUNTIFS(Данные!$B$2:$B$722,37,Данные!$C$2:$C$722,2,Данные!$A$2:$A$722,"&gt;="&amp;77234620000,Данные!$A$2:$A$722,"&lt;="&amp;77234620999)</f>
        <v>0</v>
      </c>
      <c r="AT82" s="65" t="n">
        <f aca="false">COUNTIFS(Данные!$B$2:$B$722,37,Данные!$C$2:$C$722,2,Данные!$A$2:$A$722,"&gt;="&amp;77234650000,Данные!$A$2:$A$722,"&lt;="&amp;77234650999)</f>
        <v>0</v>
      </c>
      <c r="AU82" s="65" t="n">
        <f aca="false">COUNTIFS(Данные!$B$2:$B$722,37,Данные!$C$2:$C$722,2,Данные!$A$2:$A$722,"&gt;="&amp;77234820000,Данные!$A$2:$A$722,"&lt;="&amp;77234820999)</f>
        <v>0</v>
      </c>
      <c r="AV82" s="65" t="n">
        <f aca="false">COUNTIFS(Данные!$B$2:$B$722,37,Данные!$C$2:$C$722,2,Данные!$A$2:$A$722,"&gt;="&amp;77234850000,Данные!$A$2:$A$722,"&lt;="&amp;77234850999)</f>
        <v>0</v>
      </c>
      <c r="AW82" s="65" t="n">
        <f aca="false">COUNTIFS(Данные!$B$2:$B$722,37,Данные!$C$2:$C$722,2,Данные!$A$2:$A$722,"&gt;="&amp;77233327000,Данные!$A$2:$A$722,"&lt;="&amp;77233327999)</f>
        <v>0</v>
      </c>
      <c r="AX82" s="65" t="n">
        <f aca="false">COUNTIFS(Данные!$B$2:$B$722,37,Данные!$C$2:$C$722,2,Данные!$A$2:$A$722,"&gt;="&amp;77233350000,Данные!$A$2:$A$722,"&lt;="&amp;77233350599)</f>
        <v>0</v>
      </c>
      <c r="AY82" s="65" t="n">
        <f aca="false">COUNTIFS(Данные!$B$2:$B$722,37,Данные!$C$2:$C$722,2,Данные!$A$2:$A$722,"&gt;="&amp;77233351000,Данные!$A$2:$A$722,"&lt;="&amp;77233351999)</f>
        <v>0</v>
      </c>
      <c r="AZ82" s="66" t="n">
        <f aca="false">COUNTIFS(Данные!$B$2:$B$722,37,Данные!$C$2:$C$722,2,Данные!$A$2:$A$722,"&gt;="&amp;7722440000,Данные!$A$2:$A$722,"&lt;="&amp;7722440999)</f>
        <v>0</v>
      </c>
      <c r="BA82" s="66" t="n">
        <f aca="false">COUNTIFS(Данные!$B$2:$B$722,37,Данные!$C$2:$C$722,2,Данные!$A$2:$A$722,"&gt;="&amp;7722442000,Данные!$A$2:$A$722,"&lt;="&amp;7722445659)</f>
        <v>0</v>
      </c>
      <c r="BB82" s="66" t="n">
        <f aca="false">COUNTIFS(Данные!$B$2:$B$722,37,Данные!$C$2:$C$722,2,Данные!$A$2:$A$722,"&gt;="&amp;7722450000,Данные!$A$2:$A$722,"&lt;="&amp;7722450199)</f>
        <v>0</v>
      </c>
      <c r="BC82" s="66" t="n">
        <f aca="false">COUNTIFS(Данные!$B$2:$B$722,37,Данные!$C$2:$C$722,2,Данные!$A$2:$A$722,"&gt;="&amp;7722451000,Данные!$A$2:$A$722,"&lt;="&amp;7722451374)</f>
        <v>0</v>
      </c>
      <c r="BD82" s="66" t="n">
        <f aca="false">COUNTIFS(Данные!$B$2:$B$722,37,Данные!$C$2:$C$722,2,Данные!$A$2:$A$722,"&gt;="&amp;7722452000,Данные!$A$2:$A$722,"&lt;="&amp;7722452299)</f>
        <v>0</v>
      </c>
      <c r="BE82" s="66" t="n">
        <f aca="false">COUNTIFS(Данные!$B$2:$B$722,37,Данные!$C$2:$C$722,2,Данные!$A$2:$A$722,"&gt;="&amp;7722453000,Данные!$A$2:$A$722,"&lt;="&amp;7722453816)</f>
        <v>0</v>
      </c>
      <c r="BF82" s="66" t="n">
        <f aca="false">COUNTIFS(Данные!$B$2:$B$722,37,Данные!$C$2:$C$722,2,Данные!$A$2:$A$722,"&gt;="&amp;7722454000,Данные!$A$2:$A$722,"&lt;="&amp;7722454099)</f>
        <v>0</v>
      </c>
      <c r="BG82" s="66" t="n">
        <f aca="false">COUNTIFS(Данные!$B$2:$B$722,37,Данные!$C$2:$C$722,2,Данные!$A$2:$A$722,"&gt;="&amp;7722458000,Данные!$A$2:$A$722,"&lt;="&amp;7722458999)</f>
        <v>0</v>
      </c>
      <c r="BH82" s="66" t="n">
        <f aca="false">COUNTIFS(Данные!$B$2:$B$722,37,Данные!$C$2:$C$722,2,Данные!$A$2:$A$722,"&gt;="&amp;7722630000,Данные!$A$2:$A$722,"&lt;="&amp;7722638549)</f>
        <v>0</v>
      </c>
      <c r="BI82" s="66" t="n">
        <f aca="false">COUNTIFS(Данные!$B$2:$B$722,37,Данные!$C$2:$C$722,2,Данные!$A$2:$A$722,"&gt;="&amp;7722639400,Данные!$A$2:$A$722,"&lt;="&amp;7722639899)</f>
        <v>0</v>
      </c>
      <c r="BJ82" s="66" t="n">
        <f aca="false">COUNTIFS(Данные!$B$2:$B$722,37,Данные!$C$2:$C$722,2,Данные!$A$2:$A$722,"&gt;="&amp;7725750000,Данные!$A$2:$A$722,"&lt;="&amp;7725750399)</f>
        <v>0</v>
      </c>
      <c r="BK82" s="66" t="n">
        <f aca="false">COUNTIFS(Данные!$B$2:$B$722,37,Данные!$C$2:$C$722,2,Данные!$A$2:$A$722,"&gt;="&amp;7723620000,Данные!$A$2:$A$722,"&lt;="&amp;7723621299)</f>
        <v>0</v>
      </c>
      <c r="BL82" s="66" t="n">
        <f aca="false">COUNTIFS(Данные!$B$2:$B$722,37,Данные!$C$2:$C$722,2,Данные!$A$2:$A$722,"&gt;="&amp;7723621600,Данные!$A$2:$A$722,"&lt;="&amp;7723623399)</f>
        <v>0</v>
      </c>
      <c r="BM82" s="66" t="n">
        <f aca="false">COUNTIFS(Данные!$B$2:$B$722,37,Данные!$C$2:$C$722,2,Данные!$A$2:$A$722,"&gt;="&amp;7725127000,Данные!$A$2:$A$722,"&lt;="&amp;7725127999)</f>
        <v>0</v>
      </c>
      <c r="BN82" s="66" t="n">
        <f aca="false">COUNTIFS(Данные!$B$2:$B$722,37,Данные!$C$2:$C$722,2,Данные!$A$2:$A$722,"&gt;="&amp;7723772000,Данные!$A$2:$A$722,"&lt;="&amp;7723724999)</f>
        <v>0</v>
      </c>
      <c r="BO82" s="65" t="n">
        <f aca="false">COUNTIFS(Данные!$B$2:$B$722,37,Данные!$C$2:$C$722,2,Данные!$A$2:$A$722,"&gt;="&amp;7723765000,Данные!$A$2:$A$722,"&lt;="&amp;7723765499)</f>
        <v>0</v>
      </c>
      <c r="BP82" s="66" t="n">
        <f aca="false">COUNTIFS(Данные!$B$2:$B$722,37,Данные!$C$2:$C$722,2,Данные!$A$2:$A$722,"&gt;="&amp;7723948000,Данные!$A$2:$A$722,"&lt;="&amp;7723948999)</f>
        <v>0</v>
      </c>
      <c r="BQ82" s="66" t="n">
        <f aca="false">COUNTIFS(Данные!$B$2:$B$722,37,Данные!$C$2:$C$722,2,Данные!$A$2:$A$722,"&gt;="&amp;7723950000,Данные!$A$2:$A$722,"&lt;="&amp;7723951099)</f>
        <v>0</v>
      </c>
      <c r="BR82" s="66" t="n">
        <f aca="false">COUNTIFS(Данные!$B$2:$B$722,37,Данные!$C$2:$C$722,2,Данные!$A$2:$A$722,"&gt;="&amp;7723020000,Данные!$A$2:$A$722,"&lt;="&amp;7723020999)</f>
        <v>0</v>
      </c>
      <c r="BS82" s="66" t="n">
        <f aca="false">COUNTIFS(Данные!$B$2:$B$722,37,Данные!$C$2:$C$722,2,Данные!$A$2:$A$722,"&gt;="&amp;7723029000,Данные!$A$2:$A$722,"&lt;="&amp;7723029999)</f>
        <v>0</v>
      </c>
      <c r="BT82" s="66" t="n">
        <f aca="false">COUNTIFS(Данные!$B$2:$B$722,37,Данные!$C$2:$C$722,2,Данные!$A$2:$A$722,"&gt;="&amp;7723055000,Данные!$A$2:$A$722,"&lt;="&amp;7723056549)</f>
        <v>0</v>
      </c>
      <c r="BU82" s="65" t="n">
        <f aca="false">COUNTIFS(Данные!$B$2:$B$722,37,Данные!$C$2:$C$722,2,Данные!$A$2:$A$722,"&gt;="&amp;7725250000,Данные!$A$2:$A$722,"&lt;="&amp;7725250499)</f>
        <v>0</v>
      </c>
      <c r="BV82" s="66" t="n">
        <f aca="false">COUNTIFS(Данные!$B$2:$B$722,37,Данные!$C$2:$C$722,2,Данные!$A$2:$A$722,"&gt;="&amp;7183841400,Данные!$A$2:$A$722,"&lt;="&amp;7183841499)</f>
        <v>0</v>
      </c>
      <c r="BW82" s="49" t="n">
        <v>300</v>
      </c>
      <c r="BX82" s="67" t="n">
        <f aca="false">F82-BW82</f>
        <v>-298</v>
      </c>
    </row>
    <row r="83" s="15" customFormat="true" ht="12" hidden="false" customHeight="true" outlineLevel="0" collapsed="false">
      <c r="A83" s="38" t="n">
        <v>46</v>
      </c>
      <c r="B83" s="39" t="s">
        <v>87</v>
      </c>
      <c r="C83" s="41" t="n">
        <v>0</v>
      </c>
      <c r="D83" s="41" t="n">
        <v>460</v>
      </c>
      <c r="E83" s="42" t="n">
        <f aca="false">SUM(F83:F85)</f>
        <v>0</v>
      </c>
      <c r="F83" s="62" t="n">
        <f aca="false">COUNTIFS(Данные!$B$2:$B$722,46,Данные!$C$2:$C$722,0)</f>
        <v>0</v>
      </c>
      <c r="G83" s="62" t="n">
        <f aca="false">COUNTIFS(Данные!$B$2:$B$722,46,Данные!$C$2:$C$722,0,Данные!$A$2:$A$722,"&gt;="&amp;77232210840,Данные!$A$2:$A$722,"&lt;="&amp;77232216999)</f>
        <v>0</v>
      </c>
      <c r="H83" s="62" t="n">
        <f aca="false">COUNTIFS(Данные!$B$2:$B$722,46,Данные!$C$2:$C$722,0,Данные!$A$2:$A$722,"&gt;="&amp;77232510512,Данные!$A$2:$A$722,"&lt;="&amp;77232519487)</f>
        <v>0</v>
      </c>
      <c r="I83" s="62" t="n">
        <f aca="false">COUNTIFS(Данные!$B$2:$B$722,46,Данные!$C$2:$C$722,0,Данные!$A$2:$A$722,"&gt;="&amp;77232524160,Данные!$A$2:$A$722,"&lt;="&amp;77232529999)</f>
        <v>0</v>
      </c>
      <c r="J83" s="62" t="n">
        <f aca="false">COUNTIFS(Данные!$B$2:$B$722,46,Данные!$C$2:$C$722,0,Данные!$A$2:$A$722,"&gt;="&amp;77232544000,Данные!$A$2:$A$722,"&lt;="&amp;77232544999)</f>
        <v>0</v>
      </c>
      <c r="K83" s="62" t="n">
        <f aca="false">COUNTIFS(Данные!$B$2:$B$722,46,Данные!$C$2:$C$722,0,Данные!$A$2:$A$722,"&gt;="&amp;77232295504,Данные!$A$2:$A$722,"&lt;="&amp;77232296999)</f>
        <v>0</v>
      </c>
      <c r="L83" s="62" t="n">
        <f aca="false">COUNTIFS(Данные!$B$2:$B$722,46,Данные!$C$2:$C$722,0,Данные!$A$2:$A$722,"&gt;="&amp;77232785000,Данные!$A$2:$A$722,"&lt;="&amp;77232789999)</f>
        <v>0</v>
      </c>
      <c r="M83" s="62" t="n">
        <f aca="false">COUNTIFS(Данные!$B$2:$B$722,46,Данные!$C$2:$C$722,0,Данные!$A$2:$A$722,"&gt;="&amp;77233150000,Данные!$A$2:$A$722,"&lt;="&amp;77233155999)</f>
        <v>0</v>
      </c>
      <c r="N83" s="62" t="n">
        <f aca="false">COUNTIFS(Данные!$B$2:$B$722,46,Данные!$C$2:$C$722,0,Данные!$A$2:$A$722,"&gt;="&amp;77233235000,Данные!$A$2:$A$722,"&lt;="&amp;77233235999)</f>
        <v>0</v>
      </c>
      <c r="O83" s="62" t="n">
        <f aca="false">COUNTIFS(Данные!$B$2:$B$722,46,Данные!$C$2:$C$722,0,Данные!$A$2:$A$722,"&gt;="&amp;77233239000,Данные!$A$2:$A$722,"&lt;="&amp;77233239999)</f>
        <v>0</v>
      </c>
      <c r="P83" s="62" t="n">
        <f aca="false">COUNTIFS(Данные!$B$2:$B$722,46,Данные!$C$2:$C$722,0,Данные!$A$2:$A$722,"&gt;="&amp;77233272000,Данные!$A$2:$A$722,"&lt;="&amp;77233272999)</f>
        <v>0</v>
      </c>
      <c r="Q83" s="62" t="n">
        <f aca="false">COUNTIFS(Данные!$B$2:$B$722,46,Данные!$C$2:$C$722,0,Данные!$A$2:$A$722,"&gt;="&amp;77233291100,Данные!$A$2:$A$722,"&lt;="&amp;77233292999)</f>
        <v>0</v>
      </c>
      <c r="R83" s="62" t="n">
        <f aca="false">COUNTIFS(Данные!$B$2:$B$722,46,Данные!$C$2:$C$722,0,Данные!$A$2:$A$722,"&gt;="&amp;77233297000,Данные!$A$2:$A$722,"&lt;="&amp;77233298399)</f>
        <v>0</v>
      </c>
      <c r="S83" s="62" t="n">
        <f aca="false">COUNTIFS(Данные!$B$2:$B$722,46,Данные!$C$2:$C$722,0,Данные!$A$2:$A$722,"&gt;="&amp;77235124000,Данные!$A$2:$A$722,"&lt;="&amp;77235128499)</f>
        <v>0</v>
      </c>
      <c r="T83" s="62" t="n">
        <f aca="false">COUNTIFS(Данные!$B$2:$B$722,46,Данные!$C$2:$C$722,0,Данные!$A$2:$A$722,"&gt;="&amp;77235320000,Данные!$A$2:$A$722,"&lt;="&amp;77235320999)</f>
        <v>0</v>
      </c>
      <c r="U83" s="62" t="n">
        <f aca="false">COUNTIFS(Данные!$B$2:$B$722,46,Данные!$C$2:$C$722,0,Данные!$A$2:$A$722,"&gt;="&amp;77233620000,Данные!$A$2:$A$722,"&lt;="&amp;77233623339)</f>
        <v>0</v>
      </c>
      <c r="V83" s="62" t="n">
        <f aca="false">COUNTIFS(Данные!$B$2:$B$722,46,Данные!$C$2:$C$722,0,Данные!$A$2:$A$722,"&gt;="&amp;77233630000,Данные!$A$2:$A$722,"&lt;="&amp;77233630999)</f>
        <v>0</v>
      </c>
      <c r="W83" s="62" t="n">
        <f aca="false">COUNTIFS(Данные!$B$2:$B$722,46,Данные!$C$2:$C$722,0,Данные!$A$2:$A$722,"&gt;="&amp;77233637000,Данные!$A$2:$A$722,"&lt;="&amp;77233637599)</f>
        <v>0</v>
      </c>
      <c r="X83" s="62" t="n">
        <f aca="false">COUNTIFS(Данные!$B$2:$B$722,46,Данные!$C$2:$C$722,0,Данные!$A$2:$A$722,"&gt;="&amp;77233550000,Данные!$A$2:$A$722,"&lt;="&amp;77233550999)</f>
        <v>0</v>
      </c>
      <c r="Y83" s="62" t="n">
        <f aca="false">COUNTIFS(Данные!$B$2:$B$722,46,Данные!$C$2:$C$722,0,Данные!$A$2:$A$722,"&gt;="&amp;77233554000,Данные!$A$2:$A$722,"&lt;="&amp;77233554999)</f>
        <v>0</v>
      </c>
      <c r="Z83" s="62" t="n">
        <f aca="false">COUNTIFS(Данные!$B$2:$B$722,46,Данные!$C$2:$C$722,0,Данные!$A$2:$A$722,"&gt;="&amp;77233555000,Данные!$A$2:$A$722,"&lt;="&amp;77233556999)</f>
        <v>0</v>
      </c>
      <c r="AA83" s="62" t="n">
        <f aca="false">COUNTIFS(Данные!$B$2:$B$722,46,Данные!$C$2:$C$722,0,Данные!$A$2:$A$722,"&gt;="&amp;77233726000,Данные!$A$2:$A$722,"&lt;="&amp;77233726999)</f>
        <v>0</v>
      </c>
      <c r="AB83" s="62" t="n">
        <f aca="false">COUNTIFS(Данные!$B$2:$B$722,46,Данные!$C$2:$C$722,0,Данные!$A$2:$A$722,"&gt;="&amp;77233820000,Данные!$A$2:$A$722,"&lt;="&amp;77233820999)</f>
        <v>0</v>
      </c>
      <c r="AC83" s="62" t="n">
        <f aca="false">COUNTIFS(Данные!$B$2:$B$722,46,Данные!$C$2:$C$722,0,Данные!$A$2:$A$722,"&gt;="&amp;77233850000,Данные!$A$2:$A$722,"&lt;="&amp;77233850999)</f>
        <v>0</v>
      </c>
      <c r="AD83" s="62" t="n">
        <f aca="false">COUNTIFS(Данные!$B$2:$B$722,46,Данные!$C$2:$C$722,0,Данные!$A$2:$A$722,"&gt;="&amp;77233420000,Данные!$A$2:$A$722,"&lt;="&amp;77233420999)</f>
        <v>0</v>
      </c>
      <c r="AE83" s="62" t="n">
        <f aca="false">COUNTIFS(Данные!$B$2:$B$722,46,Данные!$C$2:$C$722,0,Данные!$A$2:$A$722,"&gt;="&amp;77234740000,Данные!$A$2:$A$722,"&lt;="&amp;77234742999)</f>
        <v>0</v>
      </c>
      <c r="AF83" s="62" t="n">
        <f aca="false">COUNTIFS(Данные!$B$2:$B$722,46,Данные!$C$2:$C$722,0,Данные!$A$2:$A$722,"&gt;="&amp;77234767000,Данные!$A$2:$A$722,"&lt;="&amp;77234767999)</f>
        <v>0</v>
      </c>
      <c r="AG83" s="62" t="n">
        <f aca="false">COUNTIFS(Данные!$B$2:$B$722,46,Данные!$C$2:$C$722,0,Данные!$A$2:$A$722,"&gt;="&amp;77234120000,Данные!$A$2:$A$722,"&lt;="&amp;77234120999)</f>
        <v>0</v>
      </c>
      <c r="AH83" s="62" t="n">
        <f aca="false">COUNTIFS(Данные!$B$2:$B$722,46,Данные!$C$2:$C$722,0,Данные!$A$2:$A$722,"&gt;="&amp;77234127000,Данные!$A$2:$A$722,"&lt;="&amp;77234127999)</f>
        <v>0</v>
      </c>
      <c r="AI83" s="62" t="n">
        <f aca="false">COUNTIFS(Данные!$B$2:$B$722,46,Данные!$C$2:$C$722,0,Данные!$A$2:$A$722,"&gt;="&amp;77234220000,Данные!$A$2:$A$722,"&lt;="&amp;77234220999)</f>
        <v>0</v>
      </c>
      <c r="AJ83" s="62" t="n">
        <f aca="false">COUNTIFS(Данные!$B$2:$B$722,46,Данные!$C$2:$C$722,0,Данные!$A$2:$A$722,"&gt;="&amp;77234250000,Данные!$A$2:$A$722,"&lt;="&amp;77234250999)</f>
        <v>0</v>
      </c>
      <c r="AK83" s="62" t="n">
        <f aca="false">COUNTIFS(Данные!$B$2:$B$722,46,Данные!$C$2:$C$722,0,Данные!$A$2:$A$722,"&gt;="&amp;77233922950,Данные!$A$2:$A$722,"&lt;="&amp;77233924999)</f>
        <v>0</v>
      </c>
      <c r="AL83" s="62" t="n">
        <f aca="false">COUNTIFS(Данные!$B$2:$B$722,46,Данные!$C$2:$C$722,0,Данные!$A$2:$A$722,"&gt;="&amp;77234320000,Данные!$A$2:$A$722,"&lt;="&amp;77234320999)</f>
        <v>0</v>
      </c>
      <c r="AM83" s="62" t="n">
        <f aca="false">COUNTIFS(Данные!$B$2:$B$722,46,Данные!$C$2:$C$722,0,Данные!$A$2:$A$722,"&gt;="&amp;77234350000,Данные!$A$2:$A$722,"&lt;="&amp;77234350999)</f>
        <v>0</v>
      </c>
      <c r="AN83" s="62" t="n">
        <f aca="false">COUNTIFS(Данные!$B$2:$B$722,46,Данные!$C$2:$C$722,0,Данные!$A$2:$A$722,"&gt;="&amp;77234020000,Данные!$A$2:$A$722,"&lt;="&amp;77234020999)</f>
        <v>0</v>
      </c>
      <c r="AO83" s="62" t="n">
        <f aca="false">COUNTIFS(Данные!$B$2:$B$722,46,Данные!$C$2:$C$722,0,Данные!$A$2:$A$722,"&gt;="&amp;77234029000,Данные!$A$2:$A$722,"&lt;="&amp;77234029999)</f>
        <v>0</v>
      </c>
      <c r="AP83" s="62" t="n">
        <f aca="false">COUNTIFS(Данные!$B$2:$B$722,46,Данные!$C$2:$C$722,0,Данные!$A$2:$A$722,"&gt;="&amp;77234050000,Данные!$A$2:$A$722,"&lt;="&amp;77234050999)</f>
        <v>0</v>
      </c>
      <c r="AQ83" s="62" t="n">
        <f aca="false">COUNTIFS(Данные!$B$2:$B$722,46,Данные!$C$2:$C$722,0,Данные!$A$2:$A$722,"&gt;="&amp;77234427000,Данные!$A$2:$A$722,"&lt;="&amp;77234428999)</f>
        <v>0</v>
      </c>
      <c r="AR83" s="62" t="n">
        <f aca="false">COUNTIFS(Данные!$B$2:$B$722,46,Данные!$C$2:$C$722,0,Данные!$A$2:$A$722,"&gt;="&amp;77234450000,Данные!$A$2:$A$722,"&lt;="&amp;77234450999)</f>
        <v>0</v>
      </c>
      <c r="AS83" s="62" t="n">
        <f aca="false">COUNTIFS(Данные!$B$2:$B$722,46,Данные!$C$2:$C$722,0,Данные!$A$2:$A$722,"&gt;="&amp;77234620000,Данные!$A$2:$A$722,"&lt;="&amp;77234620999)</f>
        <v>0</v>
      </c>
      <c r="AT83" s="62" t="n">
        <f aca="false">COUNTIFS(Данные!$B$2:$B$722,46,Данные!$C$2:$C$722,0,Данные!$A$2:$A$722,"&gt;="&amp;77234650000,Данные!$A$2:$A$722,"&lt;="&amp;77234650999)</f>
        <v>0</v>
      </c>
      <c r="AU83" s="62" t="n">
        <f aca="false">COUNTIFS(Данные!$B$2:$B$722,46,Данные!$C$2:$C$722,0,Данные!$A$2:$A$722,"&gt;="&amp;77234820000,Данные!$A$2:$A$722,"&lt;="&amp;77234820999)</f>
        <v>0</v>
      </c>
      <c r="AV83" s="62" t="n">
        <f aca="false">COUNTIFS(Данные!$B$2:$B$722,46,Данные!$C$2:$C$722,0,Данные!$A$2:$A$722,"&gt;="&amp;77234850000,Данные!$A$2:$A$722,"&lt;="&amp;77234850999)</f>
        <v>0</v>
      </c>
      <c r="AW83" s="62" t="n">
        <f aca="false">COUNTIFS(Данные!$B$2:$B$722,46,Данные!$C$2:$C$722,0,Данные!$A$2:$A$722,"&gt;="&amp;77233327000,Данные!$A$2:$A$722,"&lt;="&amp;77233327999)</f>
        <v>0</v>
      </c>
      <c r="AX83" s="62" t="n">
        <f aca="false">COUNTIFS(Данные!$B$2:$B$722,46,Данные!$C$2:$C$722,0,Данные!$A$2:$A$722,"&gt;="&amp;77233350000,Данные!$A$2:$A$722,"&lt;="&amp;77233350599)</f>
        <v>0</v>
      </c>
      <c r="AY83" s="62" t="n">
        <f aca="false">COUNTIFS(Данные!$B$2:$B$722,46,Данные!$C$2:$C$722,0,Данные!$A$2:$A$722,"&gt;="&amp;77233351000,Данные!$A$2:$A$722,"&lt;="&amp;77233351999)</f>
        <v>0</v>
      </c>
      <c r="AZ83" s="62" t="n">
        <f aca="false">COUNTIFS(Данные!$B$2:$B$722,46,Данные!$C$2:$C$722,0,Данные!$A$2:$A$722,"&gt;="&amp;7722440000,Данные!$A$2:$A$722,"&lt;="&amp;7722440999)</f>
        <v>0</v>
      </c>
      <c r="BA83" s="63" t="n">
        <f aca="false">COUNTIFS(Данные!$B$2:$B$722,46,Данные!$C$2:$C$722,0,Данные!$A$2:$A$722,"&gt;="&amp;7722442000,Данные!$A$2:$A$722,"&lt;="&amp;7722445659)</f>
        <v>0</v>
      </c>
      <c r="BB83" s="63" t="n">
        <f aca="false">COUNTIFS(Данные!$B$2:$B$722,46,Данные!$C$2:$C$722,0,Данные!$A$2:$A$722,"&gt;="&amp;7722450000,Данные!$A$2:$A$722,"&lt;="&amp;7722450199)</f>
        <v>0</v>
      </c>
      <c r="BC83" s="63" t="n">
        <f aca="false">COUNTIFS(Данные!$B$2:$B$722,46,Данные!$C$2:$C$722,0,Данные!$A$2:$A$722,"&gt;="&amp;7722451000,Данные!$A$2:$A$722,"&lt;="&amp;7722451374)</f>
        <v>0</v>
      </c>
      <c r="BD83" s="63" t="n">
        <f aca="false">COUNTIFS(Данные!$B$2:$B$722,46,Данные!$C$2:$C$722,0,Данные!$A$2:$A$722,"&gt;="&amp;7722452000,Данные!$A$2:$A$722,"&lt;="&amp;7722452299)</f>
        <v>0</v>
      </c>
      <c r="BE83" s="63" t="n">
        <f aca="false">COUNTIFS(Данные!$B$2:$B$722,46,Данные!$C$2:$C$722,0,Данные!$A$2:$A$722,"&gt;="&amp;7722453000,Данные!$A$2:$A$722,"&lt;="&amp;7722453816)</f>
        <v>0</v>
      </c>
      <c r="BF83" s="63" t="n">
        <f aca="false">COUNTIFS(Данные!$B$2:$B$722,46,Данные!$C$2:$C$722,0,Данные!$A$2:$A$722,"&gt;="&amp;7722454000,Данные!$A$2:$A$722,"&lt;="&amp;7722454099)</f>
        <v>0</v>
      </c>
      <c r="BG83" s="63" t="n">
        <f aca="false">COUNTIFS(Данные!$B$2:$B$722,46,Данные!$C$2:$C$722,0,Данные!$A$2:$A$722,"&gt;="&amp;7722458000,Данные!$A$2:$A$722,"&lt;="&amp;7722458999)</f>
        <v>0</v>
      </c>
      <c r="BH83" s="63" t="n">
        <f aca="false">COUNTIFS(Данные!$B$2:$B$722,46,Данные!$C$2:$C$722,0,Данные!$A$2:$A$722,"&gt;="&amp;7722630000,Данные!$A$2:$A$722,"&lt;="&amp;7722638549)</f>
        <v>0</v>
      </c>
      <c r="BI83" s="63" t="n">
        <f aca="false">COUNTIFS(Данные!$B$2:$B$722,46,Данные!$C$2:$C$722,0,Данные!$A$2:$A$722,"&gt;="&amp;7722639400,Данные!$A$2:$A$722,"&lt;="&amp;7722639899)</f>
        <v>0</v>
      </c>
      <c r="BJ83" s="63" t="n">
        <f aca="false">COUNTIFS(Данные!$B$2:$B$722,46,Данные!$C$2:$C$722,0,Данные!$A$2:$A$722,"&gt;="&amp;7725750000,Данные!$A$2:$A$722,"&lt;="&amp;7725750399)</f>
        <v>0</v>
      </c>
      <c r="BK83" s="63" t="n">
        <f aca="false">COUNTIFS(Данные!$B$2:$B$722,46,Данные!$C$2:$C$722,0,Данные!$A$2:$A$722,"&gt;="&amp;7723620000,Данные!$A$2:$A$722,"&lt;="&amp;7723621299)</f>
        <v>0</v>
      </c>
      <c r="BL83" s="63" t="n">
        <f aca="false">COUNTIFS(Данные!$B$2:$B$722,46,Данные!$C$2:$C$722,0,Данные!$A$2:$A$722,"&gt;="&amp;7723621600,Данные!$A$2:$A$722,"&lt;="&amp;7723623399)</f>
        <v>0</v>
      </c>
      <c r="BM83" s="63" t="n">
        <f aca="false">COUNTIFS(Данные!$B$2:$B$722,46,Данные!$C$2:$C$722,0,Данные!$A$2:$A$722,"&gt;="&amp;7725127000,Данные!$A$2:$A$722,"&lt;="&amp;7725127999)</f>
        <v>0</v>
      </c>
      <c r="BN83" s="63" t="n">
        <f aca="false">COUNTIFS(Данные!$B$2:$B$722,46,Данные!$C$2:$C$722,0,Данные!$A$2:$A$722,"&gt;="&amp;7723772000,Данные!$A$2:$A$722,"&lt;="&amp;7723724999)</f>
        <v>0</v>
      </c>
      <c r="BO83" s="62" t="n">
        <f aca="false">COUNTIFS(Данные!$B$2:$B$722,46,Данные!$C$2:$C$722,0,Данные!$A$2:$A$722,"&gt;="&amp;7723765000,Данные!$A$2:$A$722,"&lt;="&amp;7723765499)</f>
        <v>0</v>
      </c>
      <c r="BP83" s="63" t="n">
        <f aca="false">COUNTIFS(Данные!$B$2:$B$722,46,Данные!$C$2:$C$722,0,Данные!$A$2:$A$722,"&gt;="&amp;7723948000,Данные!$A$2:$A$722,"&lt;="&amp;7723948999)</f>
        <v>0</v>
      </c>
      <c r="BQ83" s="63" t="n">
        <f aca="false">COUNTIFS(Данные!$B$2:$B$722,46,Данные!$C$2:$C$722,0,Данные!$A$2:$A$722,"&gt;="&amp;7723950000,Данные!$A$2:$A$722,"&lt;="&amp;7723951099)</f>
        <v>0</v>
      </c>
      <c r="BR83" s="63" t="n">
        <f aca="false">COUNTIFS(Данные!$B$2:$B$722,46,Данные!$C$2:$C$722,0,Данные!$A$2:$A$722,"&gt;="&amp;7723020000,Данные!$A$2:$A$722,"&lt;="&amp;7723020999)</f>
        <v>0</v>
      </c>
      <c r="BS83" s="63" t="n">
        <f aca="false">COUNTIFS(Данные!$B$2:$B$722,46,Данные!$C$2:$C$722,0,Данные!$A$2:$A$722,"&gt;="&amp;7723029000,Данные!$A$2:$A$722,"&lt;="&amp;7723029999)</f>
        <v>0</v>
      </c>
      <c r="BT83" s="63" t="n">
        <f aca="false">COUNTIFS(Данные!$B$2:$B$722,46,Данные!$C$2:$C$722,0,Данные!$A$2:$A$722,"&gt;="&amp;7723055000,Данные!$A$2:$A$722,"&lt;="&amp;7723056549)</f>
        <v>0</v>
      </c>
      <c r="BU83" s="62" t="n">
        <f aca="false">COUNTIFS(Данные!$B$2:$B$722,46,Данные!$C$2:$C$722,0,Данные!$A$2:$A$722,"&gt;="&amp;7725250000,Данные!$A$2:$A$722,"&lt;="&amp;7725250499)</f>
        <v>0</v>
      </c>
      <c r="BV83" s="63" t="n">
        <f aca="false">COUNTIFS(Данные!$B$2:$B$722,46,Данные!$C$2:$C$722,0,Данные!$A$2:$A$722,"&gt;="&amp;7183841400,Данные!$A$2:$A$722,"&lt;="&amp;7183841499)</f>
        <v>0</v>
      </c>
      <c r="BW83" s="40" t="n">
        <v>300</v>
      </c>
      <c r="BX83" s="64" t="n">
        <f aca="false">F83-BW83</f>
        <v>-300</v>
      </c>
    </row>
    <row r="84" s="15" customFormat="true" ht="12" hidden="false" customHeight="true" outlineLevel="0" collapsed="false">
      <c r="A84" s="38"/>
      <c r="B84" s="39"/>
      <c r="C84" s="41" t="n">
        <v>1</v>
      </c>
      <c r="D84" s="41" t="n">
        <v>461</v>
      </c>
      <c r="E84" s="42"/>
      <c r="F84" s="62" t="n">
        <f aca="false">COUNTIFS(Данные!$B$2:$B$722,46,Данные!$C$2:$C$722,1)</f>
        <v>0</v>
      </c>
      <c r="G84" s="62" t="n">
        <f aca="false">COUNTIFS(Данные!$B$2:$B$722,46,Данные!$C$2:$C$722,1,Данные!$A$2:$A$722,"&gt;="&amp;77232210840,Данные!$A$2:$A$722,"&lt;="&amp;77232216999)</f>
        <v>0</v>
      </c>
      <c r="H84" s="62" t="n">
        <f aca="false">COUNTIFS(Данные!$B$2:$B$722,46,Данные!$C$2:$C$722,1,Данные!$A$2:$A$722,"&gt;="&amp;77232510512,Данные!$A$2:$A$722,"&lt;="&amp;77232519487)</f>
        <v>0</v>
      </c>
      <c r="I84" s="62" t="n">
        <f aca="false">COUNTIFS(Данные!$B$2:$B$722,46,Данные!$C$2:$C$722,1,Данные!$A$2:$A$722,"&gt;="&amp;77232524160,Данные!$A$2:$A$722,"&lt;="&amp;77232529999)</f>
        <v>0</v>
      </c>
      <c r="J84" s="62" t="n">
        <f aca="false">COUNTIFS(Данные!$B$2:$B$722,46,Данные!$C$2:$C$722,1,Данные!$A$2:$A$722,"&gt;="&amp;77232544000,Данные!$A$2:$A$722,"&lt;="&amp;77232544999)</f>
        <v>0</v>
      </c>
      <c r="K84" s="62" t="n">
        <f aca="false">COUNTIFS(Данные!$B$2:$B$722,46,Данные!$C$2:$C$722,1,Данные!$A$2:$A$722,"&gt;="&amp;77232295504,Данные!$A$2:$A$722,"&lt;="&amp;77232296999)</f>
        <v>0</v>
      </c>
      <c r="L84" s="62" t="n">
        <f aca="false">COUNTIFS(Данные!$B$2:$B$722,46,Данные!$C$2:$C$722,1,Данные!$A$2:$A$722,"&gt;="&amp;77232785000,Данные!$A$2:$A$722,"&lt;="&amp;77232789999)</f>
        <v>0</v>
      </c>
      <c r="M84" s="62" t="n">
        <f aca="false">COUNTIFS(Данные!$B$2:$B$722,46,Данные!$C$2:$C$722,1,Данные!$A$2:$A$722,"&gt;="&amp;77233150000,Данные!$A$2:$A$722,"&lt;="&amp;77233155999)</f>
        <v>0</v>
      </c>
      <c r="N84" s="62" t="n">
        <f aca="false">COUNTIFS(Данные!$B$2:$B$722,46,Данные!$C$2:$C$722,1,Данные!$A$2:$A$722,"&gt;="&amp;77233235000,Данные!$A$2:$A$722,"&lt;="&amp;77233235999)</f>
        <v>0</v>
      </c>
      <c r="O84" s="62" t="n">
        <f aca="false">COUNTIFS(Данные!$B$2:$B$722,46,Данные!$C$2:$C$722,1,Данные!$A$2:$A$722,"&gt;="&amp;77233239000,Данные!$A$2:$A$722,"&lt;="&amp;77233239999)</f>
        <v>0</v>
      </c>
      <c r="P84" s="62" t="n">
        <f aca="false">COUNTIFS(Данные!$B$2:$B$722,46,Данные!$C$2:$C$722,1,Данные!$A$2:$A$722,"&gt;="&amp;77233272000,Данные!$A$2:$A$722,"&lt;="&amp;77233272999)</f>
        <v>0</v>
      </c>
      <c r="Q84" s="62" t="n">
        <f aca="false">COUNTIFS(Данные!$B$2:$B$722,46,Данные!$C$2:$C$722,1,Данные!$A$2:$A$722,"&gt;="&amp;77233291100,Данные!$A$2:$A$722,"&lt;="&amp;77233292999)</f>
        <v>0</v>
      </c>
      <c r="R84" s="62" t="n">
        <f aca="false">COUNTIFS(Данные!$B$2:$B$722,46,Данные!$C$2:$C$722,1,Данные!$A$2:$A$722,"&gt;="&amp;77233297000,Данные!$A$2:$A$722,"&lt;="&amp;77233298399)</f>
        <v>0</v>
      </c>
      <c r="S84" s="62" t="n">
        <f aca="false">COUNTIFS(Данные!$B$2:$B$722,46,Данные!$C$2:$C$722,1,Данные!$A$2:$A$722,"&gt;="&amp;77235124000,Данные!$A$2:$A$722,"&lt;="&amp;77235128499)</f>
        <v>0</v>
      </c>
      <c r="T84" s="62" t="n">
        <f aca="false">COUNTIFS(Данные!$B$2:$B$722,46,Данные!$C$2:$C$722,1,Данные!$A$2:$A$722,"&gt;="&amp;77235320000,Данные!$A$2:$A$722,"&lt;="&amp;77235320999)</f>
        <v>0</v>
      </c>
      <c r="U84" s="62" t="n">
        <f aca="false">COUNTIFS(Данные!$B$2:$B$722,46,Данные!$C$2:$C$722,1,Данные!$A$2:$A$722,"&gt;="&amp;77233620000,Данные!$A$2:$A$722,"&lt;="&amp;77233623339)</f>
        <v>0</v>
      </c>
      <c r="V84" s="62" t="n">
        <f aca="false">COUNTIFS(Данные!$B$2:$B$722,46,Данные!$C$2:$C$722,1,Данные!$A$2:$A$722,"&gt;="&amp;77233630000,Данные!$A$2:$A$722,"&lt;="&amp;77233630999)</f>
        <v>0</v>
      </c>
      <c r="W84" s="62" t="n">
        <f aca="false">COUNTIFS(Данные!$B$2:$B$722,46,Данные!$C$2:$C$722,1,Данные!$A$2:$A$722,"&gt;="&amp;77233637000,Данные!$A$2:$A$722,"&lt;="&amp;77233637599)</f>
        <v>0</v>
      </c>
      <c r="X84" s="62" t="n">
        <f aca="false">COUNTIFS(Данные!$B$2:$B$722,46,Данные!$C$2:$C$722,1,Данные!$A$2:$A$722,"&gt;="&amp;77233550000,Данные!$A$2:$A$722,"&lt;="&amp;77233550999)</f>
        <v>0</v>
      </c>
      <c r="Y84" s="62" t="n">
        <f aca="false">COUNTIFS(Данные!$B$2:$B$722,46,Данные!$C$2:$C$722,1,Данные!$A$2:$A$722,"&gt;="&amp;77233554000,Данные!$A$2:$A$722,"&lt;="&amp;77233554999)</f>
        <v>0</v>
      </c>
      <c r="Z84" s="62" t="n">
        <f aca="false">COUNTIFS(Данные!$B$2:$B$722,46,Данные!$C$2:$C$722,1,Данные!$A$2:$A$722,"&gt;="&amp;77233555000,Данные!$A$2:$A$722,"&lt;="&amp;77233556999)</f>
        <v>0</v>
      </c>
      <c r="AA84" s="62" t="n">
        <f aca="false">COUNTIFS(Данные!$B$2:$B$722,46,Данные!$C$2:$C$722,1,Данные!$A$2:$A$722,"&gt;="&amp;77233726000,Данные!$A$2:$A$722,"&lt;="&amp;77233726999)</f>
        <v>0</v>
      </c>
      <c r="AB84" s="62" t="n">
        <f aca="false">COUNTIFS(Данные!$B$2:$B$722,46,Данные!$C$2:$C$722,1,Данные!$A$2:$A$722,"&gt;="&amp;77233820000,Данные!$A$2:$A$722,"&lt;="&amp;77233820999)</f>
        <v>0</v>
      </c>
      <c r="AC84" s="62" t="n">
        <f aca="false">COUNTIFS(Данные!$B$2:$B$722,46,Данные!$C$2:$C$722,1,Данные!$A$2:$A$722,"&gt;="&amp;77233850000,Данные!$A$2:$A$722,"&lt;="&amp;77233850999)</f>
        <v>0</v>
      </c>
      <c r="AD84" s="62" t="n">
        <f aca="false">COUNTIFS(Данные!$B$2:$B$722,46,Данные!$C$2:$C$722,1,Данные!$A$2:$A$722,"&gt;="&amp;77233420000,Данные!$A$2:$A$722,"&lt;="&amp;77233420999)</f>
        <v>0</v>
      </c>
      <c r="AE84" s="62" t="n">
        <f aca="false">COUNTIFS(Данные!$B$2:$B$722,46,Данные!$C$2:$C$722,1,Данные!$A$2:$A$722,"&gt;="&amp;77234740000,Данные!$A$2:$A$722,"&lt;="&amp;77234742999)</f>
        <v>0</v>
      </c>
      <c r="AF84" s="62" t="n">
        <f aca="false">COUNTIFS(Данные!$B$2:$B$722,46,Данные!$C$2:$C$722,1,Данные!$A$2:$A$722,"&gt;="&amp;77234767000,Данные!$A$2:$A$722,"&lt;="&amp;77234767999)</f>
        <v>0</v>
      </c>
      <c r="AG84" s="62" t="n">
        <f aca="false">COUNTIFS(Данные!$B$2:$B$722,46,Данные!$C$2:$C$722,1,Данные!$A$2:$A$722,"&gt;="&amp;77234120000,Данные!$A$2:$A$722,"&lt;="&amp;77234120999)</f>
        <v>0</v>
      </c>
      <c r="AH84" s="62" t="n">
        <f aca="false">COUNTIFS(Данные!$B$2:$B$722,46,Данные!$C$2:$C$722,1,Данные!$A$2:$A$722,"&gt;="&amp;77234127000,Данные!$A$2:$A$722,"&lt;="&amp;77234127999)</f>
        <v>0</v>
      </c>
      <c r="AI84" s="62" t="n">
        <f aca="false">COUNTIFS(Данные!$B$2:$B$722,46,Данные!$C$2:$C$722,1,Данные!$A$2:$A$722,"&gt;="&amp;77234220000,Данные!$A$2:$A$722,"&lt;="&amp;77234220999)</f>
        <v>0</v>
      </c>
      <c r="AJ84" s="62" t="n">
        <f aca="false">COUNTIFS(Данные!$B$2:$B$722,46,Данные!$C$2:$C$722,1,Данные!$A$2:$A$722,"&gt;="&amp;77234250000,Данные!$A$2:$A$722,"&lt;="&amp;77234250999)</f>
        <v>0</v>
      </c>
      <c r="AK84" s="62" t="n">
        <f aca="false">COUNTIFS(Данные!$B$2:$B$722,46,Данные!$C$2:$C$722,1,Данные!$A$2:$A$722,"&gt;="&amp;77233922950,Данные!$A$2:$A$722,"&lt;="&amp;77233924999)</f>
        <v>0</v>
      </c>
      <c r="AL84" s="62" t="n">
        <f aca="false">COUNTIFS(Данные!$B$2:$B$722,46,Данные!$C$2:$C$722,1,Данные!$A$2:$A$722,"&gt;="&amp;77234320000,Данные!$A$2:$A$722,"&lt;="&amp;77234320999)</f>
        <v>0</v>
      </c>
      <c r="AM84" s="62" t="n">
        <f aca="false">COUNTIFS(Данные!$B$2:$B$722,46,Данные!$C$2:$C$722,1,Данные!$A$2:$A$722,"&gt;="&amp;77234350000,Данные!$A$2:$A$722,"&lt;="&amp;77234350999)</f>
        <v>0</v>
      </c>
      <c r="AN84" s="62" t="n">
        <f aca="false">COUNTIFS(Данные!$B$2:$B$722,46,Данные!$C$2:$C$722,1,Данные!$A$2:$A$722,"&gt;="&amp;77234020000,Данные!$A$2:$A$722,"&lt;="&amp;77234020999)</f>
        <v>0</v>
      </c>
      <c r="AO84" s="62" t="n">
        <f aca="false">COUNTIFS(Данные!$B$2:$B$722,46,Данные!$C$2:$C$722,1,Данные!$A$2:$A$722,"&gt;="&amp;77234029000,Данные!$A$2:$A$722,"&lt;="&amp;77234029999)</f>
        <v>0</v>
      </c>
      <c r="AP84" s="62" t="n">
        <f aca="false">COUNTIFS(Данные!$B$2:$B$722,46,Данные!$C$2:$C$722,1,Данные!$A$2:$A$722,"&gt;="&amp;77234050000,Данные!$A$2:$A$722,"&lt;="&amp;77234050999)</f>
        <v>0</v>
      </c>
      <c r="AQ84" s="62" t="n">
        <f aca="false">COUNTIFS(Данные!$B$2:$B$722,46,Данные!$C$2:$C$722,1,Данные!$A$2:$A$722,"&gt;="&amp;77234427000,Данные!$A$2:$A$722,"&lt;="&amp;77234428999)</f>
        <v>0</v>
      </c>
      <c r="AR84" s="62" t="n">
        <f aca="false">COUNTIFS(Данные!$B$2:$B$722,46,Данные!$C$2:$C$722,1,Данные!$A$2:$A$722,"&gt;="&amp;77234450000,Данные!$A$2:$A$722,"&lt;="&amp;77234450999)</f>
        <v>0</v>
      </c>
      <c r="AS84" s="62" t="n">
        <f aca="false">COUNTIFS(Данные!$B$2:$B$722,46,Данные!$C$2:$C$722,1,Данные!$A$2:$A$722,"&gt;="&amp;77234620000,Данные!$A$2:$A$722,"&lt;="&amp;77234620999)</f>
        <v>0</v>
      </c>
      <c r="AT84" s="62" t="n">
        <f aca="false">COUNTIFS(Данные!$B$2:$B$722,46,Данные!$C$2:$C$722,1,Данные!$A$2:$A$722,"&gt;="&amp;77234650000,Данные!$A$2:$A$722,"&lt;="&amp;77234650999)</f>
        <v>0</v>
      </c>
      <c r="AU84" s="62" t="n">
        <f aca="false">COUNTIFS(Данные!$B$2:$B$722,46,Данные!$C$2:$C$722,1,Данные!$A$2:$A$722,"&gt;="&amp;77234820000,Данные!$A$2:$A$722,"&lt;="&amp;77234820999)</f>
        <v>0</v>
      </c>
      <c r="AV84" s="62" t="n">
        <f aca="false">COUNTIFS(Данные!$B$2:$B$722,46,Данные!$C$2:$C$722,1,Данные!$A$2:$A$722,"&gt;="&amp;77234850000,Данные!$A$2:$A$722,"&lt;="&amp;77234850999)</f>
        <v>0</v>
      </c>
      <c r="AW84" s="62" t="n">
        <f aca="false">COUNTIFS(Данные!$B$2:$B$722,46,Данные!$C$2:$C$722,1,Данные!$A$2:$A$722,"&gt;="&amp;77233327000,Данные!$A$2:$A$722,"&lt;="&amp;77233327999)</f>
        <v>0</v>
      </c>
      <c r="AX84" s="62" t="n">
        <f aca="false">COUNTIFS(Данные!$B$2:$B$722,46,Данные!$C$2:$C$722,1,Данные!$A$2:$A$722,"&gt;="&amp;77233350000,Данные!$A$2:$A$722,"&lt;="&amp;77233350599)</f>
        <v>0</v>
      </c>
      <c r="AY84" s="62" t="n">
        <f aca="false">COUNTIFS(Данные!$B$2:$B$722,46,Данные!$C$2:$C$722,1,Данные!$A$2:$A$722,"&gt;="&amp;77233351000,Данные!$A$2:$A$722,"&lt;="&amp;77233351999)</f>
        <v>0</v>
      </c>
      <c r="AZ84" s="63" t="n">
        <f aca="false">COUNTIFS(Данные!$B$2:$B$722,46,Данные!$C$2:$C$722,1,Данные!$A$2:$A$722,"&gt;="&amp;7722440000,Данные!$A$2:$A$722,"&lt;="&amp;7722440999)</f>
        <v>0</v>
      </c>
      <c r="BA84" s="63" t="n">
        <f aca="false">COUNTIFS(Данные!$B$2:$B$722,46,Данные!$C$2:$C$722,1,Данные!$A$2:$A$722,"&gt;="&amp;7722442000,Данные!$A$2:$A$722,"&lt;="&amp;7722445659)</f>
        <v>0</v>
      </c>
      <c r="BB84" s="63" t="n">
        <f aca="false">COUNTIFS(Данные!$B$2:$B$722,46,Данные!$C$2:$C$722,1,Данные!$A$2:$A$722,"&gt;="&amp;7722450000,Данные!$A$2:$A$722,"&lt;="&amp;7722450199)</f>
        <v>0</v>
      </c>
      <c r="BC84" s="63" t="n">
        <f aca="false">COUNTIFS(Данные!$B$2:$B$722,46,Данные!$C$2:$C$722,1,Данные!$A$2:$A$722,"&gt;="&amp;7722451000,Данные!$A$2:$A$722,"&lt;="&amp;7722451374)</f>
        <v>0</v>
      </c>
      <c r="BD84" s="63" t="n">
        <f aca="false">COUNTIFS(Данные!$B$2:$B$722,46,Данные!$C$2:$C$722,1,Данные!$A$2:$A$722,"&gt;="&amp;7722452000,Данные!$A$2:$A$722,"&lt;="&amp;7722452299)</f>
        <v>0</v>
      </c>
      <c r="BE84" s="63" t="n">
        <f aca="false">COUNTIFS(Данные!$B$2:$B$722,46,Данные!$C$2:$C$722,1,Данные!$A$2:$A$722,"&gt;="&amp;7722453000,Данные!$A$2:$A$722,"&lt;="&amp;7722453816)</f>
        <v>0</v>
      </c>
      <c r="BF84" s="63" t="n">
        <f aca="false">COUNTIFS(Данные!$B$2:$B$722,46,Данные!$C$2:$C$722,1,Данные!$A$2:$A$722,"&gt;="&amp;7722454000,Данные!$A$2:$A$722,"&lt;="&amp;7722454099)</f>
        <v>0</v>
      </c>
      <c r="BG84" s="63" t="n">
        <f aca="false">COUNTIFS(Данные!$B$2:$B$722,46,Данные!$C$2:$C$722,1,Данные!$A$2:$A$722,"&gt;="&amp;7722458000,Данные!$A$2:$A$722,"&lt;="&amp;7722458999)</f>
        <v>0</v>
      </c>
      <c r="BH84" s="63" t="n">
        <f aca="false">COUNTIFS(Данные!$B$2:$B$722,46,Данные!$C$2:$C$722,1,Данные!$A$2:$A$722,"&gt;="&amp;7722630000,Данные!$A$2:$A$722,"&lt;="&amp;7722638549)</f>
        <v>0</v>
      </c>
      <c r="BI84" s="63" t="n">
        <f aca="false">COUNTIFS(Данные!$B$2:$B$722,46,Данные!$C$2:$C$722,1,Данные!$A$2:$A$722,"&gt;="&amp;7722639400,Данные!$A$2:$A$722,"&lt;="&amp;7722639899)</f>
        <v>0</v>
      </c>
      <c r="BJ84" s="63" t="n">
        <f aca="false">COUNTIFS(Данные!$B$2:$B$722,46,Данные!$C$2:$C$722,1,Данные!$A$2:$A$722,"&gt;="&amp;7725750000,Данные!$A$2:$A$722,"&lt;="&amp;7725750399)</f>
        <v>0</v>
      </c>
      <c r="BK84" s="63" t="n">
        <f aca="false">COUNTIFS(Данные!$B$2:$B$722,46,Данные!$C$2:$C$722,1,Данные!$A$2:$A$722,"&gt;="&amp;7723620000,Данные!$A$2:$A$722,"&lt;="&amp;7723621299)</f>
        <v>0</v>
      </c>
      <c r="BL84" s="63" t="n">
        <f aca="false">COUNTIFS(Данные!$B$2:$B$722,46,Данные!$C$2:$C$722,1,Данные!$A$2:$A$722,"&gt;="&amp;7723621600,Данные!$A$2:$A$722,"&lt;="&amp;7723623399)</f>
        <v>0</v>
      </c>
      <c r="BM84" s="63" t="n">
        <f aca="false">COUNTIFS(Данные!$B$2:$B$722,46,Данные!$C$2:$C$722,1,Данные!$A$2:$A$722,"&gt;="&amp;7725127000,Данные!$A$2:$A$722,"&lt;="&amp;7725127999)</f>
        <v>0</v>
      </c>
      <c r="BN84" s="63" t="n">
        <f aca="false">COUNTIFS(Данные!$B$2:$B$722,46,Данные!$C$2:$C$722,1,Данные!$A$2:$A$722,"&gt;="&amp;7723772000,Данные!$A$2:$A$722,"&lt;="&amp;7723724999)</f>
        <v>0</v>
      </c>
      <c r="BO84" s="62" t="n">
        <f aca="false">COUNTIFS(Данные!$B$2:$B$722,46,Данные!$C$2:$C$722,1,Данные!$A$2:$A$722,"&gt;="&amp;7723765000,Данные!$A$2:$A$722,"&lt;="&amp;7723765499)</f>
        <v>0</v>
      </c>
      <c r="BP84" s="63" t="n">
        <f aca="false">COUNTIFS(Данные!$B$2:$B$722,46,Данные!$C$2:$C$722,1,Данные!$A$2:$A$722,"&gt;="&amp;7723948000,Данные!$A$2:$A$722,"&lt;="&amp;7723948999)</f>
        <v>0</v>
      </c>
      <c r="BQ84" s="63" t="n">
        <f aca="false">COUNTIFS(Данные!$B$2:$B$722,46,Данные!$C$2:$C$722,1,Данные!$A$2:$A$722,"&gt;="&amp;7723950000,Данные!$A$2:$A$722,"&lt;="&amp;7723951099)</f>
        <v>0</v>
      </c>
      <c r="BR84" s="63" t="n">
        <f aca="false">COUNTIFS(Данные!$B$2:$B$722,46,Данные!$C$2:$C$722,1,Данные!$A$2:$A$722,"&gt;="&amp;7723020000,Данные!$A$2:$A$722,"&lt;="&amp;7723020999)</f>
        <v>0</v>
      </c>
      <c r="BS84" s="63" t="n">
        <f aca="false">COUNTIFS(Данные!$B$2:$B$722,46,Данные!$C$2:$C$722,1,Данные!$A$2:$A$722,"&gt;="&amp;7723029000,Данные!$A$2:$A$722,"&lt;="&amp;7723029999)</f>
        <v>0</v>
      </c>
      <c r="BT84" s="63" t="n">
        <f aca="false">COUNTIFS(Данные!$B$2:$B$722,46,Данные!$C$2:$C$722,1,Данные!$A$2:$A$722,"&gt;="&amp;7723055000,Данные!$A$2:$A$722,"&lt;="&amp;7723056549)</f>
        <v>0</v>
      </c>
      <c r="BU84" s="62" t="n">
        <f aca="false">COUNTIFS(Данные!$B$2:$B$722,46,Данные!$C$2:$C$722,1,Данные!$A$2:$A$722,"&gt;="&amp;7725250000,Данные!$A$2:$A$722,"&lt;="&amp;7725250499)</f>
        <v>0</v>
      </c>
      <c r="BV84" s="63" t="n">
        <f aca="false">COUNTIFS(Данные!$B$2:$B$722,46,Данные!$C$2:$C$722,1,Данные!$A$2:$A$722,"&gt;="&amp;7183841400,Данные!$A$2:$A$722,"&lt;="&amp;7183841499)</f>
        <v>0</v>
      </c>
      <c r="BW84" s="40" t="n">
        <v>300</v>
      </c>
      <c r="BX84" s="64" t="n">
        <f aca="false">F84-BW84</f>
        <v>-300</v>
      </c>
    </row>
    <row r="85" s="15" customFormat="true" ht="12" hidden="false" customHeight="true" outlineLevel="0" collapsed="false">
      <c r="A85" s="38"/>
      <c r="B85" s="39"/>
      <c r="C85" s="41" t="n">
        <v>2</v>
      </c>
      <c r="D85" s="41" t="n">
        <v>462</v>
      </c>
      <c r="E85" s="42"/>
      <c r="F85" s="62" t="n">
        <f aca="false">COUNTIFS(Данные!$B$2:$B$722,46,Данные!$C$2:$C$722,2)</f>
        <v>0</v>
      </c>
      <c r="G85" s="62" t="n">
        <f aca="false">COUNTIFS(Данные!$B$2:$B$722,46,Данные!$C$2:$C$722,2,Данные!$A$2:$A$722,"&gt;="&amp;77232210840,Данные!$A$2:$A$722,"&lt;="&amp;77232216999)</f>
        <v>0</v>
      </c>
      <c r="H85" s="62" t="n">
        <f aca="false">COUNTIFS(Данные!$B$2:$B$722,46,Данные!$C$2:$C$722,2,Данные!$A$2:$A$722,"&gt;="&amp;77232510512,Данные!$A$2:$A$722,"&lt;="&amp;77232519487)</f>
        <v>0</v>
      </c>
      <c r="I85" s="62" t="n">
        <f aca="false">COUNTIFS(Данные!$B$2:$B$722,46,Данные!$C$2:$C$722,2,Данные!$A$2:$A$722,"&gt;="&amp;77232524160,Данные!$A$2:$A$722,"&lt;="&amp;77232529999)</f>
        <v>0</v>
      </c>
      <c r="J85" s="62" t="n">
        <f aca="false">COUNTIFS(Данные!$B$2:$B$722,46,Данные!$C$2:$C$722,2,Данные!$A$2:$A$722,"&gt;="&amp;77232544000,Данные!$A$2:$A$722,"&lt;="&amp;77232544999)</f>
        <v>0</v>
      </c>
      <c r="K85" s="62" t="n">
        <f aca="false">COUNTIFS(Данные!$B$2:$B$722,46,Данные!$C$2:$C$722,2,Данные!$A$2:$A$722,"&gt;="&amp;77232295504,Данные!$A$2:$A$722,"&lt;="&amp;77232296999)</f>
        <v>0</v>
      </c>
      <c r="L85" s="62" t="n">
        <f aca="false">COUNTIFS(Данные!$B$2:$B$722,46,Данные!$C$2:$C$722,2,Данные!$A$2:$A$722,"&gt;="&amp;77232785000,Данные!$A$2:$A$722,"&lt;="&amp;77232789999)</f>
        <v>0</v>
      </c>
      <c r="M85" s="62" t="n">
        <f aca="false">COUNTIFS(Данные!$B$2:$B$722,46,Данные!$C$2:$C$722,2,Данные!$A$2:$A$722,"&gt;="&amp;77233150000,Данные!$A$2:$A$722,"&lt;="&amp;77233155999)</f>
        <v>0</v>
      </c>
      <c r="N85" s="62" t="n">
        <f aca="false">COUNTIFS(Данные!$B$2:$B$722,46,Данные!$C$2:$C$722,2,Данные!$A$2:$A$722,"&gt;="&amp;77233235000,Данные!$A$2:$A$722,"&lt;="&amp;77233235999)</f>
        <v>0</v>
      </c>
      <c r="O85" s="62" t="n">
        <f aca="false">COUNTIFS(Данные!$B$2:$B$722,46,Данные!$C$2:$C$722,2,Данные!$A$2:$A$722,"&gt;="&amp;77233239000,Данные!$A$2:$A$722,"&lt;="&amp;77233239999)</f>
        <v>0</v>
      </c>
      <c r="P85" s="62" t="n">
        <f aca="false">COUNTIFS(Данные!$B$2:$B$722,46,Данные!$C$2:$C$722,2,Данные!$A$2:$A$722,"&gt;="&amp;77233272000,Данные!$A$2:$A$722,"&lt;="&amp;77233272999)</f>
        <v>0</v>
      </c>
      <c r="Q85" s="62" t="n">
        <f aca="false">COUNTIFS(Данные!$B$2:$B$722,46,Данные!$C$2:$C$722,2,Данные!$A$2:$A$722,"&gt;="&amp;77233291100,Данные!$A$2:$A$722,"&lt;="&amp;77233292999)</f>
        <v>0</v>
      </c>
      <c r="R85" s="62" t="n">
        <f aca="false">COUNTIFS(Данные!$B$2:$B$722,46,Данные!$C$2:$C$722,2,Данные!$A$2:$A$722,"&gt;="&amp;77233297000,Данные!$A$2:$A$722,"&lt;="&amp;77233298399)</f>
        <v>0</v>
      </c>
      <c r="S85" s="62" t="n">
        <f aca="false">COUNTIFS(Данные!$B$2:$B$722,46,Данные!$C$2:$C$722,2,Данные!$A$2:$A$722,"&gt;="&amp;77235124000,Данные!$A$2:$A$722,"&lt;="&amp;77235128499)</f>
        <v>0</v>
      </c>
      <c r="T85" s="62" t="n">
        <f aca="false">COUNTIFS(Данные!$B$2:$B$722,46,Данные!$C$2:$C$722,2,Данные!$A$2:$A$722,"&gt;="&amp;77235320000,Данные!$A$2:$A$722,"&lt;="&amp;77235320999)</f>
        <v>0</v>
      </c>
      <c r="U85" s="62" t="n">
        <f aca="false">COUNTIFS(Данные!$B$2:$B$722,46,Данные!$C$2:$C$722,2,Данные!$A$2:$A$722,"&gt;="&amp;77233620000,Данные!$A$2:$A$722,"&lt;="&amp;77233623339)</f>
        <v>0</v>
      </c>
      <c r="V85" s="62" t="n">
        <f aca="false">COUNTIFS(Данные!$B$2:$B$722,46,Данные!$C$2:$C$722,2,Данные!$A$2:$A$722,"&gt;="&amp;77233630000,Данные!$A$2:$A$722,"&lt;="&amp;77233630999)</f>
        <v>0</v>
      </c>
      <c r="W85" s="62" t="n">
        <f aca="false">COUNTIFS(Данные!$B$2:$B$722,46,Данные!$C$2:$C$722,2,Данные!$A$2:$A$722,"&gt;="&amp;77233637000,Данные!$A$2:$A$722,"&lt;="&amp;77233637599)</f>
        <v>0</v>
      </c>
      <c r="X85" s="62" t="n">
        <f aca="false">COUNTIFS(Данные!$B$2:$B$722,46,Данные!$C$2:$C$722,2,Данные!$A$2:$A$722,"&gt;="&amp;77233550000,Данные!$A$2:$A$722,"&lt;="&amp;77233550999)</f>
        <v>0</v>
      </c>
      <c r="Y85" s="62" t="n">
        <f aca="false">COUNTIFS(Данные!$B$2:$B$722,46,Данные!$C$2:$C$722,2,Данные!$A$2:$A$722,"&gt;="&amp;77233554000,Данные!$A$2:$A$722,"&lt;="&amp;77233554999)</f>
        <v>0</v>
      </c>
      <c r="Z85" s="62" t="n">
        <f aca="false">COUNTIFS(Данные!$B$2:$B$722,46,Данные!$C$2:$C$722,2,Данные!$A$2:$A$722,"&gt;="&amp;77233555000,Данные!$A$2:$A$722,"&lt;="&amp;77233556999)</f>
        <v>0</v>
      </c>
      <c r="AA85" s="62" t="n">
        <f aca="false">COUNTIFS(Данные!$B$2:$B$722,46,Данные!$C$2:$C$722,2,Данные!$A$2:$A$722,"&gt;="&amp;77233726000,Данные!$A$2:$A$722,"&lt;="&amp;77233726999)</f>
        <v>0</v>
      </c>
      <c r="AB85" s="62" t="n">
        <f aca="false">COUNTIFS(Данные!$B$2:$B$722,46,Данные!$C$2:$C$722,2,Данные!$A$2:$A$722,"&gt;="&amp;77233820000,Данные!$A$2:$A$722,"&lt;="&amp;77233820999)</f>
        <v>0</v>
      </c>
      <c r="AC85" s="62" t="n">
        <f aca="false">COUNTIFS(Данные!$B$2:$B$722,46,Данные!$C$2:$C$722,2,Данные!$A$2:$A$722,"&gt;="&amp;77233850000,Данные!$A$2:$A$722,"&lt;="&amp;77233850999)</f>
        <v>0</v>
      </c>
      <c r="AD85" s="62" t="n">
        <f aca="false">COUNTIFS(Данные!$B$2:$B$722,46,Данные!$C$2:$C$722,2,Данные!$A$2:$A$722,"&gt;="&amp;77233420000,Данные!$A$2:$A$722,"&lt;="&amp;77233420999)</f>
        <v>0</v>
      </c>
      <c r="AE85" s="62" t="n">
        <f aca="false">COUNTIFS(Данные!$B$2:$B$722,46,Данные!$C$2:$C$722,2,Данные!$A$2:$A$722,"&gt;="&amp;77234740000,Данные!$A$2:$A$722,"&lt;="&amp;77234742999)</f>
        <v>0</v>
      </c>
      <c r="AF85" s="62" t="n">
        <f aca="false">COUNTIFS(Данные!$B$2:$B$722,46,Данные!$C$2:$C$722,2,Данные!$A$2:$A$722,"&gt;="&amp;77234767000,Данные!$A$2:$A$722,"&lt;="&amp;77234767999)</f>
        <v>0</v>
      </c>
      <c r="AG85" s="62" t="n">
        <f aca="false">COUNTIFS(Данные!$B$2:$B$722,46,Данные!$C$2:$C$722,2,Данные!$A$2:$A$722,"&gt;="&amp;77234120000,Данные!$A$2:$A$722,"&lt;="&amp;77234120999)</f>
        <v>0</v>
      </c>
      <c r="AH85" s="62" t="n">
        <f aca="false">COUNTIFS(Данные!$B$2:$B$722,46,Данные!$C$2:$C$722,2,Данные!$A$2:$A$722,"&gt;="&amp;77234127000,Данные!$A$2:$A$722,"&lt;="&amp;77234127999)</f>
        <v>0</v>
      </c>
      <c r="AI85" s="62" t="n">
        <f aca="false">COUNTIFS(Данные!$B$2:$B$722,46,Данные!$C$2:$C$722,2,Данные!$A$2:$A$722,"&gt;="&amp;77234220000,Данные!$A$2:$A$722,"&lt;="&amp;77234220999)</f>
        <v>0</v>
      </c>
      <c r="AJ85" s="62" t="n">
        <f aca="false">COUNTIFS(Данные!$B$2:$B$722,46,Данные!$C$2:$C$722,2,Данные!$A$2:$A$722,"&gt;="&amp;77234250000,Данные!$A$2:$A$722,"&lt;="&amp;77234250999)</f>
        <v>0</v>
      </c>
      <c r="AK85" s="62" t="n">
        <f aca="false">COUNTIFS(Данные!$B$2:$B$722,46,Данные!$C$2:$C$722,2,Данные!$A$2:$A$722,"&gt;="&amp;77233922950,Данные!$A$2:$A$722,"&lt;="&amp;77233924999)</f>
        <v>0</v>
      </c>
      <c r="AL85" s="62" t="n">
        <f aca="false">COUNTIFS(Данные!$B$2:$B$722,46,Данные!$C$2:$C$722,2,Данные!$A$2:$A$722,"&gt;="&amp;77234320000,Данные!$A$2:$A$722,"&lt;="&amp;77234320999)</f>
        <v>0</v>
      </c>
      <c r="AM85" s="62" t="n">
        <f aca="false">COUNTIFS(Данные!$B$2:$B$722,46,Данные!$C$2:$C$722,2,Данные!$A$2:$A$722,"&gt;="&amp;77234350000,Данные!$A$2:$A$722,"&lt;="&amp;77234350999)</f>
        <v>0</v>
      </c>
      <c r="AN85" s="62" t="n">
        <f aca="false">COUNTIFS(Данные!$B$2:$B$722,46,Данные!$C$2:$C$722,2,Данные!$A$2:$A$722,"&gt;="&amp;77234020000,Данные!$A$2:$A$722,"&lt;="&amp;77234020999)</f>
        <v>0</v>
      </c>
      <c r="AO85" s="62" t="n">
        <f aca="false">COUNTIFS(Данные!$B$2:$B$722,46,Данные!$C$2:$C$722,2,Данные!$A$2:$A$722,"&gt;="&amp;77234029000,Данные!$A$2:$A$722,"&lt;="&amp;77234029999)</f>
        <v>0</v>
      </c>
      <c r="AP85" s="62" t="n">
        <f aca="false">COUNTIFS(Данные!$B$2:$B$722,46,Данные!$C$2:$C$722,2,Данные!$A$2:$A$722,"&gt;="&amp;77234050000,Данные!$A$2:$A$722,"&lt;="&amp;77234050999)</f>
        <v>0</v>
      </c>
      <c r="AQ85" s="62" t="n">
        <f aca="false">COUNTIFS(Данные!$B$2:$B$722,46,Данные!$C$2:$C$722,2,Данные!$A$2:$A$722,"&gt;="&amp;77234427000,Данные!$A$2:$A$722,"&lt;="&amp;77234428999)</f>
        <v>0</v>
      </c>
      <c r="AR85" s="62" t="n">
        <f aca="false">COUNTIFS(Данные!$B$2:$B$722,46,Данные!$C$2:$C$722,2,Данные!$A$2:$A$722,"&gt;="&amp;77234450000,Данные!$A$2:$A$722,"&lt;="&amp;77234450999)</f>
        <v>0</v>
      </c>
      <c r="AS85" s="62" t="n">
        <f aca="false">COUNTIFS(Данные!$B$2:$B$722,46,Данные!$C$2:$C$722,2,Данные!$A$2:$A$722,"&gt;="&amp;77234620000,Данные!$A$2:$A$722,"&lt;="&amp;77234620999)</f>
        <v>0</v>
      </c>
      <c r="AT85" s="62" t="n">
        <f aca="false">COUNTIFS(Данные!$B$2:$B$722,46,Данные!$C$2:$C$722,2,Данные!$A$2:$A$722,"&gt;="&amp;77234650000,Данные!$A$2:$A$722,"&lt;="&amp;77234650999)</f>
        <v>0</v>
      </c>
      <c r="AU85" s="62" t="n">
        <f aca="false">COUNTIFS(Данные!$B$2:$B$722,46,Данные!$C$2:$C$722,2,Данные!$A$2:$A$722,"&gt;="&amp;77234820000,Данные!$A$2:$A$722,"&lt;="&amp;77234820999)</f>
        <v>0</v>
      </c>
      <c r="AV85" s="62" t="n">
        <f aca="false">COUNTIFS(Данные!$B$2:$B$722,46,Данные!$C$2:$C$722,2,Данные!$A$2:$A$722,"&gt;="&amp;77234850000,Данные!$A$2:$A$722,"&lt;="&amp;77234850999)</f>
        <v>0</v>
      </c>
      <c r="AW85" s="62" t="n">
        <f aca="false">COUNTIFS(Данные!$B$2:$B$722,46,Данные!$C$2:$C$722,2,Данные!$A$2:$A$722,"&gt;="&amp;77233327000,Данные!$A$2:$A$722,"&lt;="&amp;77233327999)</f>
        <v>0</v>
      </c>
      <c r="AX85" s="62" t="n">
        <f aca="false">COUNTIFS(Данные!$B$2:$B$722,46,Данные!$C$2:$C$722,2,Данные!$A$2:$A$722,"&gt;="&amp;77233350000,Данные!$A$2:$A$722,"&lt;="&amp;77233350599)</f>
        <v>0</v>
      </c>
      <c r="AY85" s="62" t="n">
        <f aca="false">COUNTIFS(Данные!$B$2:$B$722,46,Данные!$C$2:$C$722,2,Данные!$A$2:$A$722,"&gt;="&amp;77233351000,Данные!$A$2:$A$722,"&lt;="&amp;77233351999)</f>
        <v>0</v>
      </c>
      <c r="AZ85" s="63" t="n">
        <f aca="false">COUNTIFS(Данные!$B$2:$B$722,46,Данные!$C$2:$C$722,2,Данные!$A$2:$A$722,"&gt;="&amp;7722440000,Данные!$A$2:$A$722,"&lt;="&amp;7722440999)</f>
        <v>0</v>
      </c>
      <c r="BA85" s="63" t="n">
        <f aca="false">COUNTIFS(Данные!$B$2:$B$722,46,Данные!$C$2:$C$722,2,Данные!$A$2:$A$722,"&gt;="&amp;7722442000,Данные!$A$2:$A$722,"&lt;="&amp;7722445659)</f>
        <v>0</v>
      </c>
      <c r="BB85" s="63" t="n">
        <f aca="false">COUNTIFS(Данные!$B$2:$B$722,46,Данные!$C$2:$C$722,2,Данные!$A$2:$A$722,"&gt;="&amp;7722450000,Данные!$A$2:$A$722,"&lt;="&amp;7722450199)</f>
        <v>0</v>
      </c>
      <c r="BC85" s="63" t="n">
        <f aca="false">COUNTIFS(Данные!$B$2:$B$722,46,Данные!$C$2:$C$722,2,Данные!$A$2:$A$722,"&gt;="&amp;7722451000,Данные!$A$2:$A$722,"&lt;="&amp;7722451374)</f>
        <v>0</v>
      </c>
      <c r="BD85" s="63" t="n">
        <f aca="false">COUNTIFS(Данные!$B$2:$B$722,46,Данные!$C$2:$C$722,2,Данные!$A$2:$A$722,"&gt;="&amp;7722452000,Данные!$A$2:$A$722,"&lt;="&amp;7722452299)</f>
        <v>0</v>
      </c>
      <c r="BE85" s="63" t="n">
        <f aca="false">COUNTIFS(Данные!$B$2:$B$722,46,Данные!$C$2:$C$722,2,Данные!$A$2:$A$722,"&gt;="&amp;7722453000,Данные!$A$2:$A$722,"&lt;="&amp;7722453816)</f>
        <v>0</v>
      </c>
      <c r="BF85" s="63" t="n">
        <f aca="false">COUNTIFS(Данные!$B$2:$B$722,46,Данные!$C$2:$C$722,2,Данные!$A$2:$A$722,"&gt;="&amp;7722454000,Данные!$A$2:$A$722,"&lt;="&amp;7722454099)</f>
        <v>0</v>
      </c>
      <c r="BG85" s="63" t="n">
        <f aca="false">COUNTIFS(Данные!$B$2:$B$722,46,Данные!$C$2:$C$722,2,Данные!$A$2:$A$722,"&gt;="&amp;7722458000,Данные!$A$2:$A$722,"&lt;="&amp;7722458999)</f>
        <v>0</v>
      </c>
      <c r="BH85" s="63" t="n">
        <f aca="false">COUNTIFS(Данные!$B$2:$B$722,46,Данные!$C$2:$C$722,2,Данные!$A$2:$A$722,"&gt;="&amp;7722630000,Данные!$A$2:$A$722,"&lt;="&amp;7722638549)</f>
        <v>0</v>
      </c>
      <c r="BI85" s="63" t="n">
        <f aca="false">COUNTIFS(Данные!$B$2:$B$722,46,Данные!$C$2:$C$722,2,Данные!$A$2:$A$722,"&gt;="&amp;7722639400,Данные!$A$2:$A$722,"&lt;="&amp;7722639899)</f>
        <v>0</v>
      </c>
      <c r="BJ85" s="63" t="n">
        <f aca="false">COUNTIFS(Данные!$B$2:$B$722,46,Данные!$C$2:$C$722,2,Данные!$A$2:$A$722,"&gt;="&amp;7725750000,Данные!$A$2:$A$722,"&lt;="&amp;7725750399)</f>
        <v>0</v>
      </c>
      <c r="BK85" s="63" t="n">
        <f aca="false">COUNTIFS(Данные!$B$2:$B$722,46,Данные!$C$2:$C$722,2,Данные!$A$2:$A$722,"&gt;="&amp;7723620000,Данные!$A$2:$A$722,"&lt;="&amp;7723621299)</f>
        <v>0</v>
      </c>
      <c r="BL85" s="63" t="n">
        <f aca="false">COUNTIFS(Данные!$B$2:$B$722,46,Данные!$C$2:$C$722,2,Данные!$A$2:$A$722,"&gt;="&amp;7723621600,Данные!$A$2:$A$722,"&lt;="&amp;7723623399)</f>
        <v>0</v>
      </c>
      <c r="BM85" s="63" t="n">
        <f aca="false">COUNTIFS(Данные!$B$2:$B$722,46,Данные!$C$2:$C$722,2,Данные!$A$2:$A$722,"&gt;="&amp;7725127000,Данные!$A$2:$A$722,"&lt;="&amp;7725127999)</f>
        <v>0</v>
      </c>
      <c r="BN85" s="63" t="n">
        <f aca="false">COUNTIFS(Данные!$B$2:$B$722,46,Данные!$C$2:$C$722,2,Данные!$A$2:$A$722,"&gt;="&amp;7723772000,Данные!$A$2:$A$722,"&lt;="&amp;7723724999)</f>
        <v>0</v>
      </c>
      <c r="BO85" s="62" t="n">
        <f aca="false">COUNTIFS(Данные!$B$2:$B$722,46,Данные!$C$2:$C$722,2,Данные!$A$2:$A$722,"&gt;="&amp;7723765000,Данные!$A$2:$A$722,"&lt;="&amp;7723765499)</f>
        <v>0</v>
      </c>
      <c r="BP85" s="63" t="n">
        <f aca="false">COUNTIFS(Данные!$B$2:$B$722,46,Данные!$C$2:$C$722,2,Данные!$A$2:$A$722,"&gt;="&amp;7723948000,Данные!$A$2:$A$722,"&lt;="&amp;7723948999)</f>
        <v>0</v>
      </c>
      <c r="BQ85" s="63" t="n">
        <f aca="false">COUNTIFS(Данные!$B$2:$B$722,46,Данные!$C$2:$C$722,2,Данные!$A$2:$A$722,"&gt;="&amp;7723950000,Данные!$A$2:$A$722,"&lt;="&amp;7723951099)</f>
        <v>0</v>
      </c>
      <c r="BR85" s="63" t="n">
        <f aca="false">COUNTIFS(Данные!$B$2:$B$722,46,Данные!$C$2:$C$722,2,Данные!$A$2:$A$722,"&gt;="&amp;7723020000,Данные!$A$2:$A$722,"&lt;="&amp;7723020999)</f>
        <v>0</v>
      </c>
      <c r="BS85" s="63" t="n">
        <f aca="false">COUNTIFS(Данные!$B$2:$B$722,46,Данные!$C$2:$C$722,2,Данные!$A$2:$A$722,"&gt;="&amp;7723029000,Данные!$A$2:$A$722,"&lt;="&amp;7723029999)</f>
        <v>0</v>
      </c>
      <c r="BT85" s="63" t="n">
        <f aca="false">COUNTIFS(Данные!$B$2:$B$722,46,Данные!$C$2:$C$722,2,Данные!$A$2:$A$722,"&gt;="&amp;7723055000,Данные!$A$2:$A$722,"&lt;="&amp;7723056549)</f>
        <v>0</v>
      </c>
      <c r="BU85" s="62" t="n">
        <f aca="false">COUNTIFS(Данные!$B$2:$B$722,46,Данные!$C$2:$C$722,2,Данные!$A$2:$A$722,"&gt;="&amp;7725250000,Данные!$A$2:$A$722,"&lt;="&amp;7725250499)</f>
        <v>0</v>
      </c>
      <c r="BV85" s="63" t="n">
        <f aca="false">COUNTIFS(Данные!$B$2:$B$722,46,Данные!$C$2:$C$722,2,Данные!$A$2:$A$722,"&gt;="&amp;7183841400,Данные!$A$2:$A$722,"&lt;="&amp;7183841499)</f>
        <v>0</v>
      </c>
      <c r="BW85" s="40" t="n">
        <v>300</v>
      </c>
      <c r="BX85" s="64" t="n">
        <f aca="false">F85-BW85</f>
        <v>-300</v>
      </c>
    </row>
    <row r="86" s="15" customFormat="true" ht="12" hidden="false" customHeight="true" outlineLevel="0" collapsed="false">
      <c r="A86" s="47" t="n">
        <v>47</v>
      </c>
      <c r="B86" s="48" t="s">
        <v>88</v>
      </c>
      <c r="C86" s="50" t="n">
        <v>0</v>
      </c>
      <c r="D86" s="50" t="n">
        <v>470</v>
      </c>
      <c r="E86" s="51" t="n">
        <f aca="false">SUM(F86:F88)</f>
        <v>0</v>
      </c>
      <c r="F86" s="65" t="n">
        <f aca="false">COUNTIFS(Данные!$B$2:$B$722,47,Данные!$C$2:$C$722,0)</f>
        <v>0</v>
      </c>
      <c r="G86" s="65" t="n">
        <f aca="false">COUNTIFS(Данные!$B$2:$B$722,47,Данные!$C$2:$C$722,0,Данные!$A$2:$A$722,"&gt;="&amp;77232210840,Данные!$A$2:$A$722,"&lt;="&amp;77232216999)</f>
        <v>0</v>
      </c>
      <c r="H86" s="65" t="n">
        <f aca="false">COUNTIFS(Данные!$B$2:$B$722,47,Данные!$C$2:$C$722,0,Данные!$A$2:$A$722,"&gt;="&amp;77232510512,Данные!$A$2:$A$722,"&lt;="&amp;77232519487)</f>
        <v>0</v>
      </c>
      <c r="I86" s="65" t="n">
        <f aca="false">COUNTIFS(Данные!$B$2:$B$722,47,Данные!$C$2:$C$722,0,Данные!$A$2:$A$722,"&gt;="&amp;77232524160,Данные!$A$2:$A$722,"&lt;="&amp;77232529999)</f>
        <v>0</v>
      </c>
      <c r="J86" s="65" t="n">
        <f aca="false">COUNTIFS(Данные!$B$2:$B$722,47,Данные!$C$2:$C$722,0,Данные!$A$2:$A$722,"&gt;="&amp;77232544000,Данные!$A$2:$A$722,"&lt;="&amp;77232544999)</f>
        <v>0</v>
      </c>
      <c r="K86" s="65" t="n">
        <f aca="false">COUNTIFS(Данные!$B$2:$B$722,47,Данные!$C$2:$C$722,0,Данные!$A$2:$A$722,"&gt;="&amp;77232295504,Данные!$A$2:$A$722,"&lt;="&amp;77232296999)</f>
        <v>0</v>
      </c>
      <c r="L86" s="65" t="n">
        <f aca="false">COUNTIFS(Данные!$B$2:$B$722,47,Данные!$C$2:$C$722,0,Данные!$A$2:$A$722,"&gt;="&amp;77232785000,Данные!$A$2:$A$722,"&lt;="&amp;77232789999)</f>
        <v>0</v>
      </c>
      <c r="M86" s="65" t="n">
        <f aca="false">COUNTIFS(Данные!$B$2:$B$722,47,Данные!$C$2:$C$722,0,Данные!$A$2:$A$722,"&gt;="&amp;77233150000,Данные!$A$2:$A$722,"&lt;="&amp;77233155999)</f>
        <v>0</v>
      </c>
      <c r="N86" s="65" t="n">
        <f aca="false">COUNTIFS(Данные!$B$2:$B$722,47,Данные!$C$2:$C$722,0,Данные!$A$2:$A$722,"&gt;="&amp;77233235000,Данные!$A$2:$A$722,"&lt;="&amp;77233235999)</f>
        <v>0</v>
      </c>
      <c r="O86" s="65" t="n">
        <f aca="false">COUNTIFS(Данные!$B$2:$B$722,47,Данные!$C$2:$C$722,0,Данные!$A$2:$A$722,"&gt;="&amp;77233239000,Данные!$A$2:$A$722,"&lt;="&amp;77233239999)</f>
        <v>0</v>
      </c>
      <c r="P86" s="65" t="n">
        <f aca="false">COUNTIFS(Данные!$B$2:$B$722,47,Данные!$C$2:$C$722,0,Данные!$A$2:$A$722,"&gt;="&amp;77233272000,Данные!$A$2:$A$722,"&lt;="&amp;77233272999)</f>
        <v>0</v>
      </c>
      <c r="Q86" s="65" t="n">
        <f aca="false">COUNTIFS(Данные!$B$2:$B$722,47,Данные!$C$2:$C$722,0,Данные!$A$2:$A$722,"&gt;="&amp;77233291100,Данные!$A$2:$A$722,"&lt;="&amp;77233292999)</f>
        <v>0</v>
      </c>
      <c r="R86" s="65" t="n">
        <f aca="false">COUNTIFS(Данные!$B$2:$B$722,47,Данные!$C$2:$C$722,0,Данные!$A$2:$A$722,"&gt;="&amp;77233297000,Данные!$A$2:$A$722,"&lt;="&amp;77233298399)</f>
        <v>0</v>
      </c>
      <c r="S86" s="65" t="n">
        <f aca="false">COUNTIFS(Данные!$B$2:$B$722,47,Данные!$C$2:$C$722,0,Данные!$A$2:$A$722,"&gt;="&amp;77235124000,Данные!$A$2:$A$722,"&lt;="&amp;77235128499)</f>
        <v>0</v>
      </c>
      <c r="T86" s="65" t="n">
        <f aca="false">COUNTIFS(Данные!$B$2:$B$722,47,Данные!$C$2:$C$722,0,Данные!$A$2:$A$722,"&gt;="&amp;77235320000,Данные!$A$2:$A$722,"&lt;="&amp;77235320999)</f>
        <v>0</v>
      </c>
      <c r="U86" s="65" t="n">
        <f aca="false">COUNTIFS(Данные!$B$2:$B$722,47,Данные!$C$2:$C$722,0,Данные!$A$2:$A$722,"&gt;="&amp;77233620000,Данные!$A$2:$A$722,"&lt;="&amp;77233623339)</f>
        <v>0</v>
      </c>
      <c r="V86" s="65" t="n">
        <f aca="false">COUNTIFS(Данные!$B$2:$B$722,47,Данные!$C$2:$C$722,0,Данные!$A$2:$A$722,"&gt;="&amp;77233630000,Данные!$A$2:$A$722,"&lt;="&amp;77233630999)</f>
        <v>0</v>
      </c>
      <c r="W86" s="65" t="n">
        <f aca="false">COUNTIFS(Данные!$B$2:$B$722,47,Данные!$C$2:$C$722,0,Данные!$A$2:$A$722,"&gt;="&amp;77233637000,Данные!$A$2:$A$722,"&lt;="&amp;77233637599)</f>
        <v>0</v>
      </c>
      <c r="X86" s="65" t="n">
        <f aca="false">COUNTIFS(Данные!$B$2:$B$722,47,Данные!$C$2:$C$722,0,Данные!$A$2:$A$722,"&gt;="&amp;77233550000,Данные!$A$2:$A$722,"&lt;="&amp;77233550999)</f>
        <v>0</v>
      </c>
      <c r="Y86" s="65" t="n">
        <f aca="false">COUNTIFS(Данные!$B$2:$B$722,47,Данные!$C$2:$C$722,0,Данные!$A$2:$A$722,"&gt;="&amp;77233554000,Данные!$A$2:$A$722,"&lt;="&amp;77233554999)</f>
        <v>0</v>
      </c>
      <c r="Z86" s="65" t="n">
        <f aca="false">COUNTIFS(Данные!$B$2:$B$722,47,Данные!$C$2:$C$722,0,Данные!$A$2:$A$722,"&gt;="&amp;77233555000,Данные!$A$2:$A$722,"&lt;="&amp;77233556999)</f>
        <v>0</v>
      </c>
      <c r="AA86" s="65" t="n">
        <f aca="false">COUNTIFS(Данные!$B$2:$B$722,47,Данные!$C$2:$C$722,0,Данные!$A$2:$A$722,"&gt;="&amp;77233726000,Данные!$A$2:$A$722,"&lt;="&amp;77233726999)</f>
        <v>0</v>
      </c>
      <c r="AB86" s="65" t="n">
        <f aca="false">COUNTIFS(Данные!$B$2:$B$722,47,Данные!$C$2:$C$722,0,Данные!$A$2:$A$722,"&gt;="&amp;77233820000,Данные!$A$2:$A$722,"&lt;="&amp;77233820999)</f>
        <v>0</v>
      </c>
      <c r="AC86" s="65" t="n">
        <f aca="false">COUNTIFS(Данные!$B$2:$B$722,47,Данные!$C$2:$C$722,0,Данные!$A$2:$A$722,"&gt;="&amp;77233850000,Данные!$A$2:$A$722,"&lt;="&amp;77233850999)</f>
        <v>0</v>
      </c>
      <c r="AD86" s="65" t="n">
        <f aca="false">COUNTIFS(Данные!$B$2:$B$722,47,Данные!$C$2:$C$722,0,Данные!$A$2:$A$722,"&gt;="&amp;77233420000,Данные!$A$2:$A$722,"&lt;="&amp;77233420999)</f>
        <v>0</v>
      </c>
      <c r="AE86" s="65" t="n">
        <f aca="false">COUNTIFS(Данные!$B$2:$B$722,47,Данные!$C$2:$C$722,0,Данные!$A$2:$A$722,"&gt;="&amp;77234740000,Данные!$A$2:$A$722,"&lt;="&amp;77234742999)</f>
        <v>0</v>
      </c>
      <c r="AF86" s="65" t="n">
        <f aca="false">COUNTIFS(Данные!$B$2:$B$722,47,Данные!$C$2:$C$722,0,Данные!$A$2:$A$722,"&gt;="&amp;77234767000,Данные!$A$2:$A$722,"&lt;="&amp;77234767999)</f>
        <v>0</v>
      </c>
      <c r="AG86" s="65" t="n">
        <f aca="false">COUNTIFS(Данные!$B$2:$B$722,47,Данные!$C$2:$C$722,0,Данные!$A$2:$A$722,"&gt;="&amp;77234120000,Данные!$A$2:$A$722,"&lt;="&amp;77234120999)</f>
        <v>0</v>
      </c>
      <c r="AH86" s="65" t="n">
        <f aca="false">COUNTIFS(Данные!$B$2:$B$722,47,Данные!$C$2:$C$722,0,Данные!$A$2:$A$722,"&gt;="&amp;77234127000,Данные!$A$2:$A$722,"&lt;="&amp;77234127999)</f>
        <v>0</v>
      </c>
      <c r="AI86" s="65" t="n">
        <f aca="false">COUNTIFS(Данные!$B$2:$B$722,47,Данные!$C$2:$C$722,0,Данные!$A$2:$A$722,"&gt;="&amp;77234220000,Данные!$A$2:$A$722,"&lt;="&amp;77234220999)</f>
        <v>0</v>
      </c>
      <c r="AJ86" s="65" t="n">
        <f aca="false">COUNTIFS(Данные!$B$2:$B$722,47,Данные!$C$2:$C$722,0,Данные!$A$2:$A$722,"&gt;="&amp;77234250000,Данные!$A$2:$A$722,"&lt;="&amp;77234250999)</f>
        <v>0</v>
      </c>
      <c r="AK86" s="65" t="n">
        <f aca="false">COUNTIFS(Данные!$B$2:$B$722,47,Данные!$C$2:$C$722,0,Данные!$A$2:$A$722,"&gt;="&amp;77233922950,Данные!$A$2:$A$722,"&lt;="&amp;77233924999)</f>
        <v>0</v>
      </c>
      <c r="AL86" s="65" t="n">
        <f aca="false">COUNTIFS(Данные!$B$2:$B$722,47,Данные!$C$2:$C$722,0,Данные!$A$2:$A$722,"&gt;="&amp;77234320000,Данные!$A$2:$A$722,"&lt;="&amp;77234320999)</f>
        <v>0</v>
      </c>
      <c r="AM86" s="65" t="n">
        <f aca="false">COUNTIFS(Данные!$B$2:$B$722,47,Данные!$C$2:$C$722,0,Данные!$A$2:$A$722,"&gt;="&amp;77234350000,Данные!$A$2:$A$722,"&lt;="&amp;77234350999)</f>
        <v>0</v>
      </c>
      <c r="AN86" s="65" t="n">
        <f aca="false">COUNTIFS(Данные!$B$2:$B$722,47,Данные!$C$2:$C$722,0,Данные!$A$2:$A$722,"&gt;="&amp;77234020000,Данные!$A$2:$A$722,"&lt;="&amp;77234020999)</f>
        <v>0</v>
      </c>
      <c r="AO86" s="65" t="n">
        <f aca="false">COUNTIFS(Данные!$B$2:$B$722,47,Данные!$C$2:$C$722,0,Данные!$A$2:$A$722,"&gt;="&amp;77234029000,Данные!$A$2:$A$722,"&lt;="&amp;77234029999)</f>
        <v>0</v>
      </c>
      <c r="AP86" s="65" t="n">
        <f aca="false">COUNTIFS(Данные!$B$2:$B$722,47,Данные!$C$2:$C$722,0,Данные!$A$2:$A$722,"&gt;="&amp;77234050000,Данные!$A$2:$A$722,"&lt;="&amp;77234050999)</f>
        <v>0</v>
      </c>
      <c r="AQ86" s="65" t="n">
        <f aca="false">COUNTIFS(Данные!$B$2:$B$722,47,Данные!$C$2:$C$722,0,Данные!$A$2:$A$722,"&gt;="&amp;77234427000,Данные!$A$2:$A$722,"&lt;="&amp;77234428999)</f>
        <v>0</v>
      </c>
      <c r="AR86" s="65" t="n">
        <f aca="false">COUNTIFS(Данные!$B$2:$B$722,47,Данные!$C$2:$C$722,0,Данные!$A$2:$A$722,"&gt;="&amp;77234450000,Данные!$A$2:$A$722,"&lt;="&amp;77234450999)</f>
        <v>0</v>
      </c>
      <c r="AS86" s="65" t="n">
        <f aca="false">COUNTIFS(Данные!$B$2:$B$722,47,Данные!$C$2:$C$722,0,Данные!$A$2:$A$722,"&gt;="&amp;77234620000,Данные!$A$2:$A$722,"&lt;="&amp;77234620999)</f>
        <v>0</v>
      </c>
      <c r="AT86" s="65" t="n">
        <f aca="false">COUNTIFS(Данные!$B$2:$B$722,47,Данные!$C$2:$C$722,0,Данные!$A$2:$A$722,"&gt;="&amp;77234650000,Данные!$A$2:$A$722,"&lt;="&amp;77234650999)</f>
        <v>0</v>
      </c>
      <c r="AU86" s="65" t="n">
        <f aca="false">COUNTIFS(Данные!$B$2:$B$722,47,Данные!$C$2:$C$722,0,Данные!$A$2:$A$722,"&gt;="&amp;77234820000,Данные!$A$2:$A$722,"&lt;="&amp;77234820999)</f>
        <v>0</v>
      </c>
      <c r="AV86" s="65" t="n">
        <f aca="false">COUNTIFS(Данные!$B$2:$B$722,47,Данные!$C$2:$C$722,0,Данные!$A$2:$A$722,"&gt;="&amp;77234850000,Данные!$A$2:$A$722,"&lt;="&amp;77234850999)</f>
        <v>0</v>
      </c>
      <c r="AW86" s="65" t="n">
        <f aca="false">COUNTIFS(Данные!$B$2:$B$722,47,Данные!$C$2:$C$722,0,Данные!$A$2:$A$722,"&gt;="&amp;77233327000,Данные!$A$2:$A$722,"&lt;="&amp;77233327999)</f>
        <v>0</v>
      </c>
      <c r="AX86" s="65" t="n">
        <f aca="false">COUNTIFS(Данные!$B$2:$B$722,47,Данные!$C$2:$C$722,0,Данные!$A$2:$A$722,"&gt;="&amp;77233350000,Данные!$A$2:$A$722,"&lt;="&amp;77233350599)</f>
        <v>0</v>
      </c>
      <c r="AY86" s="65" t="n">
        <f aca="false">COUNTIFS(Данные!$B$2:$B$722,47,Данные!$C$2:$C$722,0,Данные!$A$2:$A$722,"&gt;="&amp;77233351000,Данные!$A$2:$A$722,"&lt;="&amp;77233351999)</f>
        <v>0</v>
      </c>
      <c r="AZ86" s="66" t="n">
        <f aca="false">COUNTIFS(Данные!$B$2:$B$722,47,Данные!$C$2:$C$722,0,Данные!$A$2:$A$722,"&gt;="&amp;7722440000,Данные!$A$2:$A$722,"&lt;="&amp;7722440999)</f>
        <v>0</v>
      </c>
      <c r="BA86" s="66" t="n">
        <f aca="false">COUNTIFS(Данные!$B$2:$B$722,47,Данные!$C$2:$C$722,0,Данные!$A$2:$A$722,"&gt;="&amp;7722442000,Данные!$A$2:$A$722,"&lt;="&amp;7722445659)</f>
        <v>0</v>
      </c>
      <c r="BB86" s="66" t="n">
        <f aca="false">COUNTIFS(Данные!$B$2:$B$722,47,Данные!$C$2:$C$722,0,Данные!$A$2:$A$722,"&gt;="&amp;7722450000,Данные!$A$2:$A$722,"&lt;="&amp;7722450199)</f>
        <v>0</v>
      </c>
      <c r="BC86" s="66" t="n">
        <f aca="false">COUNTIFS(Данные!$B$2:$B$722,47,Данные!$C$2:$C$722,0,Данные!$A$2:$A$722,"&gt;="&amp;7722451000,Данные!$A$2:$A$722,"&lt;="&amp;7722451374)</f>
        <v>0</v>
      </c>
      <c r="BD86" s="66" t="n">
        <f aca="false">COUNTIFS(Данные!$B$2:$B$722,47,Данные!$C$2:$C$722,0,Данные!$A$2:$A$722,"&gt;="&amp;7722452000,Данные!$A$2:$A$722,"&lt;="&amp;7722452299)</f>
        <v>0</v>
      </c>
      <c r="BE86" s="66" t="n">
        <f aca="false">COUNTIFS(Данные!$B$2:$B$722,47,Данные!$C$2:$C$722,0,Данные!$A$2:$A$722,"&gt;="&amp;7722453000,Данные!$A$2:$A$722,"&lt;="&amp;7722453816)</f>
        <v>0</v>
      </c>
      <c r="BF86" s="66" t="n">
        <f aca="false">COUNTIFS(Данные!$B$2:$B$722,47,Данные!$C$2:$C$722,0,Данные!$A$2:$A$722,"&gt;="&amp;7722454000,Данные!$A$2:$A$722,"&lt;="&amp;7722454099)</f>
        <v>0</v>
      </c>
      <c r="BG86" s="66" t="n">
        <f aca="false">COUNTIFS(Данные!$B$2:$B$722,47,Данные!$C$2:$C$722,0,Данные!$A$2:$A$722,"&gt;="&amp;7722458000,Данные!$A$2:$A$722,"&lt;="&amp;7722458999)</f>
        <v>0</v>
      </c>
      <c r="BH86" s="66" t="n">
        <f aca="false">COUNTIFS(Данные!$B$2:$B$722,47,Данные!$C$2:$C$722,0,Данные!$A$2:$A$722,"&gt;="&amp;7722630000,Данные!$A$2:$A$722,"&lt;="&amp;7722638549)</f>
        <v>0</v>
      </c>
      <c r="BI86" s="66" t="n">
        <f aca="false">COUNTIFS(Данные!$B$2:$B$722,47,Данные!$C$2:$C$722,0,Данные!$A$2:$A$722,"&gt;="&amp;7722639400,Данные!$A$2:$A$722,"&lt;="&amp;7722639899)</f>
        <v>0</v>
      </c>
      <c r="BJ86" s="66" t="n">
        <f aca="false">COUNTIFS(Данные!$B$2:$B$722,47,Данные!$C$2:$C$722,0,Данные!$A$2:$A$722,"&gt;="&amp;7725750000,Данные!$A$2:$A$722,"&lt;="&amp;7725750399)</f>
        <v>0</v>
      </c>
      <c r="BK86" s="66" t="n">
        <f aca="false">COUNTIFS(Данные!$B$2:$B$722,47,Данные!$C$2:$C$722,0,Данные!$A$2:$A$722,"&gt;="&amp;7723620000,Данные!$A$2:$A$722,"&lt;="&amp;7723621299)</f>
        <v>0</v>
      </c>
      <c r="BL86" s="66" t="n">
        <f aca="false">COUNTIFS(Данные!$B$2:$B$722,47,Данные!$C$2:$C$722,0,Данные!$A$2:$A$722,"&gt;="&amp;7723621600,Данные!$A$2:$A$722,"&lt;="&amp;7723623399)</f>
        <v>0</v>
      </c>
      <c r="BM86" s="66" t="n">
        <f aca="false">COUNTIFS(Данные!$B$2:$B$722,47,Данные!$C$2:$C$722,0,Данные!$A$2:$A$722,"&gt;="&amp;7725127000,Данные!$A$2:$A$722,"&lt;="&amp;7725127999)</f>
        <v>0</v>
      </c>
      <c r="BN86" s="66" t="n">
        <f aca="false">COUNTIFS(Данные!$B$2:$B$722,47,Данные!$C$2:$C$722,0,Данные!$A$2:$A$722,"&gt;="&amp;7723772000,Данные!$A$2:$A$722,"&lt;="&amp;7723724999)</f>
        <v>0</v>
      </c>
      <c r="BO86" s="65" t="n">
        <f aca="false">COUNTIFS(Данные!$B$2:$B$722,47,Данные!$C$2:$C$722,0,Данные!$A$2:$A$722,"&gt;="&amp;7723765000,Данные!$A$2:$A$722,"&lt;="&amp;7723765499)</f>
        <v>0</v>
      </c>
      <c r="BP86" s="66" t="n">
        <f aca="false">COUNTIFS(Данные!$B$2:$B$722,47,Данные!$C$2:$C$722,0,Данные!$A$2:$A$722,"&gt;="&amp;7723948000,Данные!$A$2:$A$722,"&lt;="&amp;7723948999)</f>
        <v>0</v>
      </c>
      <c r="BQ86" s="66" t="n">
        <f aca="false">COUNTIFS(Данные!$B$2:$B$722,47,Данные!$C$2:$C$722,0,Данные!$A$2:$A$722,"&gt;="&amp;7723950000,Данные!$A$2:$A$722,"&lt;="&amp;7723951099)</f>
        <v>0</v>
      </c>
      <c r="BR86" s="66" t="n">
        <f aca="false">COUNTIFS(Данные!$B$2:$B$722,47,Данные!$C$2:$C$722,0,Данные!$A$2:$A$722,"&gt;="&amp;7723020000,Данные!$A$2:$A$722,"&lt;="&amp;7723020999)</f>
        <v>0</v>
      </c>
      <c r="BS86" s="66" t="n">
        <f aca="false">COUNTIFS(Данные!$B$2:$B$722,47,Данные!$C$2:$C$722,0,Данные!$A$2:$A$722,"&gt;="&amp;7723029000,Данные!$A$2:$A$722,"&lt;="&amp;7723029999)</f>
        <v>0</v>
      </c>
      <c r="BT86" s="66" t="n">
        <f aca="false">COUNTIFS(Данные!$B$2:$B$722,47,Данные!$C$2:$C$722,0,Данные!$A$2:$A$722,"&gt;="&amp;7723055000,Данные!$A$2:$A$722,"&lt;="&amp;7723056549)</f>
        <v>0</v>
      </c>
      <c r="BU86" s="65" t="n">
        <f aca="false">COUNTIFS(Данные!$B$2:$B$722,47,Данные!$C$2:$C$722,0,Данные!$A$2:$A$722,"&gt;="&amp;7725250000,Данные!$A$2:$A$722,"&lt;="&amp;7725250499)</f>
        <v>0</v>
      </c>
      <c r="BV86" s="66" t="n">
        <f aca="false">COUNTIFS(Данные!$B$2:$B$722,47,Данные!$C$2:$C$722,0,Данные!$A$2:$A$722,"&gt;="&amp;7183841400,Данные!$A$2:$A$722,"&lt;="&amp;7183841499)</f>
        <v>0</v>
      </c>
      <c r="BW86" s="49" t="n">
        <v>300</v>
      </c>
      <c r="BX86" s="67" t="n">
        <f aca="false">F86-BW86</f>
        <v>-300</v>
      </c>
    </row>
    <row r="87" s="15" customFormat="true" ht="12" hidden="false" customHeight="true" outlineLevel="0" collapsed="false">
      <c r="A87" s="47"/>
      <c r="B87" s="48"/>
      <c r="C87" s="50" t="n">
        <v>1</v>
      </c>
      <c r="D87" s="50" t="n">
        <v>471</v>
      </c>
      <c r="E87" s="51"/>
      <c r="F87" s="65" t="n">
        <f aca="false">COUNTIFS(Данные!$B$2:$B$722,47,Данные!$C$2:$C$722,1)</f>
        <v>0</v>
      </c>
      <c r="G87" s="65" t="n">
        <f aca="false">COUNTIFS(Данные!$B$2:$B$722,47,Данные!$C$2:$C$722,1,Данные!$A$2:$A$722,"&gt;="&amp;77232210840,Данные!$A$2:$A$722,"&lt;="&amp;77232216999)</f>
        <v>0</v>
      </c>
      <c r="H87" s="65" t="n">
        <f aca="false">COUNTIFS(Данные!$B$2:$B$722,47,Данные!$C$2:$C$722,1,Данные!$A$2:$A$722,"&gt;="&amp;77232510512,Данные!$A$2:$A$722,"&lt;="&amp;77232519487)</f>
        <v>0</v>
      </c>
      <c r="I87" s="65" t="n">
        <f aca="false">COUNTIFS(Данные!$B$2:$B$722,47,Данные!$C$2:$C$722,1,Данные!$A$2:$A$722,"&gt;="&amp;77232524160,Данные!$A$2:$A$722,"&lt;="&amp;77232529999)</f>
        <v>0</v>
      </c>
      <c r="J87" s="65" t="n">
        <f aca="false">COUNTIFS(Данные!$B$2:$B$722,47,Данные!$C$2:$C$722,1,Данные!$A$2:$A$722,"&gt;="&amp;77232544000,Данные!$A$2:$A$722,"&lt;="&amp;77232544999)</f>
        <v>0</v>
      </c>
      <c r="K87" s="65" t="n">
        <f aca="false">COUNTIFS(Данные!$B$2:$B$722,47,Данные!$C$2:$C$722,1,Данные!$A$2:$A$722,"&gt;="&amp;77232295504,Данные!$A$2:$A$722,"&lt;="&amp;77232296999)</f>
        <v>0</v>
      </c>
      <c r="L87" s="65" t="n">
        <f aca="false">COUNTIFS(Данные!$B$2:$B$722,47,Данные!$C$2:$C$722,1,Данные!$A$2:$A$722,"&gt;="&amp;77232785000,Данные!$A$2:$A$722,"&lt;="&amp;77232789999)</f>
        <v>0</v>
      </c>
      <c r="M87" s="65" t="n">
        <f aca="false">COUNTIFS(Данные!$B$2:$B$722,47,Данные!$C$2:$C$722,1,Данные!$A$2:$A$722,"&gt;="&amp;77233150000,Данные!$A$2:$A$722,"&lt;="&amp;77233155999)</f>
        <v>0</v>
      </c>
      <c r="N87" s="65" t="n">
        <f aca="false">COUNTIFS(Данные!$B$2:$B$722,47,Данные!$C$2:$C$722,1,Данные!$A$2:$A$722,"&gt;="&amp;77233235000,Данные!$A$2:$A$722,"&lt;="&amp;77233235999)</f>
        <v>0</v>
      </c>
      <c r="O87" s="65" t="n">
        <f aca="false">COUNTIFS(Данные!$B$2:$B$722,47,Данные!$C$2:$C$722,1,Данные!$A$2:$A$722,"&gt;="&amp;77233239000,Данные!$A$2:$A$722,"&lt;="&amp;77233239999)</f>
        <v>0</v>
      </c>
      <c r="P87" s="65" t="n">
        <f aca="false">COUNTIFS(Данные!$B$2:$B$722,47,Данные!$C$2:$C$722,1,Данные!$A$2:$A$722,"&gt;="&amp;77233272000,Данные!$A$2:$A$722,"&lt;="&amp;77233272999)</f>
        <v>0</v>
      </c>
      <c r="Q87" s="65" t="n">
        <f aca="false">COUNTIFS(Данные!$B$2:$B$722,47,Данные!$C$2:$C$722,1,Данные!$A$2:$A$722,"&gt;="&amp;77233291100,Данные!$A$2:$A$722,"&lt;="&amp;77233292999)</f>
        <v>0</v>
      </c>
      <c r="R87" s="65" t="n">
        <f aca="false">COUNTIFS(Данные!$B$2:$B$722,47,Данные!$C$2:$C$722,1,Данные!$A$2:$A$722,"&gt;="&amp;77233297000,Данные!$A$2:$A$722,"&lt;="&amp;77233298399)</f>
        <v>0</v>
      </c>
      <c r="S87" s="65" t="n">
        <f aca="false">COUNTIFS(Данные!$B$2:$B$722,47,Данные!$C$2:$C$722,1,Данные!$A$2:$A$722,"&gt;="&amp;77235124000,Данные!$A$2:$A$722,"&lt;="&amp;77235128499)</f>
        <v>0</v>
      </c>
      <c r="T87" s="65" t="n">
        <f aca="false">COUNTIFS(Данные!$B$2:$B$722,47,Данные!$C$2:$C$722,1,Данные!$A$2:$A$722,"&gt;="&amp;77235320000,Данные!$A$2:$A$722,"&lt;="&amp;77235320999)</f>
        <v>0</v>
      </c>
      <c r="U87" s="65" t="n">
        <f aca="false">COUNTIFS(Данные!$B$2:$B$722,47,Данные!$C$2:$C$722,1,Данные!$A$2:$A$722,"&gt;="&amp;77233620000,Данные!$A$2:$A$722,"&lt;="&amp;77233623339)</f>
        <v>0</v>
      </c>
      <c r="V87" s="65" t="n">
        <f aca="false">COUNTIFS(Данные!$B$2:$B$722,47,Данные!$C$2:$C$722,1,Данные!$A$2:$A$722,"&gt;="&amp;77233630000,Данные!$A$2:$A$722,"&lt;="&amp;77233630999)</f>
        <v>0</v>
      </c>
      <c r="W87" s="65" t="n">
        <f aca="false">COUNTIFS(Данные!$B$2:$B$722,47,Данные!$C$2:$C$722,1,Данные!$A$2:$A$722,"&gt;="&amp;77233637000,Данные!$A$2:$A$722,"&lt;="&amp;77233637599)</f>
        <v>0</v>
      </c>
      <c r="X87" s="65" t="n">
        <f aca="false">COUNTIFS(Данные!$B$2:$B$722,47,Данные!$C$2:$C$722,1,Данные!$A$2:$A$722,"&gt;="&amp;77233550000,Данные!$A$2:$A$722,"&lt;="&amp;77233550999)</f>
        <v>0</v>
      </c>
      <c r="Y87" s="65" t="n">
        <f aca="false">COUNTIFS(Данные!$B$2:$B$722,47,Данные!$C$2:$C$722,1,Данные!$A$2:$A$722,"&gt;="&amp;77233554000,Данные!$A$2:$A$722,"&lt;="&amp;77233554999)</f>
        <v>0</v>
      </c>
      <c r="Z87" s="65" t="n">
        <f aca="false">COUNTIFS(Данные!$B$2:$B$722,47,Данные!$C$2:$C$722,1,Данные!$A$2:$A$722,"&gt;="&amp;77233555000,Данные!$A$2:$A$722,"&lt;="&amp;77233556999)</f>
        <v>0</v>
      </c>
      <c r="AA87" s="65" t="n">
        <f aca="false">COUNTIFS(Данные!$B$2:$B$722,47,Данные!$C$2:$C$722,1,Данные!$A$2:$A$722,"&gt;="&amp;77233726000,Данные!$A$2:$A$722,"&lt;="&amp;77233726999)</f>
        <v>0</v>
      </c>
      <c r="AB87" s="65" t="n">
        <f aca="false">COUNTIFS(Данные!$B$2:$B$722,47,Данные!$C$2:$C$722,1,Данные!$A$2:$A$722,"&gt;="&amp;77233820000,Данные!$A$2:$A$722,"&lt;="&amp;77233820999)</f>
        <v>0</v>
      </c>
      <c r="AC87" s="65" t="n">
        <f aca="false">COUNTIFS(Данные!$B$2:$B$722,47,Данные!$C$2:$C$722,1,Данные!$A$2:$A$722,"&gt;="&amp;77233850000,Данные!$A$2:$A$722,"&lt;="&amp;77233850999)</f>
        <v>0</v>
      </c>
      <c r="AD87" s="65" t="n">
        <f aca="false">COUNTIFS(Данные!$B$2:$B$722,47,Данные!$C$2:$C$722,1,Данные!$A$2:$A$722,"&gt;="&amp;77233420000,Данные!$A$2:$A$722,"&lt;="&amp;77233420999)</f>
        <v>0</v>
      </c>
      <c r="AE87" s="65" t="n">
        <f aca="false">COUNTIFS(Данные!$B$2:$B$722,47,Данные!$C$2:$C$722,1,Данные!$A$2:$A$722,"&gt;="&amp;77234740000,Данные!$A$2:$A$722,"&lt;="&amp;77234742999)</f>
        <v>0</v>
      </c>
      <c r="AF87" s="65" t="n">
        <f aca="false">COUNTIFS(Данные!$B$2:$B$722,47,Данные!$C$2:$C$722,1,Данные!$A$2:$A$722,"&gt;="&amp;77234767000,Данные!$A$2:$A$722,"&lt;="&amp;77234767999)</f>
        <v>0</v>
      </c>
      <c r="AG87" s="65" t="n">
        <f aca="false">COUNTIFS(Данные!$B$2:$B$722,47,Данные!$C$2:$C$722,1,Данные!$A$2:$A$722,"&gt;="&amp;77234120000,Данные!$A$2:$A$722,"&lt;="&amp;77234120999)</f>
        <v>0</v>
      </c>
      <c r="AH87" s="65" t="n">
        <f aca="false">COUNTIFS(Данные!$B$2:$B$722,47,Данные!$C$2:$C$722,1,Данные!$A$2:$A$722,"&gt;="&amp;77234127000,Данные!$A$2:$A$722,"&lt;="&amp;77234127999)</f>
        <v>0</v>
      </c>
      <c r="AI87" s="65" t="n">
        <f aca="false">COUNTIFS(Данные!$B$2:$B$722,47,Данные!$C$2:$C$722,1,Данные!$A$2:$A$722,"&gt;="&amp;77234220000,Данные!$A$2:$A$722,"&lt;="&amp;77234220999)</f>
        <v>0</v>
      </c>
      <c r="AJ87" s="65" t="n">
        <f aca="false">COUNTIFS(Данные!$B$2:$B$722,47,Данные!$C$2:$C$722,1,Данные!$A$2:$A$722,"&gt;="&amp;77234250000,Данные!$A$2:$A$722,"&lt;="&amp;77234250999)</f>
        <v>0</v>
      </c>
      <c r="AK87" s="65" t="n">
        <f aca="false">COUNTIFS(Данные!$B$2:$B$722,47,Данные!$C$2:$C$722,1,Данные!$A$2:$A$722,"&gt;="&amp;77233922950,Данные!$A$2:$A$722,"&lt;="&amp;77233924999)</f>
        <v>0</v>
      </c>
      <c r="AL87" s="65" t="n">
        <f aca="false">COUNTIFS(Данные!$B$2:$B$722,47,Данные!$C$2:$C$722,1,Данные!$A$2:$A$722,"&gt;="&amp;77234320000,Данные!$A$2:$A$722,"&lt;="&amp;77234320999)</f>
        <v>0</v>
      </c>
      <c r="AM87" s="65" t="n">
        <f aca="false">COUNTIFS(Данные!$B$2:$B$722,47,Данные!$C$2:$C$722,1,Данные!$A$2:$A$722,"&gt;="&amp;77234350000,Данные!$A$2:$A$722,"&lt;="&amp;77234350999)</f>
        <v>0</v>
      </c>
      <c r="AN87" s="65" t="n">
        <f aca="false">COUNTIFS(Данные!$B$2:$B$722,47,Данные!$C$2:$C$722,1,Данные!$A$2:$A$722,"&gt;="&amp;77234020000,Данные!$A$2:$A$722,"&lt;="&amp;77234020999)</f>
        <v>0</v>
      </c>
      <c r="AO87" s="65" t="n">
        <f aca="false">COUNTIFS(Данные!$B$2:$B$722,47,Данные!$C$2:$C$722,1,Данные!$A$2:$A$722,"&gt;="&amp;77234029000,Данные!$A$2:$A$722,"&lt;="&amp;77234029999)</f>
        <v>0</v>
      </c>
      <c r="AP87" s="65" t="n">
        <f aca="false">COUNTIFS(Данные!$B$2:$B$722,47,Данные!$C$2:$C$722,1,Данные!$A$2:$A$722,"&gt;="&amp;77234050000,Данные!$A$2:$A$722,"&lt;="&amp;77234050999)</f>
        <v>0</v>
      </c>
      <c r="AQ87" s="65" t="n">
        <f aca="false">COUNTIFS(Данные!$B$2:$B$722,47,Данные!$C$2:$C$722,1,Данные!$A$2:$A$722,"&gt;="&amp;77234427000,Данные!$A$2:$A$722,"&lt;="&amp;77234428999)</f>
        <v>0</v>
      </c>
      <c r="AR87" s="65" t="n">
        <f aca="false">COUNTIFS(Данные!$B$2:$B$722,47,Данные!$C$2:$C$722,1,Данные!$A$2:$A$722,"&gt;="&amp;77234450000,Данные!$A$2:$A$722,"&lt;="&amp;77234450999)</f>
        <v>0</v>
      </c>
      <c r="AS87" s="65" t="n">
        <f aca="false">COUNTIFS(Данные!$B$2:$B$722,47,Данные!$C$2:$C$722,1,Данные!$A$2:$A$722,"&gt;="&amp;77234620000,Данные!$A$2:$A$722,"&lt;="&amp;77234620999)</f>
        <v>0</v>
      </c>
      <c r="AT87" s="65" t="n">
        <f aca="false">COUNTIFS(Данные!$B$2:$B$722,47,Данные!$C$2:$C$722,1,Данные!$A$2:$A$722,"&gt;="&amp;77234650000,Данные!$A$2:$A$722,"&lt;="&amp;77234650999)</f>
        <v>0</v>
      </c>
      <c r="AU87" s="65" t="n">
        <f aca="false">COUNTIFS(Данные!$B$2:$B$722,47,Данные!$C$2:$C$722,1,Данные!$A$2:$A$722,"&gt;="&amp;77234820000,Данные!$A$2:$A$722,"&lt;="&amp;77234820999)</f>
        <v>0</v>
      </c>
      <c r="AV87" s="65" t="n">
        <f aca="false">COUNTIFS(Данные!$B$2:$B$722,47,Данные!$C$2:$C$722,1,Данные!$A$2:$A$722,"&gt;="&amp;77234850000,Данные!$A$2:$A$722,"&lt;="&amp;77234850999)</f>
        <v>0</v>
      </c>
      <c r="AW87" s="65" t="n">
        <f aca="false">COUNTIFS(Данные!$B$2:$B$722,47,Данные!$C$2:$C$722,1,Данные!$A$2:$A$722,"&gt;="&amp;77233327000,Данные!$A$2:$A$722,"&lt;="&amp;77233327999)</f>
        <v>0</v>
      </c>
      <c r="AX87" s="65" t="n">
        <f aca="false">COUNTIFS(Данные!$B$2:$B$722,47,Данные!$C$2:$C$722,1,Данные!$A$2:$A$722,"&gt;="&amp;77233350000,Данные!$A$2:$A$722,"&lt;="&amp;77233350599)</f>
        <v>0</v>
      </c>
      <c r="AY87" s="65" t="n">
        <f aca="false">COUNTIFS(Данные!$B$2:$B$722,47,Данные!$C$2:$C$722,1,Данные!$A$2:$A$722,"&gt;="&amp;77233351000,Данные!$A$2:$A$722,"&lt;="&amp;77233351999)</f>
        <v>0</v>
      </c>
      <c r="AZ87" s="66" t="n">
        <f aca="false">COUNTIFS(Данные!$B$2:$B$722,47,Данные!$C$2:$C$722,1,Данные!$A$2:$A$722,"&gt;="&amp;7722440000,Данные!$A$2:$A$722,"&lt;="&amp;7722440999)</f>
        <v>0</v>
      </c>
      <c r="BA87" s="66" t="n">
        <f aca="false">COUNTIFS(Данные!$B$2:$B$722,47,Данные!$C$2:$C$722,1,Данные!$A$2:$A$722,"&gt;="&amp;7722442000,Данные!$A$2:$A$722,"&lt;="&amp;7722445659)</f>
        <v>0</v>
      </c>
      <c r="BB87" s="66" t="n">
        <f aca="false">COUNTIFS(Данные!$B$2:$B$722,47,Данные!$C$2:$C$722,1,Данные!$A$2:$A$722,"&gt;="&amp;7722450000,Данные!$A$2:$A$722,"&lt;="&amp;7722450199)</f>
        <v>0</v>
      </c>
      <c r="BC87" s="66" t="n">
        <f aca="false">COUNTIFS(Данные!$B$2:$B$722,47,Данные!$C$2:$C$722,1,Данные!$A$2:$A$722,"&gt;="&amp;7722451000,Данные!$A$2:$A$722,"&lt;="&amp;7722451374)</f>
        <v>0</v>
      </c>
      <c r="BD87" s="66" t="n">
        <f aca="false">COUNTIFS(Данные!$B$2:$B$722,47,Данные!$C$2:$C$722,1,Данные!$A$2:$A$722,"&gt;="&amp;7722452000,Данные!$A$2:$A$722,"&lt;="&amp;7722452299)</f>
        <v>0</v>
      </c>
      <c r="BE87" s="66" t="n">
        <f aca="false">COUNTIFS(Данные!$B$2:$B$722,47,Данные!$C$2:$C$722,1,Данные!$A$2:$A$722,"&gt;="&amp;7722453000,Данные!$A$2:$A$722,"&lt;="&amp;7722453816)</f>
        <v>0</v>
      </c>
      <c r="BF87" s="66" t="n">
        <f aca="false">COUNTIFS(Данные!$B$2:$B$722,47,Данные!$C$2:$C$722,1,Данные!$A$2:$A$722,"&gt;="&amp;7722454000,Данные!$A$2:$A$722,"&lt;="&amp;7722454099)</f>
        <v>0</v>
      </c>
      <c r="BG87" s="66" t="n">
        <f aca="false">COUNTIFS(Данные!$B$2:$B$722,47,Данные!$C$2:$C$722,1,Данные!$A$2:$A$722,"&gt;="&amp;7722458000,Данные!$A$2:$A$722,"&lt;="&amp;7722458999)</f>
        <v>0</v>
      </c>
      <c r="BH87" s="66" t="n">
        <f aca="false">COUNTIFS(Данные!$B$2:$B$722,47,Данные!$C$2:$C$722,1,Данные!$A$2:$A$722,"&gt;="&amp;7722630000,Данные!$A$2:$A$722,"&lt;="&amp;7722638549)</f>
        <v>0</v>
      </c>
      <c r="BI87" s="66" t="n">
        <f aca="false">COUNTIFS(Данные!$B$2:$B$722,47,Данные!$C$2:$C$722,1,Данные!$A$2:$A$722,"&gt;="&amp;7722639400,Данные!$A$2:$A$722,"&lt;="&amp;7722639899)</f>
        <v>0</v>
      </c>
      <c r="BJ87" s="66" t="n">
        <f aca="false">COUNTIFS(Данные!$B$2:$B$722,47,Данные!$C$2:$C$722,1,Данные!$A$2:$A$722,"&gt;="&amp;7725750000,Данные!$A$2:$A$722,"&lt;="&amp;7725750399)</f>
        <v>0</v>
      </c>
      <c r="BK87" s="66" t="n">
        <f aca="false">COUNTIFS(Данные!$B$2:$B$722,47,Данные!$C$2:$C$722,1,Данные!$A$2:$A$722,"&gt;="&amp;7723620000,Данные!$A$2:$A$722,"&lt;="&amp;7723621299)</f>
        <v>0</v>
      </c>
      <c r="BL87" s="66" t="n">
        <f aca="false">COUNTIFS(Данные!$B$2:$B$722,47,Данные!$C$2:$C$722,1,Данные!$A$2:$A$722,"&gt;="&amp;7723621600,Данные!$A$2:$A$722,"&lt;="&amp;7723623399)</f>
        <v>0</v>
      </c>
      <c r="BM87" s="66" t="n">
        <f aca="false">COUNTIFS(Данные!$B$2:$B$722,47,Данные!$C$2:$C$722,1,Данные!$A$2:$A$722,"&gt;="&amp;7725127000,Данные!$A$2:$A$722,"&lt;="&amp;7725127999)</f>
        <v>0</v>
      </c>
      <c r="BN87" s="66" t="n">
        <f aca="false">COUNTIFS(Данные!$B$2:$B$722,47,Данные!$C$2:$C$722,1,Данные!$A$2:$A$722,"&gt;="&amp;7723772000,Данные!$A$2:$A$722,"&lt;="&amp;7723724999)</f>
        <v>0</v>
      </c>
      <c r="BO87" s="65" t="n">
        <f aca="false">COUNTIFS(Данные!$B$2:$B$722,47,Данные!$C$2:$C$722,1,Данные!$A$2:$A$722,"&gt;="&amp;7723765000,Данные!$A$2:$A$722,"&lt;="&amp;7723765499)</f>
        <v>0</v>
      </c>
      <c r="BP87" s="66" t="n">
        <f aca="false">COUNTIFS(Данные!$B$2:$B$722,47,Данные!$C$2:$C$722,1,Данные!$A$2:$A$722,"&gt;="&amp;7723948000,Данные!$A$2:$A$722,"&lt;="&amp;7723948999)</f>
        <v>0</v>
      </c>
      <c r="BQ87" s="66" t="n">
        <f aca="false">COUNTIFS(Данные!$B$2:$B$722,47,Данные!$C$2:$C$722,1,Данные!$A$2:$A$722,"&gt;="&amp;7723950000,Данные!$A$2:$A$722,"&lt;="&amp;7723951099)</f>
        <v>0</v>
      </c>
      <c r="BR87" s="66" t="n">
        <f aca="false">COUNTIFS(Данные!$B$2:$B$722,47,Данные!$C$2:$C$722,1,Данные!$A$2:$A$722,"&gt;="&amp;7723020000,Данные!$A$2:$A$722,"&lt;="&amp;7723020999)</f>
        <v>0</v>
      </c>
      <c r="BS87" s="66" t="n">
        <f aca="false">COUNTIFS(Данные!$B$2:$B$722,47,Данные!$C$2:$C$722,1,Данные!$A$2:$A$722,"&gt;="&amp;7723029000,Данные!$A$2:$A$722,"&lt;="&amp;7723029999)</f>
        <v>0</v>
      </c>
      <c r="BT87" s="66" t="n">
        <f aca="false">COUNTIFS(Данные!$B$2:$B$722,47,Данные!$C$2:$C$722,1,Данные!$A$2:$A$722,"&gt;="&amp;7723055000,Данные!$A$2:$A$722,"&lt;="&amp;7723056549)</f>
        <v>0</v>
      </c>
      <c r="BU87" s="65" t="n">
        <f aca="false">COUNTIFS(Данные!$B$2:$B$722,47,Данные!$C$2:$C$722,1,Данные!$A$2:$A$722,"&gt;="&amp;7725250000,Данные!$A$2:$A$722,"&lt;="&amp;7725250499)</f>
        <v>0</v>
      </c>
      <c r="BV87" s="66" t="n">
        <f aca="false">COUNTIFS(Данные!$B$2:$B$722,47,Данные!$C$2:$C$722,1,Данные!$A$2:$A$722,"&gt;="&amp;7183841400,Данные!$A$2:$A$722,"&lt;="&amp;7183841499)</f>
        <v>0</v>
      </c>
      <c r="BW87" s="49" t="n">
        <v>300</v>
      </c>
      <c r="BX87" s="67" t="n">
        <f aca="false">F87-BW87</f>
        <v>-300</v>
      </c>
    </row>
    <row r="88" s="15" customFormat="true" ht="12" hidden="false" customHeight="true" outlineLevel="0" collapsed="false">
      <c r="A88" s="47"/>
      <c r="B88" s="48"/>
      <c r="C88" s="50" t="n">
        <v>2</v>
      </c>
      <c r="D88" s="50" t="n">
        <v>472</v>
      </c>
      <c r="E88" s="51"/>
      <c r="F88" s="65" t="n">
        <f aca="false">COUNTIFS(Данные!$B$2:$B$722,47,Данные!$C$2:$C$722,2)</f>
        <v>0</v>
      </c>
      <c r="G88" s="65" t="n">
        <f aca="false">COUNTIFS(Данные!$B$2:$B$722,47,Данные!$C$2:$C$722,2,Данные!$A$2:$A$722,"&gt;="&amp;77232210840,Данные!$A$2:$A$722,"&lt;="&amp;77232216999)</f>
        <v>0</v>
      </c>
      <c r="H88" s="65" t="n">
        <f aca="false">COUNTIFS(Данные!$B$2:$B$722,47,Данные!$C$2:$C$722,2,Данные!$A$2:$A$722,"&gt;="&amp;77232510512,Данные!$A$2:$A$722,"&lt;="&amp;77232519487)</f>
        <v>0</v>
      </c>
      <c r="I88" s="65" t="n">
        <f aca="false">COUNTIFS(Данные!$B$2:$B$722,47,Данные!$C$2:$C$722,2,Данные!$A$2:$A$722,"&gt;="&amp;77232524160,Данные!$A$2:$A$722,"&lt;="&amp;77232529999)</f>
        <v>0</v>
      </c>
      <c r="J88" s="65" t="n">
        <f aca="false">COUNTIFS(Данные!$B$2:$B$722,47,Данные!$C$2:$C$722,2,Данные!$A$2:$A$722,"&gt;="&amp;77232544000,Данные!$A$2:$A$722,"&lt;="&amp;77232544999)</f>
        <v>0</v>
      </c>
      <c r="K88" s="65" t="n">
        <f aca="false">COUNTIFS(Данные!$B$2:$B$722,47,Данные!$C$2:$C$722,2,Данные!$A$2:$A$722,"&gt;="&amp;77232295504,Данные!$A$2:$A$722,"&lt;="&amp;77232296999)</f>
        <v>0</v>
      </c>
      <c r="L88" s="65" t="n">
        <f aca="false">COUNTIFS(Данные!$B$2:$B$722,47,Данные!$C$2:$C$722,2,Данные!$A$2:$A$722,"&gt;="&amp;77232785000,Данные!$A$2:$A$722,"&lt;="&amp;77232789999)</f>
        <v>0</v>
      </c>
      <c r="M88" s="65" t="n">
        <f aca="false">COUNTIFS(Данные!$B$2:$B$722,47,Данные!$C$2:$C$722,2,Данные!$A$2:$A$722,"&gt;="&amp;77233150000,Данные!$A$2:$A$722,"&lt;="&amp;77233155999)</f>
        <v>0</v>
      </c>
      <c r="N88" s="65" t="n">
        <f aca="false">COUNTIFS(Данные!$B$2:$B$722,47,Данные!$C$2:$C$722,2,Данные!$A$2:$A$722,"&gt;="&amp;77233235000,Данные!$A$2:$A$722,"&lt;="&amp;77233235999)</f>
        <v>0</v>
      </c>
      <c r="O88" s="65" t="n">
        <f aca="false">COUNTIFS(Данные!$B$2:$B$722,47,Данные!$C$2:$C$722,2,Данные!$A$2:$A$722,"&gt;="&amp;77233239000,Данные!$A$2:$A$722,"&lt;="&amp;77233239999)</f>
        <v>0</v>
      </c>
      <c r="P88" s="65" t="n">
        <f aca="false">COUNTIFS(Данные!$B$2:$B$722,47,Данные!$C$2:$C$722,2,Данные!$A$2:$A$722,"&gt;="&amp;77233272000,Данные!$A$2:$A$722,"&lt;="&amp;77233272999)</f>
        <v>0</v>
      </c>
      <c r="Q88" s="65" t="n">
        <f aca="false">COUNTIFS(Данные!$B$2:$B$722,47,Данные!$C$2:$C$722,2,Данные!$A$2:$A$722,"&gt;="&amp;77233291100,Данные!$A$2:$A$722,"&lt;="&amp;77233292999)</f>
        <v>0</v>
      </c>
      <c r="R88" s="65" t="n">
        <f aca="false">COUNTIFS(Данные!$B$2:$B$722,47,Данные!$C$2:$C$722,2,Данные!$A$2:$A$722,"&gt;="&amp;77233297000,Данные!$A$2:$A$722,"&lt;="&amp;77233298399)</f>
        <v>0</v>
      </c>
      <c r="S88" s="65" t="n">
        <f aca="false">COUNTIFS(Данные!$B$2:$B$722,47,Данные!$C$2:$C$722,2,Данные!$A$2:$A$722,"&gt;="&amp;77235124000,Данные!$A$2:$A$722,"&lt;="&amp;77235128499)</f>
        <v>0</v>
      </c>
      <c r="T88" s="65" t="n">
        <f aca="false">COUNTIFS(Данные!$B$2:$B$722,47,Данные!$C$2:$C$722,2,Данные!$A$2:$A$722,"&gt;="&amp;77235320000,Данные!$A$2:$A$722,"&lt;="&amp;77235320999)</f>
        <v>0</v>
      </c>
      <c r="U88" s="65" t="n">
        <f aca="false">COUNTIFS(Данные!$B$2:$B$722,47,Данные!$C$2:$C$722,2,Данные!$A$2:$A$722,"&gt;="&amp;77233620000,Данные!$A$2:$A$722,"&lt;="&amp;77233623339)</f>
        <v>0</v>
      </c>
      <c r="V88" s="65" t="n">
        <f aca="false">COUNTIFS(Данные!$B$2:$B$722,47,Данные!$C$2:$C$722,2,Данные!$A$2:$A$722,"&gt;="&amp;77233630000,Данные!$A$2:$A$722,"&lt;="&amp;77233630999)</f>
        <v>0</v>
      </c>
      <c r="W88" s="65" t="n">
        <f aca="false">COUNTIFS(Данные!$B$2:$B$722,47,Данные!$C$2:$C$722,2,Данные!$A$2:$A$722,"&gt;="&amp;77233637000,Данные!$A$2:$A$722,"&lt;="&amp;77233637599)</f>
        <v>0</v>
      </c>
      <c r="X88" s="65" t="n">
        <f aca="false">COUNTIFS(Данные!$B$2:$B$722,47,Данные!$C$2:$C$722,2,Данные!$A$2:$A$722,"&gt;="&amp;77233550000,Данные!$A$2:$A$722,"&lt;="&amp;77233550999)</f>
        <v>0</v>
      </c>
      <c r="Y88" s="65" t="n">
        <f aca="false">COUNTIFS(Данные!$B$2:$B$722,47,Данные!$C$2:$C$722,2,Данные!$A$2:$A$722,"&gt;="&amp;77233554000,Данные!$A$2:$A$722,"&lt;="&amp;77233554999)</f>
        <v>0</v>
      </c>
      <c r="Z88" s="65" t="n">
        <f aca="false">COUNTIFS(Данные!$B$2:$B$722,47,Данные!$C$2:$C$722,2,Данные!$A$2:$A$722,"&gt;="&amp;77233555000,Данные!$A$2:$A$722,"&lt;="&amp;77233556999)</f>
        <v>0</v>
      </c>
      <c r="AA88" s="65" t="n">
        <f aca="false">COUNTIFS(Данные!$B$2:$B$722,47,Данные!$C$2:$C$722,2,Данные!$A$2:$A$722,"&gt;="&amp;77233726000,Данные!$A$2:$A$722,"&lt;="&amp;77233726999)</f>
        <v>0</v>
      </c>
      <c r="AB88" s="65" t="n">
        <f aca="false">COUNTIFS(Данные!$B$2:$B$722,47,Данные!$C$2:$C$722,2,Данные!$A$2:$A$722,"&gt;="&amp;77233820000,Данные!$A$2:$A$722,"&lt;="&amp;77233820999)</f>
        <v>0</v>
      </c>
      <c r="AC88" s="65" t="n">
        <f aca="false">COUNTIFS(Данные!$B$2:$B$722,47,Данные!$C$2:$C$722,2,Данные!$A$2:$A$722,"&gt;="&amp;77233850000,Данные!$A$2:$A$722,"&lt;="&amp;77233850999)</f>
        <v>0</v>
      </c>
      <c r="AD88" s="65" t="n">
        <f aca="false">COUNTIFS(Данные!$B$2:$B$722,47,Данные!$C$2:$C$722,2,Данные!$A$2:$A$722,"&gt;="&amp;77233420000,Данные!$A$2:$A$722,"&lt;="&amp;77233420999)</f>
        <v>0</v>
      </c>
      <c r="AE88" s="65" t="n">
        <f aca="false">COUNTIFS(Данные!$B$2:$B$722,47,Данные!$C$2:$C$722,2,Данные!$A$2:$A$722,"&gt;="&amp;77234740000,Данные!$A$2:$A$722,"&lt;="&amp;77234742999)</f>
        <v>0</v>
      </c>
      <c r="AF88" s="65" t="n">
        <f aca="false">COUNTIFS(Данные!$B$2:$B$722,47,Данные!$C$2:$C$722,2,Данные!$A$2:$A$722,"&gt;="&amp;77234767000,Данные!$A$2:$A$722,"&lt;="&amp;77234767999)</f>
        <v>0</v>
      </c>
      <c r="AG88" s="65" t="n">
        <f aca="false">COUNTIFS(Данные!$B$2:$B$722,47,Данные!$C$2:$C$722,2,Данные!$A$2:$A$722,"&gt;="&amp;77234120000,Данные!$A$2:$A$722,"&lt;="&amp;77234120999)</f>
        <v>0</v>
      </c>
      <c r="AH88" s="65" t="n">
        <f aca="false">COUNTIFS(Данные!$B$2:$B$722,47,Данные!$C$2:$C$722,2,Данные!$A$2:$A$722,"&gt;="&amp;77234127000,Данные!$A$2:$A$722,"&lt;="&amp;77234127999)</f>
        <v>0</v>
      </c>
      <c r="AI88" s="65" t="n">
        <f aca="false">COUNTIFS(Данные!$B$2:$B$722,47,Данные!$C$2:$C$722,2,Данные!$A$2:$A$722,"&gt;="&amp;77234220000,Данные!$A$2:$A$722,"&lt;="&amp;77234220999)</f>
        <v>0</v>
      </c>
      <c r="AJ88" s="65" t="n">
        <f aca="false">COUNTIFS(Данные!$B$2:$B$722,47,Данные!$C$2:$C$722,2,Данные!$A$2:$A$722,"&gt;="&amp;77234250000,Данные!$A$2:$A$722,"&lt;="&amp;77234250999)</f>
        <v>0</v>
      </c>
      <c r="AK88" s="65" t="n">
        <f aca="false">COUNTIFS(Данные!$B$2:$B$722,47,Данные!$C$2:$C$722,2,Данные!$A$2:$A$722,"&gt;="&amp;77233922950,Данные!$A$2:$A$722,"&lt;="&amp;77233924999)</f>
        <v>0</v>
      </c>
      <c r="AL88" s="65" t="n">
        <f aca="false">COUNTIFS(Данные!$B$2:$B$722,47,Данные!$C$2:$C$722,2,Данные!$A$2:$A$722,"&gt;="&amp;77234320000,Данные!$A$2:$A$722,"&lt;="&amp;77234320999)</f>
        <v>0</v>
      </c>
      <c r="AM88" s="65" t="n">
        <f aca="false">COUNTIFS(Данные!$B$2:$B$722,47,Данные!$C$2:$C$722,2,Данные!$A$2:$A$722,"&gt;="&amp;77234350000,Данные!$A$2:$A$722,"&lt;="&amp;77234350999)</f>
        <v>0</v>
      </c>
      <c r="AN88" s="65" t="n">
        <f aca="false">COUNTIFS(Данные!$B$2:$B$722,47,Данные!$C$2:$C$722,2,Данные!$A$2:$A$722,"&gt;="&amp;77234020000,Данные!$A$2:$A$722,"&lt;="&amp;77234020999)</f>
        <v>0</v>
      </c>
      <c r="AO88" s="65" t="n">
        <f aca="false">COUNTIFS(Данные!$B$2:$B$722,47,Данные!$C$2:$C$722,2,Данные!$A$2:$A$722,"&gt;="&amp;77234029000,Данные!$A$2:$A$722,"&lt;="&amp;77234029999)</f>
        <v>0</v>
      </c>
      <c r="AP88" s="65" t="n">
        <f aca="false">COUNTIFS(Данные!$B$2:$B$722,47,Данные!$C$2:$C$722,2,Данные!$A$2:$A$722,"&gt;="&amp;77234050000,Данные!$A$2:$A$722,"&lt;="&amp;77234050999)</f>
        <v>0</v>
      </c>
      <c r="AQ88" s="65" t="n">
        <f aca="false">COUNTIFS(Данные!$B$2:$B$722,47,Данные!$C$2:$C$722,2,Данные!$A$2:$A$722,"&gt;="&amp;77234427000,Данные!$A$2:$A$722,"&lt;="&amp;77234428999)</f>
        <v>0</v>
      </c>
      <c r="AR88" s="65" t="n">
        <f aca="false">COUNTIFS(Данные!$B$2:$B$722,47,Данные!$C$2:$C$722,2,Данные!$A$2:$A$722,"&gt;="&amp;77234450000,Данные!$A$2:$A$722,"&lt;="&amp;77234450999)</f>
        <v>0</v>
      </c>
      <c r="AS88" s="65" t="n">
        <f aca="false">COUNTIFS(Данные!$B$2:$B$722,47,Данные!$C$2:$C$722,2,Данные!$A$2:$A$722,"&gt;="&amp;77234620000,Данные!$A$2:$A$722,"&lt;="&amp;77234620999)</f>
        <v>0</v>
      </c>
      <c r="AT88" s="65" t="n">
        <f aca="false">COUNTIFS(Данные!$B$2:$B$722,47,Данные!$C$2:$C$722,2,Данные!$A$2:$A$722,"&gt;="&amp;77234650000,Данные!$A$2:$A$722,"&lt;="&amp;77234650999)</f>
        <v>0</v>
      </c>
      <c r="AU88" s="65" t="n">
        <f aca="false">COUNTIFS(Данные!$B$2:$B$722,47,Данные!$C$2:$C$722,2,Данные!$A$2:$A$722,"&gt;="&amp;77234820000,Данные!$A$2:$A$722,"&lt;="&amp;77234820999)</f>
        <v>0</v>
      </c>
      <c r="AV88" s="65" t="n">
        <f aca="false">COUNTIFS(Данные!$B$2:$B$722,47,Данные!$C$2:$C$722,2,Данные!$A$2:$A$722,"&gt;="&amp;77234850000,Данные!$A$2:$A$722,"&lt;="&amp;77234850999)</f>
        <v>0</v>
      </c>
      <c r="AW88" s="65" t="n">
        <f aca="false">COUNTIFS(Данные!$B$2:$B$722,47,Данные!$C$2:$C$722,2,Данные!$A$2:$A$722,"&gt;="&amp;77233327000,Данные!$A$2:$A$722,"&lt;="&amp;77233327999)</f>
        <v>0</v>
      </c>
      <c r="AX88" s="65" t="n">
        <f aca="false">COUNTIFS(Данные!$B$2:$B$722,47,Данные!$C$2:$C$722,2,Данные!$A$2:$A$722,"&gt;="&amp;77233350000,Данные!$A$2:$A$722,"&lt;="&amp;77233350599)</f>
        <v>0</v>
      </c>
      <c r="AY88" s="65" t="n">
        <f aca="false">COUNTIFS(Данные!$B$2:$B$722,47,Данные!$C$2:$C$722,2,Данные!$A$2:$A$722,"&gt;="&amp;77233351000,Данные!$A$2:$A$722,"&lt;="&amp;77233351999)</f>
        <v>0</v>
      </c>
      <c r="AZ88" s="66" t="n">
        <f aca="false">COUNTIFS(Данные!$B$2:$B$722,47,Данные!$C$2:$C$722,2,Данные!$A$2:$A$722,"&gt;="&amp;7722440000,Данные!$A$2:$A$722,"&lt;="&amp;7722440999)</f>
        <v>0</v>
      </c>
      <c r="BA88" s="66" t="n">
        <f aca="false">COUNTIFS(Данные!$B$2:$B$722,47,Данные!$C$2:$C$722,2,Данные!$A$2:$A$722,"&gt;="&amp;7722442000,Данные!$A$2:$A$722,"&lt;="&amp;7722445659)</f>
        <v>0</v>
      </c>
      <c r="BB88" s="66" t="n">
        <f aca="false">COUNTIFS(Данные!$B$2:$B$722,47,Данные!$C$2:$C$722,2,Данные!$A$2:$A$722,"&gt;="&amp;7722450000,Данные!$A$2:$A$722,"&lt;="&amp;7722450199)</f>
        <v>0</v>
      </c>
      <c r="BC88" s="66" t="n">
        <f aca="false">COUNTIFS(Данные!$B$2:$B$722,47,Данные!$C$2:$C$722,2,Данные!$A$2:$A$722,"&gt;="&amp;7722451000,Данные!$A$2:$A$722,"&lt;="&amp;7722451374)</f>
        <v>0</v>
      </c>
      <c r="BD88" s="66" t="n">
        <f aca="false">COUNTIFS(Данные!$B$2:$B$722,47,Данные!$C$2:$C$722,2,Данные!$A$2:$A$722,"&gt;="&amp;7722452000,Данные!$A$2:$A$722,"&lt;="&amp;7722452299)</f>
        <v>0</v>
      </c>
      <c r="BE88" s="66" t="n">
        <f aca="false">COUNTIFS(Данные!$B$2:$B$722,47,Данные!$C$2:$C$722,2,Данные!$A$2:$A$722,"&gt;="&amp;7722453000,Данные!$A$2:$A$722,"&lt;="&amp;7722453816)</f>
        <v>0</v>
      </c>
      <c r="BF88" s="66" t="n">
        <f aca="false">COUNTIFS(Данные!$B$2:$B$722,47,Данные!$C$2:$C$722,2,Данные!$A$2:$A$722,"&gt;="&amp;7722454000,Данные!$A$2:$A$722,"&lt;="&amp;7722454099)</f>
        <v>0</v>
      </c>
      <c r="BG88" s="66" t="n">
        <f aca="false">COUNTIFS(Данные!$B$2:$B$722,47,Данные!$C$2:$C$722,2,Данные!$A$2:$A$722,"&gt;="&amp;7722458000,Данные!$A$2:$A$722,"&lt;="&amp;7722458999)</f>
        <v>0</v>
      </c>
      <c r="BH88" s="66" t="n">
        <f aca="false">COUNTIFS(Данные!$B$2:$B$722,47,Данные!$C$2:$C$722,2,Данные!$A$2:$A$722,"&gt;="&amp;7722630000,Данные!$A$2:$A$722,"&lt;="&amp;7722638549)</f>
        <v>0</v>
      </c>
      <c r="BI88" s="66" t="n">
        <f aca="false">COUNTIFS(Данные!$B$2:$B$722,47,Данные!$C$2:$C$722,2,Данные!$A$2:$A$722,"&gt;="&amp;7722639400,Данные!$A$2:$A$722,"&lt;="&amp;7722639899)</f>
        <v>0</v>
      </c>
      <c r="BJ88" s="66" t="n">
        <f aca="false">COUNTIFS(Данные!$B$2:$B$722,47,Данные!$C$2:$C$722,2,Данные!$A$2:$A$722,"&gt;="&amp;7725750000,Данные!$A$2:$A$722,"&lt;="&amp;7725750399)</f>
        <v>0</v>
      </c>
      <c r="BK88" s="66" t="n">
        <f aca="false">COUNTIFS(Данные!$B$2:$B$722,47,Данные!$C$2:$C$722,2,Данные!$A$2:$A$722,"&gt;="&amp;7723620000,Данные!$A$2:$A$722,"&lt;="&amp;7723621299)</f>
        <v>0</v>
      </c>
      <c r="BL88" s="66" t="n">
        <f aca="false">COUNTIFS(Данные!$B$2:$B$722,47,Данные!$C$2:$C$722,2,Данные!$A$2:$A$722,"&gt;="&amp;7723621600,Данные!$A$2:$A$722,"&lt;="&amp;7723623399)</f>
        <v>0</v>
      </c>
      <c r="BM88" s="66" t="n">
        <f aca="false">COUNTIFS(Данные!$B$2:$B$722,47,Данные!$C$2:$C$722,2,Данные!$A$2:$A$722,"&gt;="&amp;7725127000,Данные!$A$2:$A$722,"&lt;="&amp;7725127999)</f>
        <v>0</v>
      </c>
      <c r="BN88" s="66" t="n">
        <f aca="false">COUNTIFS(Данные!$B$2:$B$722,47,Данные!$C$2:$C$722,2,Данные!$A$2:$A$722,"&gt;="&amp;7723772000,Данные!$A$2:$A$722,"&lt;="&amp;7723724999)</f>
        <v>0</v>
      </c>
      <c r="BO88" s="65" t="n">
        <f aca="false">COUNTIFS(Данные!$B$2:$B$722,47,Данные!$C$2:$C$722,2,Данные!$A$2:$A$722,"&gt;="&amp;7723765000,Данные!$A$2:$A$722,"&lt;="&amp;7723765499)</f>
        <v>0</v>
      </c>
      <c r="BP88" s="66" t="n">
        <f aca="false">COUNTIFS(Данные!$B$2:$B$722,47,Данные!$C$2:$C$722,2,Данные!$A$2:$A$722,"&gt;="&amp;7723948000,Данные!$A$2:$A$722,"&lt;="&amp;7723948999)</f>
        <v>0</v>
      </c>
      <c r="BQ88" s="66" t="n">
        <f aca="false">COUNTIFS(Данные!$B$2:$B$722,47,Данные!$C$2:$C$722,2,Данные!$A$2:$A$722,"&gt;="&amp;7723950000,Данные!$A$2:$A$722,"&lt;="&amp;7723951099)</f>
        <v>0</v>
      </c>
      <c r="BR88" s="66" t="n">
        <f aca="false">COUNTIFS(Данные!$B$2:$B$722,47,Данные!$C$2:$C$722,2,Данные!$A$2:$A$722,"&gt;="&amp;7723020000,Данные!$A$2:$A$722,"&lt;="&amp;7723020999)</f>
        <v>0</v>
      </c>
      <c r="BS88" s="66" t="n">
        <f aca="false">COUNTIFS(Данные!$B$2:$B$722,47,Данные!$C$2:$C$722,2,Данные!$A$2:$A$722,"&gt;="&amp;7723029000,Данные!$A$2:$A$722,"&lt;="&amp;7723029999)</f>
        <v>0</v>
      </c>
      <c r="BT88" s="66" t="n">
        <f aca="false">COUNTIFS(Данные!$B$2:$B$722,47,Данные!$C$2:$C$722,2,Данные!$A$2:$A$722,"&gt;="&amp;7723055000,Данные!$A$2:$A$722,"&lt;="&amp;7723056549)</f>
        <v>0</v>
      </c>
      <c r="BU88" s="65" t="n">
        <f aca="false">COUNTIFS(Данные!$B$2:$B$722,47,Данные!$C$2:$C$722,2,Данные!$A$2:$A$722,"&gt;="&amp;7725250000,Данные!$A$2:$A$722,"&lt;="&amp;7725250499)</f>
        <v>0</v>
      </c>
      <c r="BV88" s="66" t="n">
        <f aca="false">COUNTIFS(Данные!$B$2:$B$722,47,Данные!$C$2:$C$722,2,Данные!$A$2:$A$722,"&gt;="&amp;7183841400,Данные!$A$2:$A$722,"&lt;="&amp;7183841499)</f>
        <v>0</v>
      </c>
      <c r="BW88" s="49" t="n">
        <v>300</v>
      </c>
      <c r="BX88" s="67" t="n">
        <f aca="false">F88-BW88</f>
        <v>-300</v>
      </c>
    </row>
    <row r="89" s="15" customFormat="true" ht="12" hidden="false" customHeight="true" outlineLevel="0" collapsed="false">
      <c r="A89" s="38" t="n">
        <v>48</v>
      </c>
      <c r="B89" s="39" t="s">
        <v>89</v>
      </c>
      <c r="C89" s="41" t="n">
        <v>0</v>
      </c>
      <c r="D89" s="41" t="n">
        <v>480</v>
      </c>
      <c r="E89" s="42" t="n">
        <f aca="false">SUM(F89:F91)</f>
        <v>0</v>
      </c>
      <c r="F89" s="62" t="n">
        <f aca="false">COUNTIFS(Данные!$B$2:$B$722,48,Данные!$C$2:$C$722,0)</f>
        <v>0</v>
      </c>
      <c r="G89" s="62" t="n">
        <f aca="false">COUNTIFS(Данные!$B$2:$B$722,48,Данные!$C$2:$C$722,0,Данные!$A$2:$A$722,"&gt;="&amp;77232210840,Данные!$A$2:$A$722,"&lt;="&amp;77232216999)</f>
        <v>0</v>
      </c>
      <c r="H89" s="62" t="n">
        <f aca="false">COUNTIFS(Данные!$B$2:$B$722,48,Данные!$C$2:$C$722,0,Данные!$A$2:$A$722,"&gt;="&amp;77232510512,Данные!$A$2:$A$722,"&lt;="&amp;77232519487)</f>
        <v>0</v>
      </c>
      <c r="I89" s="62" t="n">
        <f aca="false">COUNTIFS(Данные!$B$2:$B$722,48,Данные!$C$2:$C$722,0,Данные!$A$2:$A$722,"&gt;="&amp;77232524160,Данные!$A$2:$A$722,"&lt;="&amp;77232529999)</f>
        <v>0</v>
      </c>
      <c r="J89" s="62" t="n">
        <f aca="false">COUNTIFS(Данные!$B$2:$B$722,48,Данные!$C$2:$C$722,0,Данные!$A$2:$A$722,"&gt;="&amp;77232544000,Данные!$A$2:$A$722,"&lt;="&amp;77232544999)</f>
        <v>0</v>
      </c>
      <c r="K89" s="62" t="n">
        <f aca="false">COUNTIFS(Данные!$B$2:$B$722,48,Данные!$C$2:$C$722,0,Данные!$A$2:$A$722,"&gt;="&amp;77232295504,Данные!$A$2:$A$722,"&lt;="&amp;77232296999)</f>
        <v>0</v>
      </c>
      <c r="L89" s="62" t="n">
        <f aca="false">COUNTIFS(Данные!$B$2:$B$722,48,Данные!$C$2:$C$722,0,Данные!$A$2:$A$722,"&gt;="&amp;77232785000,Данные!$A$2:$A$722,"&lt;="&amp;77232789999)</f>
        <v>0</v>
      </c>
      <c r="M89" s="62" t="n">
        <f aca="false">COUNTIFS(Данные!$B$2:$B$722,48,Данные!$C$2:$C$722,0,Данные!$A$2:$A$722,"&gt;="&amp;77233150000,Данные!$A$2:$A$722,"&lt;="&amp;77233155999)</f>
        <v>0</v>
      </c>
      <c r="N89" s="62" t="n">
        <f aca="false">COUNTIFS(Данные!$B$2:$B$722,48,Данные!$C$2:$C$722,0,Данные!$A$2:$A$722,"&gt;="&amp;77233235000,Данные!$A$2:$A$722,"&lt;="&amp;77233235999)</f>
        <v>0</v>
      </c>
      <c r="O89" s="62" t="n">
        <f aca="false">COUNTIFS(Данные!$B$2:$B$722,48,Данные!$C$2:$C$722,0,Данные!$A$2:$A$722,"&gt;="&amp;77233239000,Данные!$A$2:$A$722,"&lt;="&amp;77233239999)</f>
        <v>0</v>
      </c>
      <c r="P89" s="62" t="n">
        <f aca="false">COUNTIFS(Данные!$B$2:$B$722,48,Данные!$C$2:$C$722,0,Данные!$A$2:$A$722,"&gt;="&amp;77233272000,Данные!$A$2:$A$722,"&lt;="&amp;77233272999)</f>
        <v>0</v>
      </c>
      <c r="Q89" s="62" t="n">
        <f aca="false">COUNTIFS(Данные!$B$2:$B$722,48,Данные!$C$2:$C$722,0,Данные!$A$2:$A$722,"&gt;="&amp;77233291100,Данные!$A$2:$A$722,"&lt;="&amp;77233292999)</f>
        <v>0</v>
      </c>
      <c r="R89" s="62" t="n">
        <f aca="false">COUNTIFS(Данные!$B$2:$B$722,48,Данные!$C$2:$C$722,0,Данные!$A$2:$A$722,"&gt;="&amp;77233297000,Данные!$A$2:$A$722,"&lt;="&amp;77233298399)</f>
        <v>0</v>
      </c>
      <c r="S89" s="62" t="n">
        <f aca="false">COUNTIFS(Данные!$B$2:$B$722,48,Данные!$C$2:$C$722,0,Данные!$A$2:$A$722,"&gt;="&amp;77235124000,Данные!$A$2:$A$722,"&lt;="&amp;77235128499)</f>
        <v>0</v>
      </c>
      <c r="T89" s="62" t="n">
        <f aca="false">COUNTIFS(Данные!$B$2:$B$722,48,Данные!$C$2:$C$722,0,Данные!$A$2:$A$722,"&gt;="&amp;77235320000,Данные!$A$2:$A$722,"&lt;="&amp;77235320999)</f>
        <v>0</v>
      </c>
      <c r="U89" s="62" t="n">
        <f aca="false">COUNTIFS(Данные!$B$2:$B$722,48,Данные!$C$2:$C$722,0,Данные!$A$2:$A$722,"&gt;="&amp;77233620000,Данные!$A$2:$A$722,"&lt;="&amp;77233623339)</f>
        <v>0</v>
      </c>
      <c r="V89" s="62" t="n">
        <f aca="false">COUNTIFS(Данные!$B$2:$B$722,48,Данные!$C$2:$C$722,0,Данные!$A$2:$A$722,"&gt;="&amp;77233630000,Данные!$A$2:$A$722,"&lt;="&amp;77233630999)</f>
        <v>0</v>
      </c>
      <c r="W89" s="62" t="n">
        <f aca="false">COUNTIFS(Данные!$B$2:$B$722,48,Данные!$C$2:$C$722,0,Данные!$A$2:$A$722,"&gt;="&amp;77233637000,Данные!$A$2:$A$722,"&lt;="&amp;77233637599)</f>
        <v>0</v>
      </c>
      <c r="X89" s="62" t="n">
        <f aca="false">COUNTIFS(Данные!$B$2:$B$722,48,Данные!$C$2:$C$722,0,Данные!$A$2:$A$722,"&gt;="&amp;77233550000,Данные!$A$2:$A$722,"&lt;="&amp;77233550999)</f>
        <v>0</v>
      </c>
      <c r="Y89" s="62" t="n">
        <f aca="false">COUNTIFS(Данные!$B$2:$B$722,48,Данные!$C$2:$C$722,0,Данные!$A$2:$A$722,"&gt;="&amp;77233554000,Данные!$A$2:$A$722,"&lt;="&amp;77233554999)</f>
        <v>0</v>
      </c>
      <c r="Z89" s="62" t="n">
        <f aca="false">COUNTIFS(Данные!$B$2:$B$722,48,Данные!$C$2:$C$722,0,Данные!$A$2:$A$722,"&gt;="&amp;77233555000,Данные!$A$2:$A$722,"&lt;="&amp;77233556999)</f>
        <v>0</v>
      </c>
      <c r="AA89" s="62" t="n">
        <f aca="false">COUNTIFS(Данные!$B$2:$B$722,48,Данные!$C$2:$C$722,0,Данные!$A$2:$A$722,"&gt;="&amp;77233726000,Данные!$A$2:$A$722,"&lt;="&amp;77233726999)</f>
        <v>0</v>
      </c>
      <c r="AB89" s="62" t="n">
        <f aca="false">COUNTIFS(Данные!$B$2:$B$722,48,Данные!$C$2:$C$722,0,Данные!$A$2:$A$722,"&gt;="&amp;77233820000,Данные!$A$2:$A$722,"&lt;="&amp;77233820999)</f>
        <v>0</v>
      </c>
      <c r="AC89" s="62" t="n">
        <f aca="false">COUNTIFS(Данные!$B$2:$B$722,48,Данные!$C$2:$C$722,0,Данные!$A$2:$A$722,"&gt;="&amp;77233850000,Данные!$A$2:$A$722,"&lt;="&amp;77233850999)</f>
        <v>0</v>
      </c>
      <c r="AD89" s="62" t="n">
        <f aca="false">COUNTIFS(Данные!$B$2:$B$722,48,Данные!$C$2:$C$722,0,Данные!$A$2:$A$722,"&gt;="&amp;77233420000,Данные!$A$2:$A$722,"&lt;="&amp;77233420999)</f>
        <v>0</v>
      </c>
      <c r="AE89" s="62" t="n">
        <f aca="false">COUNTIFS(Данные!$B$2:$B$722,48,Данные!$C$2:$C$722,0,Данные!$A$2:$A$722,"&gt;="&amp;77234740000,Данные!$A$2:$A$722,"&lt;="&amp;77234742999)</f>
        <v>0</v>
      </c>
      <c r="AF89" s="62" t="n">
        <f aca="false">COUNTIFS(Данные!$B$2:$B$722,48,Данные!$C$2:$C$722,0,Данные!$A$2:$A$722,"&gt;="&amp;77234767000,Данные!$A$2:$A$722,"&lt;="&amp;77234767999)</f>
        <v>0</v>
      </c>
      <c r="AG89" s="62" t="n">
        <f aca="false">COUNTIFS(Данные!$B$2:$B$722,48,Данные!$C$2:$C$722,0,Данные!$A$2:$A$722,"&gt;="&amp;77234120000,Данные!$A$2:$A$722,"&lt;="&amp;77234120999)</f>
        <v>0</v>
      </c>
      <c r="AH89" s="62" t="n">
        <f aca="false">COUNTIFS(Данные!$B$2:$B$722,48,Данные!$C$2:$C$722,0,Данные!$A$2:$A$722,"&gt;="&amp;77234127000,Данные!$A$2:$A$722,"&lt;="&amp;77234127999)</f>
        <v>0</v>
      </c>
      <c r="AI89" s="62" t="n">
        <f aca="false">COUNTIFS(Данные!$B$2:$B$722,48,Данные!$C$2:$C$722,0,Данные!$A$2:$A$722,"&gt;="&amp;77234220000,Данные!$A$2:$A$722,"&lt;="&amp;77234220999)</f>
        <v>0</v>
      </c>
      <c r="AJ89" s="62" t="n">
        <f aca="false">COUNTIFS(Данные!$B$2:$B$722,48,Данные!$C$2:$C$722,0,Данные!$A$2:$A$722,"&gt;="&amp;77234250000,Данные!$A$2:$A$722,"&lt;="&amp;77234250999)</f>
        <v>0</v>
      </c>
      <c r="AK89" s="62" t="n">
        <f aca="false">COUNTIFS(Данные!$B$2:$B$722,48,Данные!$C$2:$C$722,0,Данные!$A$2:$A$722,"&gt;="&amp;77233922950,Данные!$A$2:$A$722,"&lt;="&amp;77233924999)</f>
        <v>0</v>
      </c>
      <c r="AL89" s="62" t="n">
        <f aca="false">COUNTIFS(Данные!$B$2:$B$722,48,Данные!$C$2:$C$722,0,Данные!$A$2:$A$722,"&gt;="&amp;77234320000,Данные!$A$2:$A$722,"&lt;="&amp;77234320999)</f>
        <v>0</v>
      </c>
      <c r="AM89" s="62" t="n">
        <f aca="false">COUNTIFS(Данные!$B$2:$B$722,48,Данные!$C$2:$C$722,0,Данные!$A$2:$A$722,"&gt;="&amp;77234350000,Данные!$A$2:$A$722,"&lt;="&amp;77234350999)</f>
        <v>0</v>
      </c>
      <c r="AN89" s="62" t="n">
        <f aca="false">COUNTIFS(Данные!$B$2:$B$722,48,Данные!$C$2:$C$722,0,Данные!$A$2:$A$722,"&gt;="&amp;77234020000,Данные!$A$2:$A$722,"&lt;="&amp;77234020999)</f>
        <v>0</v>
      </c>
      <c r="AO89" s="62" t="n">
        <f aca="false">COUNTIFS(Данные!$B$2:$B$722,48,Данные!$C$2:$C$722,0,Данные!$A$2:$A$722,"&gt;="&amp;77234029000,Данные!$A$2:$A$722,"&lt;="&amp;77234029999)</f>
        <v>0</v>
      </c>
      <c r="AP89" s="62" t="n">
        <f aca="false">COUNTIFS(Данные!$B$2:$B$722,48,Данные!$C$2:$C$722,0,Данные!$A$2:$A$722,"&gt;="&amp;77234050000,Данные!$A$2:$A$722,"&lt;="&amp;77234050999)</f>
        <v>0</v>
      </c>
      <c r="AQ89" s="62" t="n">
        <f aca="false">COUNTIFS(Данные!$B$2:$B$722,48,Данные!$C$2:$C$722,0,Данные!$A$2:$A$722,"&gt;="&amp;77234427000,Данные!$A$2:$A$722,"&lt;="&amp;77234428999)</f>
        <v>0</v>
      </c>
      <c r="AR89" s="62" t="n">
        <f aca="false">COUNTIFS(Данные!$B$2:$B$722,48,Данные!$C$2:$C$722,0,Данные!$A$2:$A$722,"&gt;="&amp;77234450000,Данные!$A$2:$A$722,"&lt;="&amp;77234450999)</f>
        <v>0</v>
      </c>
      <c r="AS89" s="62" t="n">
        <f aca="false">COUNTIFS(Данные!$B$2:$B$722,48,Данные!$C$2:$C$722,0,Данные!$A$2:$A$722,"&gt;="&amp;77234620000,Данные!$A$2:$A$722,"&lt;="&amp;77234620999)</f>
        <v>0</v>
      </c>
      <c r="AT89" s="62" t="n">
        <f aca="false">COUNTIFS(Данные!$B$2:$B$722,48,Данные!$C$2:$C$722,0,Данные!$A$2:$A$722,"&gt;="&amp;77234650000,Данные!$A$2:$A$722,"&lt;="&amp;77234650999)</f>
        <v>0</v>
      </c>
      <c r="AU89" s="62" t="n">
        <f aca="false">COUNTIFS(Данные!$B$2:$B$722,48,Данные!$C$2:$C$722,0,Данные!$A$2:$A$722,"&gt;="&amp;77234820000,Данные!$A$2:$A$722,"&lt;="&amp;77234820999)</f>
        <v>0</v>
      </c>
      <c r="AV89" s="62" t="n">
        <f aca="false">COUNTIFS(Данные!$B$2:$B$722,48,Данные!$C$2:$C$722,0,Данные!$A$2:$A$722,"&gt;="&amp;77234850000,Данные!$A$2:$A$722,"&lt;="&amp;77234850999)</f>
        <v>0</v>
      </c>
      <c r="AW89" s="62" t="n">
        <f aca="false">COUNTIFS(Данные!$B$2:$B$722,48,Данные!$C$2:$C$722,0,Данные!$A$2:$A$722,"&gt;="&amp;77233327000,Данные!$A$2:$A$722,"&lt;="&amp;77233327999)</f>
        <v>0</v>
      </c>
      <c r="AX89" s="62" t="n">
        <f aca="false">COUNTIFS(Данные!$B$2:$B$722,48,Данные!$C$2:$C$722,0,Данные!$A$2:$A$722,"&gt;="&amp;77233350000,Данные!$A$2:$A$722,"&lt;="&amp;77233350599)</f>
        <v>0</v>
      </c>
      <c r="AY89" s="62" t="n">
        <f aca="false">COUNTIFS(Данные!$B$2:$B$722,48,Данные!$C$2:$C$722,0,Данные!$A$2:$A$722,"&gt;="&amp;77233351000,Данные!$A$2:$A$722,"&lt;="&amp;77233351999)</f>
        <v>0</v>
      </c>
      <c r="AZ89" s="62" t="n">
        <f aca="false">COUNTIFS(Данные!$B$2:$B$722,48,Данные!$C$2:$C$722,0,Данные!$A$2:$A$722,"&gt;="&amp;7722440000,Данные!$A$2:$A$722,"&lt;="&amp;7722440999)</f>
        <v>0</v>
      </c>
      <c r="BA89" s="63" t="n">
        <f aca="false">COUNTIFS(Данные!$B$2:$B$722,48,Данные!$C$2:$C$722,0,Данные!$A$2:$A$722,"&gt;="&amp;7722442000,Данные!$A$2:$A$722,"&lt;="&amp;7722445659)</f>
        <v>0</v>
      </c>
      <c r="BB89" s="63" t="n">
        <f aca="false">COUNTIFS(Данные!$B$2:$B$722,48,Данные!$C$2:$C$722,0,Данные!$A$2:$A$722,"&gt;="&amp;7722450000,Данные!$A$2:$A$722,"&lt;="&amp;7722450199)</f>
        <v>0</v>
      </c>
      <c r="BC89" s="63" t="n">
        <f aca="false">COUNTIFS(Данные!$B$2:$B$722,48,Данные!$C$2:$C$722,0,Данные!$A$2:$A$722,"&gt;="&amp;7722451000,Данные!$A$2:$A$722,"&lt;="&amp;7722451374)</f>
        <v>0</v>
      </c>
      <c r="BD89" s="63" t="n">
        <f aca="false">COUNTIFS(Данные!$B$2:$B$722,48,Данные!$C$2:$C$722,0,Данные!$A$2:$A$722,"&gt;="&amp;7722452000,Данные!$A$2:$A$722,"&lt;="&amp;7722452299)</f>
        <v>0</v>
      </c>
      <c r="BE89" s="63" t="n">
        <f aca="false">COUNTIFS(Данные!$B$2:$B$722,48,Данные!$C$2:$C$722,0,Данные!$A$2:$A$722,"&gt;="&amp;7722453000,Данные!$A$2:$A$722,"&lt;="&amp;7722453816)</f>
        <v>0</v>
      </c>
      <c r="BF89" s="63" t="n">
        <f aca="false">COUNTIFS(Данные!$B$2:$B$722,48,Данные!$C$2:$C$722,0,Данные!$A$2:$A$722,"&gt;="&amp;7722454000,Данные!$A$2:$A$722,"&lt;="&amp;7722454099)</f>
        <v>0</v>
      </c>
      <c r="BG89" s="63" t="n">
        <f aca="false">COUNTIFS(Данные!$B$2:$B$722,48,Данные!$C$2:$C$722,0,Данные!$A$2:$A$722,"&gt;="&amp;7722458000,Данные!$A$2:$A$722,"&lt;="&amp;7722458999)</f>
        <v>0</v>
      </c>
      <c r="BH89" s="63" t="n">
        <f aca="false">COUNTIFS(Данные!$B$2:$B$722,48,Данные!$C$2:$C$722,0,Данные!$A$2:$A$722,"&gt;="&amp;7722630000,Данные!$A$2:$A$722,"&lt;="&amp;7722638549)</f>
        <v>0</v>
      </c>
      <c r="BI89" s="63" t="n">
        <f aca="false">COUNTIFS(Данные!$B$2:$B$722,48,Данные!$C$2:$C$722,0,Данные!$A$2:$A$722,"&gt;="&amp;7722639400,Данные!$A$2:$A$722,"&lt;="&amp;7722639899)</f>
        <v>0</v>
      </c>
      <c r="BJ89" s="63" t="n">
        <f aca="false">COUNTIFS(Данные!$B$2:$B$722,48,Данные!$C$2:$C$722,0,Данные!$A$2:$A$722,"&gt;="&amp;7725750000,Данные!$A$2:$A$722,"&lt;="&amp;7725750399)</f>
        <v>0</v>
      </c>
      <c r="BK89" s="63" t="n">
        <f aca="false">COUNTIFS(Данные!$B$2:$B$722,48,Данные!$C$2:$C$722,0,Данные!$A$2:$A$722,"&gt;="&amp;7723620000,Данные!$A$2:$A$722,"&lt;="&amp;7723621299)</f>
        <v>0</v>
      </c>
      <c r="BL89" s="63" t="n">
        <f aca="false">COUNTIFS(Данные!$B$2:$B$722,48,Данные!$C$2:$C$722,0,Данные!$A$2:$A$722,"&gt;="&amp;7723621600,Данные!$A$2:$A$722,"&lt;="&amp;7723623399)</f>
        <v>0</v>
      </c>
      <c r="BM89" s="63" t="n">
        <f aca="false">COUNTIFS(Данные!$B$2:$B$722,48,Данные!$C$2:$C$722,0,Данные!$A$2:$A$722,"&gt;="&amp;7725127000,Данные!$A$2:$A$722,"&lt;="&amp;7725127999)</f>
        <v>0</v>
      </c>
      <c r="BN89" s="63" t="n">
        <f aca="false">COUNTIFS(Данные!$B$2:$B$722,48,Данные!$C$2:$C$722,0,Данные!$A$2:$A$722,"&gt;="&amp;7723772000,Данные!$A$2:$A$722,"&lt;="&amp;7723724999)</f>
        <v>0</v>
      </c>
      <c r="BO89" s="62" t="n">
        <f aca="false">COUNTIFS(Данные!$B$2:$B$722,48,Данные!$C$2:$C$722,0,Данные!$A$2:$A$722,"&gt;="&amp;7723765000,Данные!$A$2:$A$722,"&lt;="&amp;7723765499)</f>
        <v>0</v>
      </c>
      <c r="BP89" s="63" t="n">
        <f aca="false">COUNTIFS(Данные!$B$2:$B$722,48,Данные!$C$2:$C$722,0,Данные!$A$2:$A$722,"&gt;="&amp;7723948000,Данные!$A$2:$A$722,"&lt;="&amp;7723948999)</f>
        <v>0</v>
      </c>
      <c r="BQ89" s="63" t="n">
        <f aca="false">COUNTIFS(Данные!$B$2:$B$722,48,Данные!$C$2:$C$722,0,Данные!$A$2:$A$722,"&gt;="&amp;7723950000,Данные!$A$2:$A$722,"&lt;="&amp;7723951099)</f>
        <v>0</v>
      </c>
      <c r="BR89" s="63" t="n">
        <f aca="false">COUNTIFS(Данные!$B$2:$B$722,48,Данные!$C$2:$C$722,0,Данные!$A$2:$A$722,"&gt;="&amp;7723020000,Данные!$A$2:$A$722,"&lt;="&amp;7723020999)</f>
        <v>0</v>
      </c>
      <c r="BS89" s="63" t="n">
        <f aca="false">COUNTIFS(Данные!$B$2:$B$722,48,Данные!$C$2:$C$722,0,Данные!$A$2:$A$722,"&gt;="&amp;7723029000,Данные!$A$2:$A$722,"&lt;="&amp;7723029999)</f>
        <v>0</v>
      </c>
      <c r="BT89" s="63" t="n">
        <f aca="false">COUNTIFS(Данные!$B$2:$B$722,48,Данные!$C$2:$C$722,0,Данные!$A$2:$A$722,"&gt;="&amp;7723055000,Данные!$A$2:$A$722,"&lt;="&amp;7723056549)</f>
        <v>0</v>
      </c>
      <c r="BU89" s="62" t="n">
        <f aca="false">COUNTIFS(Данные!$B$2:$B$722,48,Данные!$C$2:$C$722,0,Данные!$A$2:$A$722,"&gt;="&amp;7725250000,Данные!$A$2:$A$722,"&lt;="&amp;7725250499)</f>
        <v>0</v>
      </c>
      <c r="BV89" s="63" t="n">
        <f aca="false">COUNTIFS(Данные!$B$2:$B$722,48,Данные!$C$2:$C$722,0,Данные!$A$2:$A$722,"&gt;="&amp;7183841400,Данные!$A$2:$A$722,"&lt;="&amp;7183841499)</f>
        <v>0</v>
      </c>
      <c r="BW89" s="40" t="n">
        <v>300</v>
      </c>
      <c r="BX89" s="64" t="n">
        <f aca="false">F89-BW89</f>
        <v>-300</v>
      </c>
    </row>
    <row r="90" s="15" customFormat="true" ht="12" hidden="false" customHeight="true" outlineLevel="0" collapsed="false">
      <c r="A90" s="38"/>
      <c r="B90" s="39"/>
      <c r="C90" s="41" t="n">
        <v>1</v>
      </c>
      <c r="D90" s="41" t="n">
        <v>481</v>
      </c>
      <c r="E90" s="42"/>
      <c r="F90" s="62" t="n">
        <f aca="false">COUNTIFS(Данные!$B$2:$B$722,48,Данные!$C$2:$C$722,1)</f>
        <v>0</v>
      </c>
      <c r="G90" s="62" t="n">
        <f aca="false">COUNTIFS(Данные!$B$2:$B$722,48,Данные!$C$2:$C$722,1,Данные!$A$2:$A$722,"&gt;="&amp;77232210840,Данные!$A$2:$A$722,"&lt;="&amp;77232216999)</f>
        <v>0</v>
      </c>
      <c r="H90" s="62" t="n">
        <f aca="false">COUNTIFS(Данные!$B$2:$B$722,48,Данные!$C$2:$C$722,1,Данные!$A$2:$A$722,"&gt;="&amp;77232510512,Данные!$A$2:$A$722,"&lt;="&amp;77232519487)</f>
        <v>0</v>
      </c>
      <c r="I90" s="62" t="n">
        <f aca="false">COUNTIFS(Данные!$B$2:$B$722,48,Данные!$C$2:$C$722,1,Данные!$A$2:$A$722,"&gt;="&amp;77232524160,Данные!$A$2:$A$722,"&lt;="&amp;77232529999)</f>
        <v>0</v>
      </c>
      <c r="J90" s="62" t="n">
        <f aca="false">COUNTIFS(Данные!$B$2:$B$722,48,Данные!$C$2:$C$722,1,Данные!$A$2:$A$722,"&gt;="&amp;77232544000,Данные!$A$2:$A$722,"&lt;="&amp;77232544999)</f>
        <v>0</v>
      </c>
      <c r="K90" s="62" t="n">
        <f aca="false">COUNTIFS(Данные!$B$2:$B$722,48,Данные!$C$2:$C$722,1,Данные!$A$2:$A$722,"&gt;="&amp;77232295504,Данные!$A$2:$A$722,"&lt;="&amp;77232296999)</f>
        <v>0</v>
      </c>
      <c r="L90" s="62" t="n">
        <f aca="false">COUNTIFS(Данные!$B$2:$B$722,48,Данные!$C$2:$C$722,1,Данные!$A$2:$A$722,"&gt;="&amp;77232785000,Данные!$A$2:$A$722,"&lt;="&amp;77232789999)</f>
        <v>0</v>
      </c>
      <c r="M90" s="62" t="n">
        <f aca="false">COUNTIFS(Данные!$B$2:$B$722,48,Данные!$C$2:$C$722,1,Данные!$A$2:$A$722,"&gt;="&amp;77233150000,Данные!$A$2:$A$722,"&lt;="&amp;77233155999)</f>
        <v>0</v>
      </c>
      <c r="N90" s="62" t="n">
        <f aca="false">COUNTIFS(Данные!$B$2:$B$722,48,Данные!$C$2:$C$722,1,Данные!$A$2:$A$722,"&gt;="&amp;77233235000,Данные!$A$2:$A$722,"&lt;="&amp;77233235999)</f>
        <v>0</v>
      </c>
      <c r="O90" s="62" t="n">
        <f aca="false">COUNTIFS(Данные!$B$2:$B$722,48,Данные!$C$2:$C$722,1,Данные!$A$2:$A$722,"&gt;="&amp;77233239000,Данные!$A$2:$A$722,"&lt;="&amp;77233239999)</f>
        <v>0</v>
      </c>
      <c r="P90" s="62" t="n">
        <f aca="false">COUNTIFS(Данные!$B$2:$B$722,48,Данные!$C$2:$C$722,1,Данные!$A$2:$A$722,"&gt;="&amp;77233272000,Данные!$A$2:$A$722,"&lt;="&amp;77233272999)</f>
        <v>0</v>
      </c>
      <c r="Q90" s="62" t="n">
        <f aca="false">COUNTIFS(Данные!$B$2:$B$722,48,Данные!$C$2:$C$722,1,Данные!$A$2:$A$722,"&gt;="&amp;77233291100,Данные!$A$2:$A$722,"&lt;="&amp;77233292999)</f>
        <v>0</v>
      </c>
      <c r="R90" s="62" t="n">
        <f aca="false">COUNTIFS(Данные!$B$2:$B$722,48,Данные!$C$2:$C$722,1,Данные!$A$2:$A$722,"&gt;="&amp;77233297000,Данные!$A$2:$A$722,"&lt;="&amp;77233298399)</f>
        <v>0</v>
      </c>
      <c r="S90" s="62" t="n">
        <f aca="false">COUNTIFS(Данные!$B$2:$B$722,48,Данные!$C$2:$C$722,1,Данные!$A$2:$A$722,"&gt;="&amp;77235124000,Данные!$A$2:$A$722,"&lt;="&amp;77235128499)</f>
        <v>0</v>
      </c>
      <c r="T90" s="62" t="n">
        <f aca="false">COUNTIFS(Данные!$B$2:$B$722,48,Данные!$C$2:$C$722,1,Данные!$A$2:$A$722,"&gt;="&amp;77235320000,Данные!$A$2:$A$722,"&lt;="&amp;77235320999)</f>
        <v>0</v>
      </c>
      <c r="U90" s="62" t="n">
        <f aca="false">COUNTIFS(Данные!$B$2:$B$722,48,Данные!$C$2:$C$722,1,Данные!$A$2:$A$722,"&gt;="&amp;77233620000,Данные!$A$2:$A$722,"&lt;="&amp;77233623339)</f>
        <v>0</v>
      </c>
      <c r="V90" s="62" t="n">
        <f aca="false">COUNTIFS(Данные!$B$2:$B$722,48,Данные!$C$2:$C$722,1,Данные!$A$2:$A$722,"&gt;="&amp;77233630000,Данные!$A$2:$A$722,"&lt;="&amp;77233630999)</f>
        <v>0</v>
      </c>
      <c r="W90" s="62" t="n">
        <f aca="false">COUNTIFS(Данные!$B$2:$B$722,48,Данные!$C$2:$C$722,1,Данные!$A$2:$A$722,"&gt;="&amp;77233637000,Данные!$A$2:$A$722,"&lt;="&amp;77233637599)</f>
        <v>0</v>
      </c>
      <c r="X90" s="62" t="n">
        <f aca="false">COUNTIFS(Данные!$B$2:$B$722,48,Данные!$C$2:$C$722,1,Данные!$A$2:$A$722,"&gt;="&amp;77233550000,Данные!$A$2:$A$722,"&lt;="&amp;77233550999)</f>
        <v>0</v>
      </c>
      <c r="Y90" s="62" t="n">
        <f aca="false">COUNTIFS(Данные!$B$2:$B$722,48,Данные!$C$2:$C$722,1,Данные!$A$2:$A$722,"&gt;="&amp;77233554000,Данные!$A$2:$A$722,"&lt;="&amp;77233554999)</f>
        <v>0</v>
      </c>
      <c r="Z90" s="62" t="n">
        <f aca="false">COUNTIFS(Данные!$B$2:$B$722,48,Данные!$C$2:$C$722,1,Данные!$A$2:$A$722,"&gt;="&amp;77233555000,Данные!$A$2:$A$722,"&lt;="&amp;77233556999)</f>
        <v>0</v>
      </c>
      <c r="AA90" s="62" t="n">
        <f aca="false">COUNTIFS(Данные!$B$2:$B$722,48,Данные!$C$2:$C$722,1,Данные!$A$2:$A$722,"&gt;="&amp;77233726000,Данные!$A$2:$A$722,"&lt;="&amp;77233726999)</f>
        <v>0</v>
      </c>
      <c r="AB90" s="62" t="n">
        <f aca="false">COUNTIFS(Данные!$B$2:$B$722,48,Данные!$C$2:$C$722,1,Данные!$A$2:$A$722,"&gt;="&amp;77233820000,Данные!$A$2:$A$722,"&lt;="&amp;77233820999)</f>
        <v>0</v>
      </c>
      <c r="AC90" s="62" t="n">
        <f aca="false">COUNTIFS(Данные!$B$2:$B$722,48,Данные!$C$2:$C$722,1,Данные!$A$2:$A$722,"&gt;="&amp;77233850000,Данные!$A$2:$A$722,"&lt;="&amp;77233850999)</f>
        <v>0</v>
      </c>
      <c r="AD90" s="62" t="n">
        <f aca="false">COUNTIFS(Данные!$B$2:$B$722,48,Данные!$C$2:$C$722,1,Данные!$A$2:$A$722,"&gt;="&amp;77233420000,Данные!$A$2:$A$722,"&lt;="&amp;77233420999)</f>
        <v>0</v>
      </c>
      <c r="AE90" s="62" t="n">
        <f aca="false">COUNTIFS(Данные!$B$2:$B$722,48,Данные!$C$2:$C$722,1,Данные!$A$2:$A$722,"&gt;="&amp;77234740000,Данные!$A$2:$A$722,"&lt;="&amp;77234742999)</f>
        <v>0</v>
      </c>
      <c r="AF90" s="62" t="n">
        <f aca="false">COUNTIFS(Данные!$B$2:$B$722,48,Данные!$C$2:$C$722,1,Данные!$A$2:$A$722,"&gt;="&amp;77234767000,Данные!$A$2:$A$722,"&lt;="&amp;77234767999)</f>
        <v>0</v>
      </c>
      <c r="AG90" s="62" t="n">
        <f aca="false">COUNTIFS(Данные!$B$2:$B$722,48,Данные!$C$2:$C$722,1,Данные!$A$2:$A$722,"&gt;="&amp;77234120000,Данные!$A$2:$A$722,"&lt;="&amp;77234120999)</f>
        <v>0</v>
      </c>
      <c r="AH90" s="62" t="n">
        <f aca="false">COUNTIFS(Данные!$B$2:$B$722,48,Данные!$C$2:$C$722,1,Данные!$A$2:$A$722,"&gt;="&amp;77234127000,Данные!$A$2:$A$722,"&lt;="&amp;77234127999)</f>
        <v>0</v>
      </c>
      <c r="AI90" s="62" t="n">
        <f aca="false">COUNTIFS(Данные!$B$2:$B$722,48,Данные!$C$2:$C$722,1,Данные!$A$2:$A$722,"&gt;="&amp;77234220000,Данные!$A$2:$A$722,"&lt;="&amp;77234220999)</f>
        <v>0</v>
      </c>
      <c r="AJ90" s="62" t="n">
        <f aca="false">COUNTIFS(Данные!$B$2:$B$722,48,Данные!$C$2:$C$722,1,Данные!$A$2:$A$722,"&gt;="&amp;77234250000,Данные!$A$2:$A$722,"&lt;="&amp;77234250999)</f>
        <v>0</v>
      </c>
      <c r="AK90" s="62" t="n">
        <f aca="false">COUNTIFS(Данные!$B$2:$B$722,48,Данные!$C$2:$C$722,1,Данные!$A$2:$A$722,"&gt;="&amp;77233922950,Данные!$A$2:$A$722,"&lt;="&amp;77233924999)</f>
        <v>0</v>
      </c>
      <c r="AL90" s="62" t="n">
        <f aca="false">COUNTIFS(Данные!$B$2:$B$722,48,Данные!$C$2:$C$722,1,Данные!$A$2:$A$722,"&gt;="&amp;77234320000,Данные!$A$2:$A$722,"&lt;="&amp;77234320999)</f>
        <v>0</v>
      </c>
      <c r="AM90" s="62" t="n">
        <f aca="false">COUNTIFS(Данные!$B$2:$B$722,48,Данные!$C$2:$C$722,1,Данные!$A$2:$A$722,"&gt;="&amp;77234350000,Данные!$A$2:$A$722,"&lt;="&amp;77234350999)</f>
        <v>0</v>
      </c>
      <c r="AN90" s="62" t="n">
        <f aca="false">COUNTIFS(Данные!$B$2:$B$722,48,Данные!$C$2:$C$722,1,Данные!$A$2:$A$722,"&gt;="&amp;77234020000,Данные!$A$2:$A$722,"&lt;="&amp;77234020999)</f>
        <v>0</v>
      </c>
      <c r="AO90" s="62" t="n">
        <f aca="false">COUNTIFS(Данные!$B$2:$B$722,48,Данные!$C$2:$C$722,1,Данные!$A$2:$A$722,"&gt;="&amp;77234029000,Данные!$A$2:$A$722,"&lt;="&amp;77234029999)</f>
        <v>0</v>
      </c>
      <c r="AP90" s="62" t="n">
        <f aca="false">COUNTIFS(Данные!$B$2:$B$722,48,Данные!$C$2:$C$722,1,Данные!$A$2:$A$722,"&gt;="&amp;77234050000,Данные!$A$2:$A$722,"&lt;="&amp;77234050999)</f>
        <v>0</v>
      </c>
      <c r="AQ90" s="62" t="n">
        <f aca="false">COUNTIFS(Данные!$B$2:$B$722,48,Данные!$C$2:$C$722,1,Данные!$A$2:$A$722,"&gt;="&amp;77234427000,Данные!$A$2:$A$722,"&lt;="&amp;77234428999)</f>
        <v>0</v>
      </c>
      <c r="AR90" s="62" t="n">
        <f aca="false">COUNTIFS(Данные!$B$2:$B$722,48,Данные!$C$2:$C$722,1,Данные!$A$2:$A$722,"&gt;="&amp;77234450000,Данные!$A$2:$A$722,"&lt;="&amp;77234450999)</f>
        <v>0</v>
      </c>
      <c r="AS90" s="62" t="n">
        <f aca="false">COUNTIFS(Данные!$B$2:$B$722,48,Данные!$C$2:$C$722,1,Данные!$A$2:$A$722,"&gt;="&amp;77234620000,Данные!$A$2:$A$722,"&lt;="&amp;77234620999)</f>
        <v>0</v>
      </c>
      <c r="AT90" s="62" t="n">
        <f aca="false">COUNTIFS(Данные!$B$2:$B$722,48,Данные!$C$2:$C$722,1,Данные!$A$2:$A$722,"&gt;="&amp;77234650000,Данные!$A$2:$A$722,"&lt;="&amp;77234650999)</f>
        <v>0</v>
      </c>
      <c r="AU90" s="62" t="n">
        <f aca="false">COUNTIFS(Данные!$B$2:$B$722,48,Данные!$C$2:$C$722,1,Данные!$A$2:$A$722,"&gt;="&amp;77234820000,Данные!$A$2:$A$722,"&lt;="&amp;77234820999)</f>
        <v>0</v>
      </c>
      <c r="AV90" s="62" t="n">
        <f aca="false">COUNTIFS(Данные!$B$2:$B$722,48,Данные!$C$2:$C$722,1,Данные!$A$2:$A$722,"&gt;="&amp;77234850000,Данные!$A$2:$A$722,"&lt;="&amp;77234850999)</f>
        <v>0</v>
      </c>
      <c r="AW90" s="62" t="n">
        <f aca="false">COUNTIFS(Данные!$B$2:$B$722,48,Данные!$C$2:$C$722,1,Данные!$A$2:$A$722,"&gt;="&amp;77233327000,Данные!$A$2:$A$722,"&lt;="&amp;77233327999)</f>
        <v>0</v>
      </c>
      <c r="AX90" s="62" t="n">
        <f aca="false">COUNTIFS(Данные!$B$2:$B$722,48,Данные!$C$2:$C$722,1,Данные!$A$2:$A$722,"&gt;="&amp;77233350000,Данные!$A$2:$A$722,"&lt;="&amp;77233350599)</f>
        <v>0</v>
      </c>
      <c r="AY90" s="62" t="n">
        <f aca="false">COUNTIFS(Данные!$B$2:$B$722,48,Данные!$C$2:$C$722,1,Данные!$A$2:$A$722,"&gt;="&amp;77233351000,Данные!$A$2:$A$722,"&lt;="&amp;77233351999)</f>
        <v>0</v>
      </c>
      <c r="AZ90" s="63" t="n">
        <f aca="false">COUNTIFS(Данные!$B$2:$B$722,48,Данные!$C$2:$C$722,1,Данные!$A$2:$A$722,"&gt;="&amp;7722440000,Данные!$A$2:$A$722,"&lt;="&amp;7722440999)</f>
        <v>0</v>
      </c>
      <c r="BA90" s="63" t="n">
        <f aca="false">COUNTIFS(Данные!$B$2:$B$722,48,Данные!$C$2:$C$722,1,Данные!$A$2:$A$722,"&gt;="&amp;7722442000,Данные!$A$2:$A$722,"&lt;="&amp;7722445659)</f>
        <v>0</v>
      </c>
      <c r="BB90" s="63" t="n">
        <f aca="false">COUNTIFS(Данные!$B$2:$B$722,48,Данные!$C$2:$C$722,1,Данные!$A$2:$A$722,"&gt;="&amp;7722450000,Данные!$A$2:$A$722,"&lt;="&amp;7722450199)</f>
        <v>0</v>
      </c>
      <c r="BC90" s="63" t="n">
        <f aca="false">COUNTIFS(Данные!$B$2:$B$722,48,Данные!$C$2:$C$722,1,Данные!$A$2:$A$722,"&gt;="&amp;7722451000,Данные!$A$2:$A$722,"&lt;="&amp;7722451374)</f>
        <v>0</v>
      </c>
      <c r="BD90" s="63" t="n">
        <f aca="false">COUNTIFS(Данные!$B$2:$B$722,48,Данные!$C$2:$C$722,1,Данные!$A$2:$A$722,"&gt;="&amp;7722452000,Данные!$A$2:$A$722,"&lt;="&amp;7722452299)</f>
        <v>0</v>
      </c>
      <c r="BE90" s="63" t="n">
        <f aca="false">COUNTIFS(Данные!$B$2:$B$722,48,Данные!$C$2:$C$722,1,Данные!$A$2:$A$722,"&gt;="&amp;7722453000,Данные!$A$2:$A$722,"&lt;="&amp;7722453816)</f>
        <v>0</v>
      </c>
      <c r="BF90" s="63" t="n">
        <f aca="false">COUNTIFS(Данные!$B$2:$B$722,48,Данные!$C$2:$C$722,1,Данные!$A$2:$A$722,"&gt;="&amp;7722454000,Данные!$A$2:$A$722,"&lt;="&amp;7722454099)</f>
        <v>0</v>
      </c>
      <c r="BG90" s="63" t="n">
        <f aca="false">COUNTIFS(Данные!$B$2:$B$722,48,Данные!$C$2:$C$722,1,Данные!$A$2:$A$722,"&gt;="&amp;7722458000,Данные!$A$2:$A$722,"&lt;="&amp;7722458999)</f>
        <v>0</v>
      </c>
      <c r="BH90" s="63" t="n">
        <f aca="false">COUNTIFS(Данные!$B$2:$B$722,48,Данные!$C$2:$C$722,1,Данные!$A$2:$A$722,"&gt;="&amp;7722630000,Данные!$A$2:$A$722,"&lt;="&amp;7722638549)</f>
        <v>0</v>
      </c>
      <c r="BI90" s="63" t="n">
        <f aca="false">COUNTIFS(Данные!$B$2:$B$722,48,Данные!$C$2:$C$722,1,Данные!$A$2:$A$722,"&gt;="&amp;7722639400,Данные!$A$2:$A$722,"&lt;="&amp;7722639899)</f>
        <v>0</v>
      </c>
      <c r="BJ90" s="63" t="n">
        <f aca="false">COUNTIFS(Данные!$B$2:$B$722,48,Данные!$C$2:$C$722,1,Данные!$A$2:$A$722,"&gt;="&amp;7725750000,Данные!$A$2:$A$722,"&lt;="&amp;7725750399)</f>
        <v>0</v>
      </c>
      <c r="BK90" s="63" t="n">
        <f aca="false">COUNTIFS(Данные!$B$2:$B$722,48,Данные!$C$2:$C$722,1,Данные!$A$2:$A$722,"&gt;="&amp;7723620000,Данные!$A$2:$A$722,"&lt;="&amp;7723621299)</f>
        <v>0</v>
      </c>
      <c r="BL90" s="63" t="n">
        <f aca="false">COUNTIFS(Данные!$B$2:$B$722,48,Данные!$C$2:$C$722,1,Данные!$A$2:$A$722,"&gt;="&amp;7723621600,Данные!$A$2:$A$722,"&lt;="&amp;7723623399)</f>
        <v>0</v>
      </c>
      <c r="BM90" s="63" t="n">
        <f aca="false">COUNTIFS(Данные!$B$2:$B$722,48,Данные!$C$2:$C$722,1,Данные!$A$2:$A$722,"&gt;="&amp;7725127000,Данные!$A$2:$A$722,"&lt;="&amp;7725127999)</f>
        <v>0</v>
      </c>
      <c r="BN90" s="63" t="n">
        <f aca="false">COUNTIFS(Данные!$B$2:$B$722,48,Данные!$C$2:$C$722,1,Данные!$A$2:$A$722,"&gt;="&amp;7723772000,Данные!$A$2:$A$722,"&lt;="&amp;7723724999)</f>
        <v>0</v>
      </c>
      <c r="BO90" s="62" t="n">
        <f aca="false">COUNTIFS(Данные!$B$2:$B$722,48,Данные!$C$2:$C$722,1,Данные!$A$2:$A$722,"&gt;="&amp;7723765000,Данные!$A$2:$A$722,"&lt;="&amp;7723765499)</f>
        <v>0</v>
      </c>
      <c r="BP90" s="63" t="n">
        <f aca="false">COUNTIFS(Данные!$B$2:$B$722,48,Данные!$C$2:$C$722,1,Данные!$A$2:$A$722,"&gt;="&amp;7723948000,Данные!$A$2:$A$722,"&lt;="&amp;7723948999)</f>
        <v>0</v>
      </c>
      <c r="BQ90" s="63" t="n">
        <f aca="false">COUNTIFS(Данные!$B$2:$B$722,48,Данные!$C$2:$C$722,1,Данные!$A$2:$A$722,"&gt;="&amp;7723950000,Данные!$A$2:$A$722,"&lt;="&amp;7723951099)</f>
        <v>0</v>
      </c>
      <c r="BR90" s="63" t="n">
        <f aca="false">COUNTIFS(Данные!$B$2:$B$722,48,Данные!$C$2:$C$722,1,Данные!$A$2:$A$722,"&gt;="&amp;7723020000,Данные!$A$2:$A$722,"&lt;="&amp;7723020999)</f>
        <v>0</v>
      </c>
      <c r="BS90" s="63" t="n">
        <f aca="false">COUNTIFS(Данные!$B$2:$B$722,48,Данные!$C$2:$C$722,1,Данные!$A$2:$A$722,"&gt;="&amp;7723029000,Данные!$A$2:$A$722,"&lt;="&amp;7723029999)</f>
        <v>0</v>
      </c>
      <c r="BT90" s="63" t="n">
        <f aca="false">COUNTIFS(Данные!$B$2:$B$722,48,Данные!$C$2:$C$722,1,Данные!$A$2:$A$722,"&gt;="&amp;7723055000,Данные!$A$2:$A$722,"&lt;="&amp;7723056549)</f>
        <v>0</v>
      </c>
      <c r="BU90" s="62" t="n">
        <f aca="false">COUNTIFS(Данные!$B$2:$B$722,48,Данные!$C$2:$C$722,1,Данные!$A$2:$A$722,"&gt;="&amp;7725250000,Данные!$A$2:$A$722,"&lt;="&amp;7725250499)</f>
        <v>0</v>
      </c>
      <c r="BV90" s="63" t="n">
        <f aca="false">COUNTIFS(Данные!$B$2:$B$722,48,Данные!$C$2:$C$722,1,Данные!$A$2:$A$722,"&gt;="&amp;7183841400,Данные!$A$2:$A$722,"&lt;="&amp;7183841499)</f>
        <v>0</v>
      </c>
      <c r="BW90" s="40" t="n">
        <v>300</v>
      </c>
      <c r="BX90" s="64" t="n">
        <f aca="false">F90-BW90</f>
        <v>-300</v>
      </c>
    </row>
    <row r="91" s="15" customFormat="true" ht="12" hidden="false" customHeight="true" outlineLevel="0" collapsed="false">
      <c r="A91" s="38"/>
      <c r="B91" s="39"/>
      <c r="C91" s="41" t="n">
        <v>2</v>
      </c>
      <c r="D91" s="41" t="n">
        <v>482</v>
      </c>
      <c r="E91" s="42"/>
      <c r="F91" s="62" t="n">
        <f aca="false">COUNTIFS(Данные!$B$2:$B$722,48,Данные!$C$2:$C$722,2)</f>
        <v>0</v>
      </c>
      <c r="G91" s="62" t="n">
        <f aca="false">COUNTIFS(Данные!$B$2:$B$722,48,Данные!$C$2:$C$722,2,Данные!$A$2:$A$722,"&gt;="&amp;77232210840,Данные!$A$2:$A$722,"&lt;="&amp;77232216999)</f>
        <v>0</v>
      </c>
      <c r="H91" s="62" t="n">
        <f aca="false">COUNTIFS(Данные!$B$2:$B$722,48,Данные!$C$2:$C$722,2,Данные!$A$2:$A$722,"&gt;="&amp;77232510512,Данные!$A$2:$A$722,"&lt;="&amp;77232519487)</f>
        <v>0</v>
      </c>
      <c r="I91" s="62" t="n">
        <f aca="false">COUNTIFS(Данные!$B$2:$B$722,48,Данные!$C$2:$C$722,2,Данные!$A$2:$A$722,"&gt;="&amp;77232524160,Данные!$A$2:$A$722,"&lt;="&amp;77232529999)</f>
        <v>0</v>
      </c>
      <c r="J91" s="62" t="n">
        <f aca="false">COUNTIFS(Данные!$B$2:$B$722,48,Данные!$C$2:$C$722,2,Данные!$A$2:$A$722,"&gt;="&amp;77232544000,Данные!$A$2:$A$722,"&lt;="&amp;77232544999)</f>
        <v>0</v>
      </c>
      <c r="K91" s="62" t="n">
        <f aca="false">COUNTIFS(Данные!$B$2:$B$722,48,Данные!$C$2:$C$722,2,Данные!$A$2:$A$722,"&gt;="&amp;77232295504,Данные!$A$2:$A$722,"&lt;="&amp;77232296999)</f>
        <v>0</v>
      </c>
      <c r="L91" s="62" t="n">
        <f aca="false">COUNTIFS(Данные!$B$2:$B$722,48,Данные!$C$2:$C$722,2,Данные!$A$2:$A$722,"&gt;="&amp;77232785000,Данные!$A$2:$A$722,"&lt;="&amp;77232789999)</f>
        <v>0</v>
      </c>
      <c r="M91" s="62" t="n">
        <f aca="false">COUNTIFS(Данные!$B$2:$B$722,48,Данные!$C$2:$C$722,2,Данные!$A$2:$A$722,"&gt;="&amp;77233150000,Данные!$A$2:$A$722,"&lt;="&amp;77233155999)</f>
        <v>0</v>
      </c>
      <c r="N91" s="62" t="n">
        <f aca="false">COUNTIFS(Данные!$B$2:$B$722,48,Данные!$C$2:$C$722,2,Данные!$A$2:$A$722,"&gt;="&amp;77233235000,Данные!$A$2:$A$722,"&lt;="&amp;77233235999)</f>
        <v>0</v>
      </c>
      <c r="O91" s="62" t="n">
        <f aca="false">COUNTIFS(Данные!$B$2:$B$722,48,Данные!$C$2:$C$722,2,Данные!$A$2:$A$722,"&gt;="&amp;77233239000,Данные!$A$2:$A$722,"&lt;="&amp;77233239999)</f>
        <v>0</v>
      </c>
      <c r="P91" s="62" t="n">
        <f aca="false">COUNTIFS(Данные!$B$2:$B$722,48,Данные!$C$2:$C$722,2,Данные!$A$2:$A$722,"&gt;="&amp;77233272000,Данные!$A$2:$A$722,"&lt;="&amp;77233272999)</f>
        <v>0</v>
      </c>
      <c r="Q91" s="62" t="n">
        <f aca="false">COUNTIFS(Данные!$B$2:$B$722,48,Данные!$C$2:$C$722,2,Данные!$A$2:$A$722,"&gt;="&amp;77233291100,Данные!$A$2:$A$722,"&lt;="&amp;77233292999)</f>
        <v>0</v>
      </c>
      <c r="R91" s="62" t="n">
        <f aca="false">COUNTIFS(Данные!$B$2:$B$722,48,Данные!$C$2:$C$722,2,Данные!$A$2:$A$722,"&gt;="&amp;77233297000,Данные!$A$2:$A$722,"&lt;="&amp;77233298399)</f>
        <v>0</v>
      </c>
      <c r="S91" s="62" t="n">
        <f aca="false">COUNTIFS(Данные!$B$2:$B$722,48,Данные!$C$2:$C$722,2,Данные!$A$2:$A$722,"&gt;="&amp;77235124000,Данные!$A$2:$A$722,"&lt;="&amp;77235128499)</f>
        <v>0</v>
      </c>
      <c r="T91" s="62" t="n">
        <f aca="false">COUNTIFS(Данные!$B$2:$B$722,48,Данные!$C$2:$C$722,2,Данные!$A$2:$A$722,"&gt;="&amp;77235320000,Данные!$A$2:$A$722,"&lt;="&amp;77235320999)</f>
        <v>0</v>
      </c>
      <c r="U91" s="62" t="n">
        <f aca="false">COUNTIFS(Данные!$B$2:$B$722,48,Данные!$C$2:$C$722,2,Данные!$A$2:$A$722,"&gt;="&amp;77233620000,Данные!$A$2:$A$722,"&lt;="&amp;77233623339)</f>
        <v>0</v>
      </c>
      <c r="V91" s="62" t="n">
        <f aca="false">COUNTIFS(Данные!$B$2:$B$722,48,Данные!$C$2:$C$722,2,Данные!$A$2:$A$722,"&gt;="&amp;77233630000,Данные!$A$2:$A$722,"&lt;="&amp;77233630999)</f>
        <v>0</v>
      </c>
      <c r="W91" s="62" t="n">
        <f aca="false">COUNTIFS(Данные!$B$2:$B$722,48,Данные!$C$2:$C$722,2,Данные!$A$2:$A$722,"&gt;="&amp;77233637000,Данные!$A$2:$A$722,"&lt;="&amp;77233637599)</f>
        <v>0</v>
      </c>
      <c r="X91" s="62" t="n">
        <f aca="false">COUNTIFS(Данные!$B$2:$B$722,48,Данные!$C$2:$C$722,2,Данные!$A$2:$A$722,"&gt;="&amp;77233550000,Данные!$A$2:$A$722,"&lt;="&amp;77233550999)</f>
        <v>0</v>
      </c>
      <c r="Y91" s="62" t="n">
        <f aca="false">COUNTIFS(Данные!$B$2:$B$722,48,Данные!$C$2:$C$722,2,Данные!$A$2:$A$722,"&gt;="&amp;77233554000,Данные!$A$2:$A$722,"&lt;="&amp;77233554999)</f>
        <v>0</v>
      </c>
      <c r="Z91" s="62" t="n">
        <f aca="false">COUNTIFS(Данные!$B$2:$B$722,48,Данные!$C$2:$C$722,2,Данные!$A$2:$A$722,"&gt;="&amp;77233555000,Данные!$A$2:$A$722,"&lt;="&amp;77233556999)</f>
        <v>0</v>
      </c>
      <c r="AA91" s="62" t="n">
        <f aca="false">COUNTIFS(Данные!$B$2:$B$722,48,Данные!$C$2:$C$722,2,Данные!$A$2:$A$722,"&gt;="&amp;77233726000,Данные!$A$2:$A$722,"&lt;="&amp;77233726999)</f>
        <v>0</v>
      </c>
      <c r="AB91" s="62" t="n">
        <f aca="false">COUNTIFS(Данные!$B$2:$B$722,48,Данные!$C$2:$C$722,2,Данные!$A$2:$A$722,"&gt;="&amp;77233820000,Данные!$A$2:$A$722,"&lt;="&amp;77233820999)</f>
        <v>0</v>
      </c>
      <c r="AC91" s="62" t="n">
        <f aca="false">COUNTIFS(Данные!$B$2:$B$722,48,Данные!$C$2:$C$722,2,Данные!$A$2:$A$722,"&gt;="&amp;77233850000,Данные!$A$2:$A$722,"&lt;="&amp;77233850999)</f>
        <v>0</v>
      </c>
      <c r="AD91" s="62" t="n">
        <f aca="false">COUNTIFS(Данные!$B$2:$B$722,48,Данные!$C$2:$C$722,2,Данные!$A$2:$A$722,"&gt;="&amp;77233420000,Данные!$A$2:$A$722,"&lt;="&amp;77233420999)</f>
        <v>0</v>
      </c>
      <c r="AE91" s="62" t="n">
        <f aca="false">COUNTIFS(Данные!$B$2:$B$722,48,Данные!$C$2:$C$722,2,Данные!$A$2:$A$722,"&gt;="&amp;77234740000,Данные!$A$2:$A$722,"&lt;="&amp;77234742999)</f>
        <v>0</v>
      </c>
      <c r="AF91" s="62" t="n">
        <f aca="false">COUNTIFS(Данные!$B$2:$B$722,48,Данные!$C$2:$C$722,2,Данные!$A$2:$A$722,"&gt;="&amp;77234767000,Данные!$A$2:$A$722,"&lt;="&amp;77234767999)</f>
        <v>0</v>
      </c>
      <c r="AG91" s="62" t="n">
        <f aca="false">COUNTIFS(Данные!$B$2:$B$722,48,Данные!$C$2:$C$722,2,Данные!$A$2:$A$722,"&gt;="&amp;77234120000,Данные!$A$2:$A$722,"&lt;="&amp;77234120999)</f>
        <v>0</v>
      </c>
      <c r="AH91" s="62" t="n">
        <f aca="false">COUNTIFS(Данные!$B$2:$B$722,48,Данные!$C$2:$C$722,2,Данные!$A$2:$A$722,"&gt;="&amp;77234127000,Данные!$A$2:$A$722,"&lt;="&amp;77234127999)</f>
        <v>0</v>
      </c>
      <c r="AI91" s="62" t="n">
        <f aca="false">COUNTIFS(Данные!$B$2:$B$722,48,Данные!$C$2:$C$722,2,Данные!$A$2:$A$722,"&gt;="&amp;77234220000,Данные!$A$2:$A$722,"&lt;="&amp;77234220999)</f>
        <v>0</v>
      </c>
      <c r="AJ91" s="62" t="n">
        <f aca="false">COUNTIFS(Данные!$B$2:$B$722,48,Данные!$C$2:$C$722,2,Данные!$A$2:$A$722,"&gt;="&amp;77234250000,Данные!$A$2:$A$722,"&lt;="&amp;77234250999)</f>
        <v>0</v>
      </c>
      <c r="AK91" s="62" t="n">
        <f aca="false">COUNTIFS(Данные!$B$2:$B$722,48,Данные!$C$2:$C$722,2,Данные!$A$2:$A$722,"&gt;="&amp;77233922950,Данные!$A$2:$A$722,"&lt;="&amp;77233924999)</f>
        <v>0</v>
      </c>
      <c r="AL91" s="62" t="n">
        <f aca="false">COUNTIFS(Данные!$B$2:$B$722,48,Данные!$C$2:$C$722,2,Данные!$A$2:$A$722,"&gt;="&amp;77234320000,Данные!$A$2:$A$722,"&lt;="&amp;77234320999)</f>
        <v>0</v>
      </c>
      <c r="AM91" s="62" t="n">
        <f aca="false">COUNTIFS(Данные!$B$2:$B$722,48,Данные!$C$2:$C$722,2,Данные!$A$2:$A$722,"&gt;="&amp;77234350000,Данные!$A$2:$A$722,"&lt;="&amp;77234350999)</f>
        <v>0</v>
      </c>
      <c r="AN91" s="62" t="n">
        <f aca="false">COUNTIFS(Данные!$B$2:$B$722,48,Данные!$C$2:$C$722,2,Данные!$A$2:$A$722,"&gt;="&amp;77234020000,Данные!$A$2:$A$722,"&lt;="&amp;77234020999)</f>
        <v>0</v>
      </c>
      <c r="AO91" s="62" t="n">
        <f aca="false">COUNTIFS(Данные!$B$2:$B$722,48,Данные!$C$2:$C$722,2,Данные!$A$2:$A$722,"&gt;="&amp;77234029000,Данные!$A$2:$A$722,"&lt;="&amp;77234029999)</f>
        <v>0</v>
      </c>
      <c r="AP91" s="62" t="n">
        <f aca="false">COUNTIFS(Данные!$B$2:$B$722,48,Данные!$C$2:$C$722,2,Данные!$A$2:$A$722,"&gt;="&amp;77234050000,Данные!$A$2:$A$722,"&lt;="&amp;77234050999)</f>
        <v>0</v>
      </c>
      <c r="AQ91" s="62" t="n">
        <f aca="false">COUNTIFS(Данные!$B$2:$B$722,48,Данные!$C$2:$C$722,2,Данные!$A$2:$A$722,"&gt;="&amp;77234427000,Данные!$A$2:$A$722,"&lt;="&amp;77234428999)</f>
        <v>0</v>
      </c>
      <c r="AR91" s="62" t="n">
        <f aca="false">COUNTIFS(Данные!$B$2:$B$722,48,Данные!$C$2:$C$722,2,Данные!$A$2:$A$722,"&gt;="&amp;77234450000,Данные!$A$2:$A$722,"&lt;="&amp;77234450999)</f>
        <v>0</v>
      </c>
      <c r="AS91" s="62" t="n">
        <f aca="false">COUNTIFS(Данные!$B$2:$B$722,48,Данные!$C$2:$C$722,2,Данные!$A$2:$A$722,"&gt;="&amp;77234620000,Данные!$A$2:$A$722,"&lt;="&amp;77234620999)</f>
        <v>0</v>
      </c>
      <c r="AT91" s="62" t="n">
        <f aca="false">COUNTIFS(Данные!$B$2:$B$722,48,Данные!$C$2:$C$722,2,Данные!$A$2:$A$722,"&gt;="&amp;77234650000,Данные!$A$2:$A$722,"&lt;="&amp;77234650999)</f>
        <v>0</v>
      </c>
      <c r="AU91" s="62" t="n">
        <f aca="false">COUNTIFS(Данные!$B$2:$B$722,48,Данные!$C$2:$C$722,2,Данные!$A$2:$A$722,"&gt;="&amp;77234820000,Данные!$A$2:$A$722,"&lt;="&amp;77234820999)</f>
        <v>0</v>
      </c>
      <c r="AV91" s="62" t="n">
        <f aca="false">COUNTIFS(Данные!$B$2:$B$722,48,Данные!$C$2:$C$722,2,Данные!$A$2:$A$722,"&gt;="&amp;77234850000,Данные!$A$2:$A$722,"&lt;="&amp;77234850999)</f>
        <v>0</v>
      </c>
      <c r="AW91" s="62" t="n">
        <f aca="false">COUNTIFS(Данные!$B$2:$B$722,48,Данные!$C$2:$C$722,2,Данные!$A$2:$A$722,"&gt;="&amp;77233327000,Данные!$A$2:$A$722,"&lt;="&amp;77233327999)</f>
        <v>0</v>
      </c>
      <c r="AX91" s="62" t="n">
        <f aca="false">COUNTIFS(Данные!$B$2:$B$722,48,Данные!$C$2:$C$722,2,Данные!$A$2:$A$722,"&gt;="&amp;77233350000,Данные!$A$2:$A$722,"&lt;="&amp;77233350599)</f>
        <v>0</v>
      </c>
      <c r="AY91" s="62" t="n">
        <f aca="false">COUNTIFS(Данные!$B$2:$B$722,48,Данные!$C$2:$C$722,2,Данные!$A$2:$A$722,"&gt;="&amp;77233351000,Данные!$A$2:$A$722,"&lt;="&amp;77233351999)</f>
        <v>0</v>
      </c>
      <c r="AZ91" s="63" t="n">
        <f aca="false">COUNTIFS(Данные!$B$2:$B$722,48,Данные!$C$2:$C$722,2,Данные!$A$2:$A$722,"&gt;="&amp;7722440000,Данные!$A$2:$A$722,"&lt;="&amp;7722440999)</f>
        <v>0</v>
      </c>
      <c r="BA91" s="63" t="n">
        <f aca="false">COUNTIFS(Данные!$B$2:$B$722,48,Данные!$C$2:$C$722,2,Данные!$A$2:$A$722,"&gt;="&amp;7722442000,Данные!$A$2:$A$722,"&lt;="&amp;7722445659)</f>
        <v>0</v>
      </c>
      <c r="BB91" s="63" t="n">
        <f aca="false">COUNTIFS(Данные!$B$2:$B$722,48,Данные!$C$2:$C$722,2,Данные!$A$2:$A$722,"&gt;="&amp;7722450000,Данные!$A$2:$A$722,"&lt;="&amp;7722450199)</f>
        <v>0</v>
      </c>
      <c r="BC91" s="63" t="n">
        <f aca="false">COUNTIFS(Данные!$B$2:$B$722,48,Данные!$C$2:$C$722,2,Данные!$A$2:$A$722,"&gt;="&amp;7722451000,Данные!$A$2:$A$722,"&lt;="&amp;7722451374)</f>
        <v>0</v>
      </c>
      <c r="BD91" s="63" t="n">
        <f aca="false">COUNTIFS(Данные!$B$2:$B$722,48,Данные!$C$2:$C$722,2,Данные!$A$2:$A$722,"&gt;="&amp;7722452000,Данные!$A$2:$A$722,"&lt;="&amp;7722452299)</f>
        <v>0</v>
      </c>
      <c r="BE91" s="63" t="n">
        <f aca="false">COUNTIFS(Данные!$B$2:$B$722,48,Данные!$C$2:$C$722,2,Данные!$A$2:$A$722,"&gt;="&amp;7722453000,Данные!$A$2:$A$722,"&lt;="&amp;7722453816)</f>
        <v>0</v>
      </c>
      <c r="BF91" s="63" t="n">
        <f aca="false">COUNTIFS(Данные!$B$2:$B$722,48,Данные!$C$2:$C$722,2,Данные!$A$2:$A$722,"&gt;="&amp;7722454000,Данные!$A$2:$A$722,"&lt;="&amp;7722454099)</f>
        <v>0</v>
      </c>
      <c r="BG91" s="63" t="n">
        <f aca="false">COUNTIFS(Данные!$B$2:$B$722,48,Данные!$C$2:$C$722,2,Данные!$A$2:$A$722,"&gt;="&amp;7722458000,Данные!$A$2:$A$722,"&lt;="&amp;7722458999)</f>
        <v>0</v>
      </c>
      <c r="BH91" s="63" t="n">
        <f aca="false">COUNTIFS(Данные!$B$2:$B$722,48,Данные!$C$2:$C$722,2,Данные!$A$2:$A$722,"&gt;="&amp;7722630000,Данные!$A$2:$A$722,"&lt;="&amp;7722638549)</f>
        <v>0</v>
      </c>
      <c r="BI91" s="63" t="n">
        <f aca="false">COUNTIFS(Данные!$B$2:$B$722,48,Данные!$C$2:$C$722,2,Данные!$A$2:$A$722,"&gt;="&amp;7722639400,Данные!$A$2:$A$722,"&lt;="&amp;7722639899)</f>
        <v>0</v>
      </c>
      <c r="BJ91" s="63" t="n">
        <f aca="false">COUNTIFS(Данные!$B$2:$B$722,48,Данные!$C$2:$C$722,2,Данные!$A$2:$A$722,"&gt;="&amp;7725750000,Данные!$A$2:$A$722,"&lt;="&amp;7725750399)</f>
        <v>0</v>
      </c>
      <c r="BK91" s="63" t="n">
        <f aca="false">COUNTIFS(Данные!$B$2:$B$722,48,Данные!$C$2:$C$722,2,Данные!$A$2:$A$722,"&gt;="&amp;7723620000,Данные!$A$2:$A$722,"&lt;="&amp;7723621299)</f>
        <v>0</v>
      </c>
      <c r="BL91" s="63" t="n">
        <f aca="false">COUNTIFS(Данные!$B$2:$B$722,48,Данные!$C$2:$C$722,2,Данные!$A$2:$A$722,"&gt;="&amp;7723621600,Данные!$A$2:$A$722,"&lt;="&amp;7723623399)</f>
        <v>0</v>
      </c>
      <c r="BM91" s="63" t="n">
        <f aca="false">COUNTIFS(Данные!$B$2:$B$722,48,Данные!$C$2:$C$722,2,Данные!$A$2:$A$722,"&gt;="&amp;7725127000,Данные!$A$2:$A$722,"&lt;="&amp;7725127999)</f>
        <v>0</v>
      </c>
      <c r="BN91" s="63" t="n">
        <f aca="false">COUNTIFS(Данные!$B$2:$B$722,48,Данные!$C$2:$C$722,2,Данные!$A$2:$A$722,"&gt;="&amp;7723772000,Данные!$A$2:$A$722,"&lt;="&amp;7723724999)</f>
        <v>0</v>
      </c>
      <c r="BO91" s="62" t="n">
        <f aca="false">COUNTIFS(Данные!$B$2:$B$722,48,Данные!$C$2:$C$722,2,Данные!$A$2:$A$722,"&gt;="&amp;7723765000,Данные!$A$2:$A$722,"&lt;="&amp;7723765499)</f>
        <v>0</v>
      </c>
      <c r="BP91" s="63" t="n">
        <f aca="false">COUNTIFS(Данные!$B$2:$B$722,48,Данные!$C$2:$C$722,2,Данные!$A$2:$A$722,"&gt;="&amp;7723948000,Данные!$A$2:$A$722,"&lt;="&amp;7723948999)</f>
        <v>0</v>
      </c>
      <c r="BQ91" s="63" t="n">
        <f aca="false">COUNTIFS(Данные!$B$2:$B$722,48,Данные!$C$2:$C$722,2,Данные!$A$2:$A$722,"&gt;="&amp;7723950000,Данные!$A$2:$A$722,"&lt;="&amp;7723951099)</f>
        <v>0</v>
      </c>
      <c r="BR91" s="63" t="n">
        <f aca="false">COUNTIFS(Данные!$B$2:$B$722,48,Данные!$C$2:$C$722,2,Данные!$A$2:$A$722,"&gt;="&amp;7723020000,Данные!$A$2:$A$722,"&lt;="&amp;7723020999)</f>
        <v>0</v>
      </c>
      <c r="BS91" s="63" t="n">
        <f aca="false">COUNTIFS(Данные!$B$2:$B$722,48,Данные!$C$2:$C$722,2,Данные!$A$2:$A$722,"&gt;="&amp;7723029000,Данные!$A$2:$A$722,"&lt;="&amp;7723029999)</f>
        <v>0</v>
      </c>
      <c r="BT91" s="63" t="n">
        <f aca="false">COUNTIFS(Данные!$B$2:$B$722,48,Данные!$C$2:$C$722,2,Данные!$A$2:$A$722,"&gt;="&amp;7723055000,Данные!$A$2:$A$722,"&lt;="&amp;7723056549)</f>
        <v>0</v>
      </c>
      <c r="BU91" s="62" t="n">
        <f aca="false">COUNTIFS(Данные!$B$2:$B$722,48,Данные!$C$2:$C$722,2,Данные!$A$2:$A$722,"&gt;="&amp;7725250000,Данные!$A$2:$A$722,"&lt;="&amp;7725250499)</f>
        <v>0</v>
      </c>
      <c r="BV91" s="63" t="n">
        <f aca="false">COUNTIFS(Данные!$B$2:$B$722,48,Данные!$C$2:$C$722,2,Данные!$A$2:$A$722,"&gt;="&amp;7183841400,Данные!$A$2:$A$722,"&lt;="&amp;7183841499)</f>
        <v>0</v>
      </c>
      <c r="BW91" s="40" t="n">
        <v>300</v>
      </c>
      <c r="BX91" s="64" t="n">
        <f aca="false">F91-BW91</f>
        <v>-300</v>
      </c>
    </row>
    <row r="92" s="15" customFormat="true" ht="12" hidden="false" customHeight="true" outlineLevel="0" collapsed="false">
      <c r="A92" s="47" t="n">
        <v>59</v>
      </c>
      <c r="B92" s="48" t="s">
        <v>90</v>
      </c>
      <c r="C92" s="50" t="n">
        <v>0</v>
      </c>
      <c r="D92" s="50" t="n">
        <v>590</v>
      </c>
      <c r="E92" s="51" t="n">
        <f aca="false">SUM(F92:F94)</f>
        <v>28</v>
      </c>
      <c r="F92" s="65" t="n">
        <f aca="false">COUNTIFS(Данные!$B$2:$B$722,59,Данные!$C$2:$C$722,0)</f>
        <v>5</v>
      </c>
      <c r="G92" s="65" t="n">
        <f aca="false">COUNTIFS(Данные!$B$2:$B$722,59,Данные!$C$2:$C$722,0,Данные!$A$2:$A$722,"&gt;="&amp;77232210840,Данные!$A$2:$A$722,"&lt;="&amp;77232216999)</f>
        <v>0</v>
      </c>
      <c r="H92" s="65" t="n">
        <f aca="false">COUNTIFS(Данные!$B$2:$B$722,59,Данные!$C$2:$C$722,0,Данные!$A$2:$A$722,"&gt;="&amp;77232510512,Данные!$A$2:$A$722,"&lt;="&amp;77232519487)</f>
        <v>0</v>
      </c>
      <c r="I92" s="65" t="n">
        <f aca="false">COUNTIFS(Данные!$B$2:$B$722,59,Данные!$C$2:$C$722,0,Данные!$A$2:$A$722,"&gt;="&amp;77232524160,Данные!$A$2:$A$722,"&lt;="&amp;77232529999)</f>
        <v>0</v>
      </c>
      <c r="J92" s="65" t="n">
        <f aca="false">COUNTIFS(Данные!$B$2:$B$722,59,Данные!$C$2:$C$722,0,Данные!$A$2:$A$722,"&gt;="&amp;77232544000,Данные!$A$2:$A$722,"&lt;="&amp;77232544999)</f>
        <v>0</v>
      </c>
      <c r="K92" s="65" t="n">
        <f aca="false">COUNTIFS(Данные!$B$2:$B$722,59,Данные!$C$2:$C$722,0,Данные!$A$2:$A$722,"&gt;="&amp;77232295504,Данные!$A$2:$A$722,"&lt;="&amp;77232296999)</f>
        <v>0</v>
      </c>
      <c r="L92" s="65" t="n">
        <f aca="false">COUNTIFS(Данные!$B$2:$B$722,59,Данные!$C$2:$C$722,0,Данные!$A$2:$A$722,"&gt;="&amp;77232785000,Данные!$A$2:$A$722,"&lt;="&amp;77232789999)</f>
        <v>0</v>
      </c>
      <c r="M92" s="65" t="n">
        <f aca="false">COUNTIFS(Данные!$B$2:$B$722,59,Данные!$C$2:$C$722,0,Данные!$A$2:$A$722,"&gt;="&amp;77233150000,Данные!$A$2:$A$722,"&lt;="&amp;77233155999)</f>
        <v>0</v>
      </c>
      <c r="N92" s="65" t="n">
        <f aca="false">COUNTIFS(Данные!$B$2:$B$722,59,Данные!$C$2:$C$722,0,Данные!$A$2:$A$722,"&gt;="&amp;77233235000,Данные!$A$2:$A$722,"&lt;="&amp;77233235999)</f>
        <v>0</v>
      </c>
      <c r="O92" s="65" t="n">
        <f aca="false">COUNTIFS(Данные!$B$2:$B$722,59,Данные!$C$2:$C$722,0,Данные!$A$2:$A$722,"&gt;="&amp;77233239000,Данные!$A$2:$A$722,"&lt;="&amp;77233239999)</f>
        <v>0</v>
      </c>
      <c r="P92" s="65" t="n">
        <f aca="false">COUNTIFS(Данные!$B$2:$B$722,59,Данные!$C$2:$C$722,0,Данные!$A$2:$A$722,"&gt;="&amp;77233272000,Данные!$A$2:$A$722,"&lt;="&amp;77233272999)</f>
        <v>0</v>
      </c>
      <c r="Q92" s="65" t="n">
        <f aca="false">COUNTIFS(Данные!$B$2:$B$722,59,Данные!$C$2:$C$722,0,Данные!$A$2:$A$722,"&gt;="&amp;77233291100,Данные!$A$2:$A$722,"&lt;="&amp;77233292999)</f>
        <v>0</v>
      </c>
      <c r="R92" s="65" t="n">
        <f aca="false">COUNTIFS(Данные!$B$2:$B$722,59,Данные!$C$2:$C$722,0,Данные!$A$2:$A$722,"&gt;="&amp;77233297000,Данные!$A$2:$A$722,"&lt;="&amp;77233298399)</f>
        <v>0</v>
      </c>
      <c r="S92" s="65" t="n">
        <f aca="false">COUNTIFS(Данные!$B$2:$B$722,59,Данные!$C$2:$C$722,0,Данные!$A$2:$A$722,"&gt;="&amp;77235124000,Данные!$A$2:$A$722,"&lt;="&amp;77235128499)</f>
        <v>0</v>
      </c>
      <c r="T92" s="65" t="n">
        <f aca="false">COUNTIFS(Данные!$B$2:$B$722,59,Данные!$C$2:$C$722,0,Данные!$A$2:$A$722,"&gt;="&amp;77235320000,Данные!$A$2:$A$722,"&lt;="&amp;77235320999)</f>
        <v>0</v>
      </c>
      <c r="U92" s="65" t="n">
        <f aca="false">COUNTIFS(Данные!$B$2:$B$722,59,Данные!$C$2:$C$722,0,Данные!$A$2:$A$722,"&gt;="&amp;77233620000,Данные!$A$2:$A$722,"&lt;="&amp;77233623339)</f>
        <v>0</v>
      </c>
      <c r="V92" s="65" t="n">
        <f aca="false">COUNTIFS(Данные!$B$2:$B$722,59,Данные!$C$2:$C$722,0,Данные!$A$2:$A$722,"&gt;="&amp;77233630000,Данные!$A$2:$A$722,"&lt;="&amp;77233630999)</f>
        <v>0</v>
      </c>
      <c r="W92" s="65" t="n">
        <f aca="false">COUNTIFS(Данные!$B$2:$B$722,59,Данные!$C$2:$C$722,0,Данные!$A$2:$A$722,"&gt;="&amp;77233637000,Данные!$A$2:$A$722,"&lt;="&amp;77233637599)</f>
        <v>0</v>
      </c>
      <c r="X92" s="65" t="n">
        <f aca="false">COUNTIFS(Данные!$B$2:$B$722,59,Данные!$C$2:$C$722,0,Данные!$A$2:$A$722,"&gt;="&amp;77233550000,Данные!$A$2:$A$722,"&lt;="&amp;77233550999)</f>
        <v>0</v>
      </c>
      <c r="Y92" s="65" t="n">
        <f aca="false">COUNTIFS(Данные!$B$2:$B$722,59,Данные!$C$2:$C$722,0,Данные!$A$2:$A$722,"&gt;="&amp;77233554000,Данные!$A$2:$A$722,"&lt;="&amp;77233554999)</f>
        <v>0</v>
      </c>
      <c r="Z92" s="65" t="n">
        <f aca="false">COUNTIFS(Данные!$B$2:$B$722,59,Данные!$C$2:$C$722,0,Данные!$A$2:$A$722,"&gt;="&amp;77233555000,Данные!$A$2:$A$722,"&lt;="&amp;77233556999)</f>
        <v>0</v>
      </c>
      <c r="AA92" s="65" t="n">
        <f aca="false">COUNTIFS(Данные!$B$2:$B$722,59,Данные!$C$2:$C$722,0,Данные!$A$2:$A$722,"&gt;="&amp;77233726000,Данные!$A$2:$A$722,"&lt;="&amp;77233726999)</f>
        <v>0</v>
      </c>
      <c r="AB92" s="65" t="n">
        <f aca="false">COUNTIFS(Данные!$B$2:$B$722,59,Данные!$C$2:$C$722,0,Данные!$A$2:$A$722,"&gt;="&amp;77233820000,Данные!$A$2:$A$722,"&lt;="&amp;77233820999)</f>
        <v>0</v>
      </c>
      <c r="AC92" s="65" t="n">
        <f aca="false">COUNTIFS(Данные!$B$2:$B$722,59,Данные!$C$2:$C$722,0,Данные!$A$2:$A$722,"&gt;="&amp;77233850000,Данные!$A$2:$A$722,"&lt;="&amp;77233850999)</f>
        <v>0</v>
      </c>
      <c r="AD92" s="65" t="n">
        <f aca="false">COUNTIFS(Данные!$B$2:$B$722,59,Данные!$C$2:$C$722,0,Данные!$A$2:$A$722,"&gt;="&amp;77233420000,Данные!$A$2:$A$722,"&lt;="&amp;77233420999)</f>
        <v>0</v>
      </c>
      <c r="AE92" s="65" t="n">
        <f aca="false">COUNTIFS(Данные!$B$2:$B$722,59,Данные!$C$2:$C$722,0,Данные!$A$2:$A$722,"&gt;="&amp;77234740000,Данные!$A$2:$A$722,"&lt;="&amp;77234742999)</f>
        <v>2</v>
      </c>
      <c r="AF92" s="65" t="n">
        <f aca="false">COUNTIFS(Данные!$B$2:$B$722,59,Данные!$C$2:$C$722,0,Данные!$A$2:$A$722,"&gt;="&amp;77234767000,Данные!$A$2:$A$722,"&lt;="&amp;77234767999)</f>
        <v>3</v>
      </c>
      <c r="AG92" s="65" t="n">
        <f aca="false">COUNTIFS(Данные!$B$2:$B$722,59,Данные!$C$2:$C$722,0,Данные!$A$2:$A$722,"&gt;="&amp;77234120000,Данные!$A$2:$A$722,"&lt;="&amp;77234120999)</f>
        <v>0</v>
      </c>
      <c r="AH92" s="65" t="n">
        <f aca="false">COUNTIFS(Данные!$B$2:$B$722,59,Данные!$C$2:$C$722,0,Данные!$A$2:$A$722,"&gt;="&amp;77234127000,Данные!$A$2:$A$722,"&lt;="&amp;77234127999)</f>
        <v>0</v>
      </c>
      <c r="AI92" s="65" t="n">
        <f aca="false">COUNTIFS(Данные!$B$2:$B$722,59,Данные!$C$2:$C$722,0,Данные!$A$2:$A$722,"&gt;="&amp;77234220000,Данные!$A$2:$A$722,"&lt;="&amp;77234220999)</f>
        <v>0</v>
      </c>
      <c r="AJ92" s="65" t="n">
        <f aca="false">COUNTIFS(Данные!$B$2:$B$722,59,Данные!$C$2:$C$722,0,Данные!$A$2:$A$722,"&gt;="&amp;77234250000,Данные!$A$2:$A$722,"&lt;="&amp;77234250999)</f>
        <v>0</v>
      </c>
      <c r="AK92" s="65" t="n">
        <f aca="false">COUNTIFS(Данные!$B$2:$B$722,59,Данные!$C$2:$C$722,0,Данные!$A$2:$A$722,"&gt;="&amp;77233922950,Данные!$A$2:$A$722,"&lt;="&amp;77233924999)</f>
        <v>0</v>
      </c>
      <c r="AL92" s="65" t="n">
        <f aca="false">COUNTIFS(Данные!$B$2:$B$722,59,Данные!$C$2:$C$722,0,Данные!$A$2:$A$722,"&gt;="&amp;77234320000,Данные!$A$2:$A$722,"&lt;="&amp;77234320999)</f>
        <v>0</v>
      </c>
      <c r="AM92" s="65" t="n">
        <f aca="false">COUNTIFS(Данные!$B$2:$B$722,59,Данные!$C$2:$C$722,0,Данные!$A$2:$A$722,"&gt;="&amp;77234350000,Данные!$A$2:$A$722,"&lt;="&amp;77234350999)</f>
        <v>0</v>
      </c>
      <c r="AN92" s="65" t="n">
        <f aca="false">COUNTIFS(Данные!$B$2:$B$722,59,Данные!$C$2:$C$722,0,Данные!$A$2:$A$722,"&gt;="&amp;77234020000,Данные!$A$2:$A$722,"&lt;="&amp;77234020999)</f>
        <v>0</v>
      </c>
      <c r="AO92" s="65" t="n">
        <f aca="false">COUNTIFS(Данные!$B$2:$B$722,59,Данные!$C$2:$C$722,0,Данные!$A$2:$A$722,"&gt;="&amp;77234029000,Данные!$A$2:$A$722,"&lt;="&amp;77234029999)</f>
        <v>0</v>
      </c>
      <c r="AP92" s="65" t="n">
        <f aca="false">COUNTIFS(Данные!$B$2:$B$722,59,Данные!$C$2:$C$722,0,Данные!$A$2:$A$722,"&gt;="&amp;77234050000,Данные!$A$2:$A$722,"&lt;="&amp;77234050999)</f>
        <v>0</v>
      </c>
      <c r="AQ92" s="65" t="n">
        <f aca="false">COUNTIFS(Данные!$B$2:$B$722,59,Данные!$C$2:$C$722,0,Данные!$A$2:$A$722,"&gt;="&amp;77234427000,Данные!$A$2:$A$722,"&lt;="&amp;77234428999)</f>
        <v>0</v>
      </c>
      <c r="AR92" s="65" t="n">
        <f aca="false">COUNTIFS(Данные!$B$2:$B$722,59,Данные!$C$2:$C$722,0,Данные!$A$2:$A$722,"&gt;="&amp;77234450000,Данные!$A$2:$A$722,"&lt;="&amp;77234450999)</f>
        <v>0</v>
      </c>
      <c r="AS92" s="65" t="n">
        <f aca="false">COUNTIFS(Данные!$B$2:$B$722,59,Данные!$C$2:$C$722,0,Данные!$A$2:$A$722,"&gt;="&amp;77234620000,Данные!$A$2:$A$722,"&lt;="&amp;77234620999)</f>
        <v>0</v>
      </c>
      <c r="AT92" s="65" t="n">
        <f aca="false">COUNTIFS(Данные!$B$2:$B$722,59,Данные!$C$2:$C$722,0,Данные!$A$2:$A$722,"&gt;="&amp;77234650000,Данные!$A$2:$A$722,"&lt;="&amp;77234650999)</f>
        <v>0</v>
      </c>
      <c r="AU92" s="65" t="n">
        <f aca="false">COUNTIFS(Данные!$B$2:$B$722,59,Данные!$C$2:$C$722,0,Данные!$A$2:$A$722,"&gt;="&amp;77234820000,Данные!$A$2:$A$722,"&lt;="&amp;77234820999)</f>
        <v>0</v>
      </c>
      <c r="AV92" s="65" t="n">
        <f aca="false">COUNTIFS(Данные!$B$2:$B$722,59,Данные!$C$2:$C$722,0,Данные!$A$2:$A$722,"&gt;="&amp;77234850000,Данные!$A$2:$A$722,"&lt;="&amp;77234850999)</f>
        <v>0</v>
      </c>
      <c r="AW92" s="65" t="n">
        <f aca="false">COUNTIFS(Данные!$B$2:$B$722,59,Данные!$C$2:$C$722,0,Данные!$A$2:$A$722,"&gt;="&amp;77233327000,Данные!$A$2:$A$722,"&lt;="&amp;77233327999)</f>
        <v>0</v>
      </c>
      <c r="AX92" s="65" t="n">
        <f aca="false">COUNTIFS(Данные!$B$2:$B$722,59,Данные!$C$2:$C$722,0,Данные!$A$2:$A$722,"&gt;="&amp;77233350000,Данные!$A$2:$A$722,"&lt;="&amp;77233350599)</f>
        <v>0</v>
      </c>
      <c r="AY92" s="65" t="n">
        <f aca="false">COUNTIFS(Данные!$B$2:$B$722,59,Данные!$C$2:$C$722,0,Данные!$A$2:$A$722,"&gt;="&amp;77233351000,Данные!$A$2:$A$722,"&lt;="&amp;77233351999)</f>
        <v>0</v>
      </c>
      <c r="AZ92" s="66" t="n">
        <f aca="false">COUNTIFS(Данные!$B$2:$B$722,59,Данные!$C$2:$C$722,0,Данные!$A$2:$A$722,"&gt;="&amp;7722440000,Данные!$A$2:$A$722,"&lt;="&amp;7722440999)</f>
        <v>0</v>
      </c>
      <c r="BA92" s="66" t="n">
        <f aca="false">COUNTIFS(Данные!$B$2:$B$722,59,Данные!$C$2:$C$722,0,Данные!$A$2:$A$722,"&gt;="&amp;7722442000,Данные!$A$2:$A$722,"&lt;="&amp;7722445659)</f>
        <v>0</v>
      </c>
      <c r="BB92" s="66" t="n">
        <f aca="false">COUNTIFS(Данные!$B$2:$B$722,59,Данные!$C$2:$C$722,0,Данные!$A$2:$A$722,"&gt;="&amp;7722450000,Данные!$A$2:$A$722,"&lt;="&amp;7722450199)</f>
        <v>0</v>
      </c>
      <c r="BC92" s="66" t="n">
        <f aca="false">COUNTIFS(Данные!$B$2:$B$722,59,Данные!$C$2:$C$722,0,Данные!$A$2:$A$722,"&gt;="&amp;7722451000,Данные!$A$2:$A$722,"&lt;="&amp;7722451374)</f>
        <v>0</v>
      </c>
      <c r="BD92" s="66" t="n">
        <f aca="false">COUNTIFS(Данные!$B$2:$B$722,59,Данные!$C$2:$C$722,0,Данные!$A$2:$A$722,"&gt;="&amp;7722452000,Данные!$A$2:$A$722,"&lt;="&amp;7722452299)</f>
        <v>0</v>
      </c>
      <c r="BE92" s="66" t="n">
        <f aca="false">COUNTIFS(Данные!$B$2:$B$722,59,Данные!$C$2:$C$722,0,Данные!$A$2:$A$722,"&gt;="&amp;7722453000,Данные!$A$2:$A$722,"&lt;="&amp;7722453816)</f>
        <v>0</v>
      </c>
      <c r="BF92" s="66" t="n">
        <f aca="false">COUNTIFS(Данные!$B$2:$B$722,59,Данные!$C$2:$C$722,0,Данные!$A$2:$A$722,"&gt;="&amp;7722454000,Данные!$A$2:$A$722,"&lt;="&amp;7722454099)</f>
        <v>0</v>
      </c>
      <c r="BG92" s="66" t="n">
        <f aca="false">COUNTIFS(Данные!$B$2:$B$722,59,Данные!$C$2:$C$722,0,Данные!$A$2:$A$722,"&gt;="&amp;7722458000,Данные!$A$2:$A$722,"&lt;="&amp;7722458999)</f>
        <v>0</v>
      </c>
      <c r="BH92" s="66" t="n">
        <f aca="false">COUNTIFS(Данные!$B$2:$B$722,59,Данные!$C$2:$C$722,0,Данные!$A$2:$A$722,"&gt;="&amp;7722630000,Данные!$A$2:$A$722,"&lt;="&amp;7722638549)</f>
        <v>0</v>
      </c>
      <c r="BI92" s="66" t="n">
        <f aca="false">COUNTIFS(Данные!$B$2:$B$722,59,Данные!$C$2:$C$722,0,Данные!$A$2:$A$722,"&gt;="&amp;7722639400,Данные!$A$2:$A$722,"&lt;="&amp;7722639899)</f>
        <v>0</v>
      </c>
      <c r="BJ92" s="66" t="n">
        <f aca="false">COUNTIFS(Данные!$B$2:$B$722,59,Данные!$C$2:$C$722,0,Данные!$A$2:$A$722,"&gt;="&amp;7725750000,Данные!$A$2:$A$722,"&lt;="&amp;7725750399)</f>
        <v>0</v>
      </c>
      <c r="BK92" s="66" t="n">
        <f aca="false">COUNTIFS(Данные!$B$2:$B$722,59,Данные!$C$2:$C$722,0,Данные!$A$2:$A$722,"&gt;="&amp;7723620000,Данные!$A$2:$A$722,"&lt;="&amp;7723621299)</f>
        <v>0</v>
      </c>
      <c r="BL92" s="66" t="n">
        <f aca="false">COUNTIFS(Данные!$B$2:$B$722,59,Данные!$C$2:$C$722,0,Данные!$A$2:$A$722,"&gt;="&amp;7723621600,Данные!$A$2:$A$722,"&lt;="&amp;7723623399)</f>
        <v>0</v>
      </c>
      <c r="BM92" s="66" t="n">
        <f aca="false">COUNTIFS(Данные!$B$2:$B$722,59,Данные!$C$2:$C$722,0,Данные!$A$2:$A$722,"&gt;="&amp;7725127000,Данные!$A$2:$A$722,"&lt;="&amp;7725127999)</f>
        <v>0</v>
      </c>
      <c r="BN92" s="66" t="n">
        <f aca="false">COUNTIFS(Данные!$B$2:$B$722,59,Данные!$C$2:$C$722,0,Данные!$A$2:$A$722,"&gt;="&amp;7723772000,Данные!$A$2:$A$722,"&lt;="&amp;7723724999)</f>
        <v>0</v>
      </c>
      <c r="BO92" s="65" t="n">
        <f aca="false">COUNTIFS(Данные!$B$2:$B$722,59,Данные!$C$2:$C$722,0,Данные!$A$2:$A$722,"&gt;="&amp;7723765000,Данные!$A$2:$A$722,"&lt;="&amp;7723765499)</f>
        <v>0</v>
      </c>
      <c r="BP92" s="66" t="n">
        <f aca="false">COUNTIFS(Данные!$B$2:$B$722,59,Данные!$C$2:$C$722,0,Данные!$A$2:$A$722,"&gt;="&amp;7723948000,Данные!$A$2:$A$722,"&lt;="&amp;7723948999)</f>
        <v>0</v>
      </c>
      <c r="BQ92" s="66" t="n">
        <f aca="false">COUNTIFS(Данные!$B$2:$B$722,59,Данные!$C$2:$C$722,0,Данные!$A$2:$A$722,"&gt;="&amp;7723950000,Данные!$A$2:$A$722,"&lt;="&amp;7723951099)</f>
        <v>0</v>
      </c>
      <c r="BR92" s="66" t="n">
        <f aca="false">COUNTIFS(Данные!$B$2:$B$722,59,Данные!$C$2:$C$722,0,Данные!$A$2:$A$722,"&gt;="&amp;7723020000,Данные!$A$2:$A$722,"&lt;="&amp;7723020999)</f>
        <v>0</v>
      </c>
      <c r="BS92" s="66" t="n">
        <f aca="false">COUNTIFS(Данные!$B$2:$B$722,59,Данные!$C$2:$C$722,0,Данные!$A$2:$A$722,"&gt;="&amp;7723029000,Данные!$A$2:$A$722,"&lt;="&amp;7723029999)</f>
        <v>0</v>
      </c>
      <c r="BT92" s="66" t="n">
        <f aca="false">COUNTIFS(Данные!$B$2:$B$722,59,Данные!$C$2:$C$722,0,Данные!$A$2:$A$722,"&gt;="&amp;7723055000,Данные!$A$2:$A$722,"&lt;="&amp;7723056549)</f>
        <v>0</v>
      </c>
      <c r="BU92" s="65" t="n">
        <f aca="false">COUNTIFS(Данные!$B$2:$B$722,59,Данные!$C$2:$C$722,0,Данные!$A$2:$A$722,"&gt;="&amp;7725250000,Данные!$A$2:$A$722,"&lt;="&amp;7725250499)</f>
        <v>0</v>
      </c>
      <c r="BV92" s="66" t="n">
        <f aca="false">COUNTIFS(Данные!$B$2:$B$722,59,Данные!$C$2:$C$722,0,Данные!$A$2:$A$722,"&gt;="&amp;7183841400,Данные!$A$2:$A$722,"&lt;="&amp;7183841499)</f>
        <v>0</v>
      </c>
      <c r="BW92" s="49" t="n">
        <v>300</v>
      </c>
      <c r="BX92" s="67" t="n">
        <f aca="false">F92-BW92</f>
        <v>-295</v>
      </c>
    </row>
    <row r="93" s="15" customFormat="true" ht="12" hidden="false" customHeight="true" outlineLevel="0" collapsed="false">
      <c r="A93" s="47"/>
      <c r="B93" s="48"/>
      <c r="C93" s="50" t="n">
        <v>1</v>
      </c>
      <c r="D93" s="50" t="n">
        <v>591</v>
      </c>
      <c r="E93" s="51"/>
      <c r="F93" s="65" t="n">
        <f aca="false">COUNTIFS(Данные!$B$2:$B$722,59,Данные!$C$2:$C$722,1)</f>
        <v>12</v>
      </c>
      <c r="G93" s="65" t="n">
        <f aca="false">COUNTIFS(Данные!$B$2:$B$722,59,Данные!$C$2:$C$722,1,Данные!$A$2:$A$722,"&gt;="&amp;77232210840,Данные!$A$2:$A$722,"&lt;="&amp;77232216999)</f>
        <v>0</v>
      </c>
      <c r="H93" s="65" t="n">
        <f aca="false">COUNTIFS(Данные!$B$2:$B$722,59,Данные!$C$2:$C$722,1,Данные!$A$2:$A$722,"&gt;="&amp;77232510512,Данные!$A$2:$A$722,"&lt;="&amp;77232519487)</f>
        <v>0</v>
      </c>
      <c r="I93" s="65" t="n">
        <f aca="false">COUNTIFS(Данные!$B$2:$B$722,59,Данные!$C$2:$C$722,1,Данные!$A$2:$A$722,"&gt;="&amp;77232524160,Данные!$A$2:$A$722,"&lt;="&amp;77232529999)</f>
        <v>0</v>
      </c>
      <c r="J93" s="65" t="n">
        <f aca="false">COUNTIFS(Данные!$B$2:$B$722,59,Данные!$C$2:$C$722,1,Данные!$A$2:$A$722,"&gt;="&amp;77232544000,Данные!$A$2:$A$722,"&lt;="&amp;77232544999)</f>
        <v>0</v>
      </c>
      <c r="K93" s="65" t="n">
        <f aca="false">COUNTIFS(Данные!$B$2:$B$722,59,Данные!$C$2:$C$722,1,Данные!$A$2:$A$722,"&gt;="&amp;77232295504,Данные!$A$2:$A$722,"&lt;="&amp;77232296999)</f>
        <v>0</v>
      </c>
      <c r="L93" s="65" t="n">
        <f aca="false">COUNTIFS(Данные!$B$2:$B$722,59,Данные!$C$2:$C$722,1,Данные!$A$2:$A$722,"&gt;="&amp;77232785000,Данные!$A$2:$A$722,"&lt;="&amp;77232789999)</f>
        <v>0</v>
      </c>
      <c r="M93" s="65" t="n">
        <f aca="false">COUNTIFS(Данные!$B$2:$B$722,59,Данные!$C$2:$C$722,1,Данные!$A$2:$A$722,"&gt;="&amp;77233150000,Данные!$A$2:$A$722,"&lt;="&amp;77233155999)</f>
        <v>0</v>
      </c>
      <c r="N93" s="65" t="n">
        <f aca="false">COUNTIFS(Данные!$B$2:$B$722,59,Данные!$C$2:$C$722,1,Данные!$A$2:$A$722,"&gt;="&amp;77233235000,Данные!$A$2:$A$722,"&lt;="&amp;77233235999)</f>
        <v>0</v>
      </c>
      <c r="O93" s="65" t="n">
        <f aca="false">COUNTIFS(Данные!$B$2:$B$722,59,Данные!$C$2:$C$722,1,Данные!$A$2:$A$722,"&gt;="&amp;77233239000,Данные!$A$2:$A$722,"&lt;="&amp;77233239999)</f>
        <v>0</v>
      </c>
      <c r="P93" s="65" t="n">
        <f aca="false">COUNTIFS(Данные!$B$2:$B$722,59,Данные!$C$2:$C$722,1,Данные!$A$2:$A$722,"&gt;="&amp;77233272000,Данные!$A$2:$A$722,"&lt;="&amp;77233272999)</f>
        <v>0</v>
      </c>
      <c r="Q93" s="65" t="n">
        <f aca="false">COUNTIFS(Данные!$B$2:$B$722,59,Данные!$C$2:$C$722,1,Данные!$A$2:$A$722,"&gt;="&amp;77233291100,Данные!$A$2:$A$722,"&lt;="&amp;77233292999)</f>
        <v>0</v>
      </c>
      <c r="R93" s="65" t="n">
        <f aca="false">COUNTIFS(Данные!$B$2:$B$722,59,Данные!$C$2:$C$722,1,Данные!$A$2:$A$722,"&gt;="&amp;77233297000,Данные!$A$2:$A$722,"&lt;="&amp;77233298399)</f>
        <v>0</v>
      </c>
      <c r="S93" s="65" t="n">
        <f aca="false">COUNTIFS(Данные!$B$2:$B$722,59,Данные!$C$2:$C$722,1,Данные!$A$2:$A$722,"&gt;="&amp;77235124000,Данные!$A$2:$A$722,"&lt;="&amp;77235128499)</f>
        <v>0</v>
      </c>
      <c r="T93" s="65" t="n">
        <f aca="false">COUNTIFS(Данные!$B$2:$B$722,59,Данные!$C$2:$C$722,1,Данные!$A$2:$A$722,"&gt;="&amp;77235320000,Данные!$A$2:$A$722,"&lt;="&amp;77235320999)</f>
        <v>0</v>
      </c>
      <c r="U93" s="65" t="n">
        <f aca="false">COUNTIFS(Данные!$B$2:$B$722,59,Данные!$C$2:$C$722,1,Данные!$A$2:$A$722,"&gt;="&amp;77233620000,Данные!$A$2:$A$722,"&lt;="&amp;77233623339)</f>
        <v>0</v>
      </c>
      <c r="V93" s="65" t="n">
        <f aca="false">COUNTIFS(Данные!$B$2:$B$722,59,Данные!$C$2:$C$722,1,Данные!$A$2:$A$722,"&gt;="&amp;77233630000,Данные!$A$2:$A$722,"&lt;="&amp;77233630999)</f>
        <v>0</v>
      </c>
      <c r="W93" s="65" t="n">
        <f aca="false">COUNTIFS(Данные!$B$2:$B$722,59,Данные!$C$2:$C$722,1,Данные!$A$2:$A$722,"&gt;="&amp;77233637000,Данные!$A$2:$A$722,"&lt;="&amp;77233637599)</f>
        <v>0</v>
      </c>
      <c r="X93" s="65" t="n">
        <f aca="false">COUNTIFS(Данные!$B$2:$B$722,59,Данные!$C$2:$C$722,1,Данные!$A$2:$A$722,"&gt;="&amp;77233550000,Данные!$A$2:$A$722,"&lt;="&amp;77233550999)</f>
        <v>0</v>
      </c>
      <c r="Y93" s="65" t="n">
        <f aca="false">COUNTIFS(Данные!$B$2:$B$722,59,Данные!$C$2:$C$722,1,Данные!$A$2:$A$722,"&gt;="&amp;77233554000,Данные!$A$2:$A$722,"&lt;="&amp;77233554999)</f>
        <v>0</v>
      </c>
      <c r="Z93" s="65" t="n">
        <f aca="false">COUNTIFS(Данные!$B$2:$B$722,59,Данные!$C$2:$C$722,1,Данные!$A$2:$A$722,"&gt;="&amp;77233555000,Данные!$A$2:$A$722,"&lt;="&amp;77233556999)</f>
        <v>0</v>
      </c>
      <c r="AA93" s="65" t="n">
        <f aca="false">COUNTIFS(Данные!$B$2:$B$722,59,Данные!$C$2:$C$722,1,Данные!$A$2:$A$722,"&gt;="&amp;77233726000,Данные!$A$2:$A$722,"&lt;="&amp;77233726999)</f>
        <v>0</v>
      </c>
      <c r="AB93" s="65" t="n">
        <f aca="false">COUNTIFS(Данные!$B$2:$B$722,59,Данные!$C$2:$C$722,1,Данные!$A$2:$A$722,"&gt;="&amp;77233820000,Данные!$A$2:$A$722,"&lt;="&amp;77233820999)</f>
        <v>0</v>
      </c>
      <c r="AC93" s="65" t="n">
        <f aca="false">COUNTIFS(Данные!$B$2:$B$722,59,Данные!$C$2:$C$722,1,Данные!$A$2:$A$722,"&gt;="&amp;77233850000,Данные!$A$2:$A$722,"&lt;="&amp;77233850999)</f>
        <v>0</v>
      </c>
      <c r="AD93" s="65" t="n">
        <f aca="false">COUNTIFS(Данные!$B$2:$B$722,59,Данные!$C$2:$C$722,1,Данные!$A$2:$A$722,"&gt;="&amp;77233420000,Данные!$A$2:$A$722,"&lt;="&amp;77233420999)</f>
        <v>0</v>
      </c>
      <c r="AE93" s="65" t="n">
        <f aca="false">COUNTIFS(Данные!$B$2:$B$722,59,Данные!$C$2:$C$722,1,Данные!$A$2:$A$722,"&gt;="&amp;77234740000,Данные!$A$2:$A$722,"&lt;="&amp;77234742999)</f>
        <v>3</v>
      </c>
      <c r="AF93" s="65" t="n">
        <f aca="false">COUNTIFS(Данные!$B$2:$B$722,59,Данные!$C$2:$C$722,1,Данные!$A$2:$A$722,"&gt;="&amp;77234767000,Данные!$A$2:$A$722,"&lt;="&amp;77234767999)</f>
        <v>8</v>
      </c>
      <c r="AG93" s="65" t="n">
        <f aca="false">COUNTIFS(Данные!$B$2:$B$722,59,Данные!$C$2:$C$722,1,Данные!$A$2:$A$722,"&gt;="&amp;77234120000,Данные!$A$2:$A$722,"&lt;="&amp;77234120999)</f>
        <v>0</v>
      </c>
      <c r="AH93" s="65" t="n">
        <f aca="false">COUNTIFS(Данные!$B$2:$B$722,59,Данные!$C$2:$C$722,1,Данные!$A$2:$A$722,"&gt;="&amp;77234127000,Данные!$A$2:$A$722,"&lt;="&amp;77234127999)</f>
        <v>0</v>
      </c>
      <c r="AI93" s="65" t="n">
        <f aca="false">COUNTIFS(Данные!$B$2:$B$722,59,Данные!$C$2:$C$722,1,Данные!$A$2:$A$722,"&gt;="&amp;77234220000,Данные!$A$2:$A$722,"&lt;="&amp;77234220999)</f>
        <v>0</v>
      </c>
      <c r="AJ93" s="65" t="n">
        <f aca="false">COUNTIFS(Данные!$B$2:$B$722,59,Данные!$C$2:$C$722,1,Данные!$A$2:$A$722,"&gt;="&amp;77234250000,Данные!$A$2:$A$722,"&lt;="&amp;77234250999)</f>
        <v>0</v>
      </c>
      <c r="AK93" s="65" t="n">
        <f aca="false">COUNTIFS(Данные!$B$2:$B$722,59,Данные!$C$2:$C$722,1,Данные!$A$2:$A$722,"&gt;="&amp;77233922950,Данные!$A$2:$A$722,"&lt;="&amp;77233924999)</f>
        <v>0</v>
      </c>
      <c r="AL93" s="65" t="n">
        <f aca="false">COUNTIFS(Данные!$B$2:$B$722,59,Данные!$C$2:$C$722,1,Данные!$A$2:$A$722,"&gt;="&amp;77234320000,Данные!$A$2:$A$722,"&lt;="&amp;77234320999)</f>
        <v>0</v>
      </c>
      <c r="AM93" s="65" t="n">
        <f aca="false">COUNTIFS(Данные!$B$2:$B$722,59,Данные!$C$2:$C$722,1,Данные!$A$2:$A$722,"&gt;="&amp;77234350000,Данные!$A$2:$A$722,"&lt;="&amp;77234350999)</f>
        <v>0</v>
      </c>
      <c r="AN93" s="65" t="n">
        <f aca="false">COUNTIFS(Данные!$B$2:$B$722,59,Данные!$C$2:$C$722,1,Данные!$A$2:$A$722,"&gt;="&amp;77234020000,Данные!$A$2:$A$722,"&lt;="&amp;77234020999)</f>
        <v>0</v>
      </c>
      <c r="AO93" s="65" t="n">
        <f aca="false">COUNTIFS(Данные!$B$2:$B$722,59,Данные!$C$2:$C$722,1,Данные!$A$2:$A$722,"&gt;="&amp;77234029000,Данные!$A$2:$A$722,"&lt;="&amp;77234029999)</f>
        <v>0</v>
      </c>
      <c r="AP93" s="65" t="n">
        <f aca="false">COUNTIFS(Данные!$B$2:$B$722,59,Данные!$C$2:$C$722,1,Данные!$A$2:$A$722,"&gt;="&amp;77234050000,Данные!$A$2:$A$722,"&lt;="&amp;77234050999)</f>
        <v>0</v>
      </c>
      <c r="AQ93" s="65" t="n">
        <f aca="false">COUNTIFS(Данные!$B$2:$B$722,59,Данные!$C$2:$C$722,1,Данные!$A$2:$A$722,"&gt;="&amp;77234427000,Данные!$A$2:$A$722,"&lt;="&amp;77234428999)</f>
        <v>0</v>
      </c>
      <c r="AR93" s="65" t="n">
        <f aca="false">COUNTIFS(Данные!$B$2:$B$722,59,Данные!$C$2:$C$722,1,Данные!$A$2:$A$722,"&gt;="&amp;77234450000,Данные!$A$2:$A$722,"&lt;="&amp;77234450999)</f>
        <v>0</v>
      </c>
      <c r="AS93" s="65" t="n">
        <f aca="false">COUNTIFS(Данные!$B$2:$B$722,59,Данные!$C$2:$C$722,1,Данные!$A$2:$A$722,"&gt;="&amp;77234620000,Данные!$A$2:$A$722,"&lt;="&amp;77234620999)</f>
        <v>0</v>
      </c>
      <c r="AT93" s="65" t="n">
        <f aca="false">COUNTIFS(Данные!$B$2:$B$722,59,Данные!$C$2:$C$722,1,Данные!$A$2:$A$722,"&gt;="&amp;77234650000,Данные!$A$2:$A$722,"&lt;="&amp;77234650999)</f>
        <v>0</v>
      </c>
      <c r="AU93" s="65" t="n">
        <f aca="false">COUNTIFS(Данные!$B$2:$B$722,59,Данные!$C$2:$C$722,1,Данные!$A$2:$A$722,"&gt;="&amp;77234820000,Данные!$A$2:$A$722,"&lt;="&amp;77234820999)</f>
        <v>0</v>
      </c>
      <c r="AV93" s="65" t="n">
        <f aca="false">COUNTIFS(Данные!$B$2:$B$722,59,Данные!$C$2:$C$722,1,Данные!$A$2:$A$722,"&gt;="&amp;77234850000,Данные!$A$2:$A$722,"&lt;="&amp;77234850999)</f>
        <v>0</v>
      </c>
      <c r="AW93" s="65" t="n">
        <f aca="false">COUNTIFS(Данные!$B$2:$B$722,59,Данные!$C$2:$C$722,1,Данные!$A$2:$A$722,"&gt;="&amp;77233327000,Данные!$A$2:$A$722,"&lt;="&amp;77233327999)</f>
        <v>0</v>
      </c>
      <c r="AX93" s="65" t="n">
        <f aca="false">COUNTIFS(Данные!$B$2:$B$722,59,Данные!$C$2:$C$722,1,Данные!$A$2:$A$722,"&gt;="&amp;77233350000,Данные!$A$2:$A$722,"&lt;="&amp;77233350599)</f>
        <v>0</v>
      </c>
      <c r="AY93" s="65" t="n">
        <f aca="false">COUNTIFS(Данные!$B$2:$B$722,59,Данные!$C$2:$C$722,1,Данные!$A$2:$A$722,"&gt;="&amp;77233351000,Данные!$A$2:$A$722,"&lt;="&amp;77233351999)</f>
        <v>0</v>
      </c>
      <c r="AZ93" s="66" t="n">
        <f aca="false">COUNTIFS(Данные!$B$2:$B$722,59,Данные!$C$2:$C$722,1,Данные!$A$2:$A$722,"&gt;="&amp;7722440000,Данные!$A$2:$A$722,"&lt;="&amp;7722440999)</f>
        <v>0</v>
      </c>
      <c r="BA93" s="66" t="n">
        <f aca="false">COUNTIFS(Данные!$B$2:$B$722,59,Данные!$C$2:$C$722,1,Данные!$A$2:$A$722,"&gt;="&amp;7722442000,Данные!$A$2:$A$722,"&lt;="&amp;7722445659)</f>
        <v>0</v>
      </c>
      <c r="BB93" s="66" t="n">
        <f aca="false">COUNTIFS(Данные!$B$2:$B$722,59,Данные!$C$2:$C$722,1,Данные!$A$2:$A$722,"&gt;="&amp;7722450000,Данные!$A$2:$A$722,"&lt;="&amp;7722450199)</f>
        <v>0</v>
      </c>
      <c r="BC93" s="66" t="n">
        <f aca="false">COUNTIFS(Данные!$B$2:$B$722,59,Данные!$C$2:$C$722,1,Данные!$A$2:$A$722,"&gt;="&amp;7722451000,Данные!$A$2:$A$722,"&lt;="&amp;7722451374)</f>
        <v>0</v>
      </c>
      <c r="BD93" s="66" t="n">
        <f aca="false">COUNTIFS(Данные!$B$2:$B$722,59,Данные!$C$2:$C$722,1,Данные!$A$2:$A$722,"&gt;="&amp;7722452000,Данные!$A$2:$A$722,"&lt;="&amp;7722452299)</f>
        <v>0</v>
      </c>
      <c r="BE93" s="66" t="n">
        <f aca="false">COUNTIFS(Данные!$B$2:$B$722,59,Данные!$C$2:$C$722,1,Данные!$A$2:$A$722,"&gt;="&amp;7722453000,Данные!$A$2:$A$722,"&lt;="&amp;7722453816)</f>
        <v>0</v>
      </c>
      <c r="BF93" s="66" t="n">
        <f aca="false">COUNTIFS(Данные!$B$2:$B$722,59,Данные!$C$2:$C$722,1,Данные!$A$2:$A$722,"&gt;="&amp;7722454000,Данные!$A$2:$A$722,"&lt;="&amp;7722454099)</f>
        <v>0</v>
      </c>
      <c r="BG93" s="66" t="n">
        <f aca="false">COUNTIFS(Данные!$B$2:$B$722,59,Данные!$C$2:$C$722,1,Данные!$A$2:$A$722,"&gt;="&amp;7722458000,Данные!$A$2:$A$722,"&lt;="&amp;7722458999)</f>
        <v>0</v>
      </c>
      <c r="BH93" s="66" t="n">
        <f aca="false">COUNTIFS(Данные!$B$2:$B$722,59,Данные!$C$2:$C$722,1,Данные!$A$2:$A$722,"&gt;="&amp;7722630000,Данные!$A$2:$A$722,"&lt;="&amp;7722638549)</f>
        <v>0</v>
      </c>
      <c r="BI93" s="66" t="n">
        <f aca="false">COUNTIFS(Данные!$B$2:$B$722,59,Данные!$C$2:$C$722,1,Данные!$A$2:$A$722,"&gt;="&amp;7722639400,Данные!$A$2:$A$722,"&lt;="&amp;7722639899)</f>
        <v>0</v>
      </c>
      <c r="BJ93" s="66" t="n">
        <f aca="false">COUNTIFS(Данные!$B$2:$B$722,59,Данные!$C$2:$C$722,1,Данные!$A$2:$A$722,"&gt;="&amp;7725750000,Данные!$A$2:$A$722,"&lt;="&amp;7725750399)</f>
        <v>0</v>
      </c>
      <c r="BK93" s="66" t="n">
        <f aca="false">COUNTIFS(Данные!$B$2:$B$722,59,Данные!$C$2:$C$722,1,Данные!$A$2:$A$722,"&gt;="&amp;7723620000,Данные!$A$2:$A$722,"&lt;="&amp;7723621299)</f>
        <v>0</v>
      </c>
      <c r="BL93" s="66" t="n">
        <f aca="false">COUNTIFS(Данные!$B$2:$B$722,59,Данные!$C$2:$C$722,1,Данные!$A$2:$A$722,"&gt;="&amp;7723621600,Данные!$A$2:$A$722,"&lt;="&amp;7723623399)</f>
        <v>0</v>
      </c>
      <c r="BM93" s="66" t="n">
        <f aca="false">COUNTIFS(Данные!$B$2:$B$722,59,Данные!$C$2:$C$722,1,Данные!$A$2:$A$722,"&gt;="&amp;7725127000,Данные!$A$2:$A$722,"&lt;="&amp;7725127999)</f>
        <v>0</v>
      </c>
      <c r="BN93" s="66" t="n">
        <f aca="false">COUNTIFS(Данные!$B$2:$B$722,59,Данные!$C$2:$C$722,1,Данные!$A$2:$A$722,"&gt;="&amp;7723772000,Данные!$A$2:$A$722,"&lt;="&amp;7723724999)</f>
        <v>0</v>
      </c>
      <c r="BO93" s="65" t="n">
        <f aca="false">COUNTIFS(Данные!$B$2:$B$722,59,Данные!$C$2:$C$722,1,Данные!$A$2:$A$722,"&gt;="&amp;7723765000,Данные!$A$2:$A$722,"&lt;="&amp;7723765499)</f>
        <v>0</v>
      </c>
      <c r="BP93" s="66" t="n">
        <f aca="false">COUNTIFS(Данные!$B$2:$B$722,59,Данные!$C$2:$C$722,1,Данные!$A$2:$A$722,"&gt;="&amp;7723948000,Данные!$A$2:$A$722,"&lt;="&amp;7723948999)</f>
        <v>0</v>
      </c>
      <c r="BQ93" s="66" t="n">
        <f aca="false">COUNTIFS(Данные!$B$2:$B$722,59,Данные!$C$2:$C$722,1,Данные!$A$2:$A$722,"&gt;="&amp;7723950000,Данные!$A$2:$A$722,"&lt;="&amp;7723951099)</f>
        <v>0</v>
      </c>
      <c r="BR93" s="66" t="n">
        <f aca="false">COUNTIFS(Данные!$B$2:$B$722,59,Данные!$C$2:$C$722,1,Данные!$A$2:$A$722,"&gt;="&amp;7723020000,Данные!$A$2:$A$722,"&lt;="&amp;7723020999)</f>
        <v>0</v>
      </c>
      <c r="BS93" s="66" t="n">
        <f aca="false">COUNTIFS(Данные!$B$2:$B$722,59,Данные!$C$2:$C$722,1,Данные!$A$2:$A$722,"&gt;="&amp;7723029000,Данные!$A$2:$A$722,"&lt;="&amp;7723029999)</f>
        <v>0</v>
      </c>
      <c r="BT93" s="66" t="n">
        <f aca="false">COUNTIFS(Данные!$B$2:$B$722,59,Данные!$C$2:$C$722,1,Данные!$A$2:$A$722,"&gt;="&amp;7723055000,Данные!$A$2:$A$722,"&lt;="&amp;7723056549)</f>
        <v>0</v>
      </c>
      <c r="BU93" s="65" t="n">
        <f aca="false">COUNTIFS(Данные!$B$2:$B$722,59,Данные!$C$2:$C$722,1,Данные!$A$2:$A$722,"&gt;="&amp;7725250000,Данные!$A$2:$A$722,"&lt;="&amp;7725250499)</f>
        <v>0</v>
      </c>
      <c r="BV93" s="66" t="n">
        <f aca="false">COUNTIFS(Данные!$B$2:$B$722,59,Данные!$C$2:$C$722,1,Данные!$A$2:$A$722,"&gt;="&amp;7183841400,Данные!$A$2:$A$722,"&lt;="&amp;7183841499)</f>
        <v>0</v>
      </c>
      <c r="BW93" s="49" t="n">
        <v>300</v>
      </c>
      <c r="BX93" s="67" t="n">
        <f aca="false">F93-BW93</f>
        <v>-288</v>
      </c>
    </row>
    <row r="94" s="15" customFormat="true" ht="12" hidden="false" customHeight="true" outlineLevel="0" collapsed="false">
      <c r="A94" s="47"/>
      <c r="B94" s="48"/>
      <c r="C94" s="50" t="n">
        <v>2</v>
      </c>
      <c r="D94" s="50" t="n">
        <v>592</v>
      </c>
      <c r="E94" s="51"/>
      <c r="F94" s="65" t="n">
        <f aca="false">COUNTIFS(Данные!$B$2:$B$722,59,Данные!$C$2:$C$722,2)</f>
        <v>11</v>
      </c>
      <c r="G94" s="65" t="n">
        <f aca="false">COUNTIFS(Данные!$B$2:$B$722,59,Данные!$C$2:$C$722,2,Данные!$A$2:$A$722,"&gt;="&amp;77232210840,Данные!$A$2:$A$722,"&lt;="&amp;77232216999)</f>
        <v>0</v>
      </c>
      <c r="H94" s="65" t="n">
        <f aca="false">COUNTIFS(Данные!$B$2:$B$722,59,Данные!$C$2:$C$722,2,Данные!$A$2:$A$722,"&gt;="&amp;77232510512,Данные!$A$2:$A$722,"&lt;="&amp;77232519487)</f>
        <v>0</v>
      </c>
      <c r="I94" s="65" t="n">
        <f aca="false">COUNTIFS(Данные!$B$2:$B$722,59,Данные!$C$2:$C$722,2,Данные!$A$2:$A$722,"&gt;="&amp;77232524160,Данные!$A$2:$A$722,"&lt;="&amp;77232529999)</f>
        <v>0</v>
      </c>
      <c r="J94" s="65" t="n">
        <f aca="false">COUNTIFS(Данные!$B$2:$B$722,59,Данные!$C$2:$C$722,2,Данные!$A$2:$A$722,"&gt;="&amp;77232544000,Данные!$A$2:$A$722,"&lt;="&amp;77232544999)</f>
        <v>0</v>
      </c>
      <c r="K94" s="65" t="n">
        <f aca="false">COUNTIFS(Данные!$B$2:$B$722,59,Данные!$C$2:$C$722,2,Данные!$A$2:$A$722,"&gt;="&amp;77232295504,Данные!$A$2:$A$722,"&lt;="&amp;77232296999)</f>
        <v>0</v>
      </c>
      <c r="L94" s="65" t="n">
        <f aca="false">COUNTIFS(Данные!$B$2:$B$722,59,Данные!$C$2:$C$722,2,Данные!$A$2:$A$722,"&gt;="&amp;77232785000,Данные!$A$2:$A$722,"&lt;="&amp;77232789999)</f>
        <v>0</v>
      </c>
      <c r="M94" s="65" t="n">
        <f aca="false">COUNTIFS(Данные!$B$2:$B$722,59,Данные!$C$2:$C$722,2,Данные!$A$2:$A$722,"&gt;="&amp;77233150000,Данные!$A$2:$A$722,"&lt;="&amp;77233155999)</f>
        <v>0</v>
      </c>
      <c r="N94" s="65" t="n">
        <f aca="false">COUNTIFS(Данные!$B$2:$B$722,59,Данные!$C$2:$C$722,2,Данные!$A$2:$A$722,"&gt;="&amp;77233235000,Данные!$A$2:$A$722,"&lt;="&amp;77233235999)</f>
        <v>0</v>
      </c>
      <c r="O94" s="65" t="n">
        <f aca="false">COUNTIFS(Данные!$B$2:$B$722,59,Данные!$C$2:$C$722,2,Данные!$A$2:$A$722,"&gt;="&amp;77233239000,Данные!$A$2:$A$722,"&lt;="&amp;77233239999)</f>
        <v>0</v>
      </c>
      <c r="P94" s="65" t="n">
        <f aca="false">COUNTIFS(Данные!$B$2:$B$722,59,Данные!$C$2:$C$722,2,Данные!$A$2:$A$722,"&gt;="&amp;77233272000,Данные!$A$2:$A$722,"&lt;="&amp;77233272999)</f>
        <v>0</v>
      </c>
      <c r="Q94" s="65" t="n">
        <f aca="false">COUNTIFS(Данные!$B$2:$B$722,59,Данные!$C$2:$C$722,2,Данные!$A$2:$A$722,"&gt;="&amp;77233291100,Данные!$A$2:$A$722,"&lt;="&amp;77233292999)</f>
        <v>0</v>
      </c>
      <c r="R94" s="65" t="n">
        <f aca="false">COUNTIFS(Данные!$B$2:$B$722,59,Данные!$C$2:$C$722,2,Данные!$A$2:$A$722,"&gt;="&amp;77233297000,Данные!$A$2:$A$722,"&lt;="&amp;77233298399)</f>
        <v>0</v>
      </c>
      <c r="S94" s="65" t="n">
        <f aca="false">COUNTIFS(Данные!$B$2:$B$722,59,Данные!$C$2:$C$722,2,Данные!$A$2:$A$722,"&gt;="&amp;77235124000,Данные!$A$2:$A$722,"&lt;="&amp;77235128499)</f>
        <v>0</v>
      </c>
      <c r="T94" s="65" t="n">
        <f aca="false">COUNTIFS(Данные!$B$2:$B$722,59,Данные!$C$2:$C$722,2,Данные!$A$2:$A$722,"&gt;="&amp;77235320000,Данные!$A$2:$A$722,"&lt;="&amp;77235320999)</f>
        <v>0</v>
      </c>
      <c r="U94" s="65" t="n">
        <f aca="false">COUNTIFS(Данные!$B$2:$B$722,59,Данные!$C$2:$C$722,2,Данные!$A$2:$A$722,"&gt;="&amp;77233620000,Данные!$A$2:$A$722,"&lt;="&amp;77233623339)</f>
        <v>0</v>
      </c>
      <c r="V94" s="65" t="n">
        <f aca="false">COUNTIFS(Данные!$B$2:$B$722,59,Данные!$C$2:$C$722,2,Данные!$A$2:$A$722,"&gt;="&amp;77233630000,Данные!$A$2:$A$722,"&lt;="&amp;77233630999)</f>
        <v>0</v>
      </c>
      <c r="W94" s="65" t="n">
        <f aca="false">COUNTIFS(Данные!$B$2:$B$722,59,Данные!$C$2:$C$722,2,Данные!$A$2:$A$722,"&gt;="&amp;77233637000,Данные!$A$2:$A$722,"&lt;="&amp;77233637599)</f>
        <v>0</v>
      </c>
      <c r="X94" s="65" t="n">
        <f aca="false">COUNTIFS(Данные!$B$2:$B$722,59,Данные!$C$2:$C$722,2,Данные!$A$2:$A$722,"&gt;="&amp;77233550000,Данные!$A$2:$A$722,"&lt;="&amp;77233550999)</f>
        <v>0</v>
      </c>
      <c r="Y94" s="65" t="n">
        <f aca="false">COUNTIFS(Данные!$B$2:$B$722,59,Данные!$C$2:$C$722,2,Данные!$A$2:$A$722,"&gt;="&amp;77233554000,Данные!$A$2:$A$722,"&lt;="&amp;77233554999)</f>
        <v>0</v>
      </c>
      <c r="Z94" s="65" t="n">
        <f aca="false">COUNTIFS(Данные!$B$2:$B$722,59,Данные!$C$2:$C$722,2,Данные!$A$2:$A$722,"&gt;="&amp;77233555000,Данные!$A$2:$A$722,"&lt;="&amp;77233556999)</f>
        <v>0</v>
      </c>
      <c r="AA94" s="65" t="n">
        <f aca="false">COUNTIFS(Данные!$B$2:$B$722,59,Данные!$C$2:$C$722,2,Данные!$A$2:$A$722,"&gt;="&amp;77233726000,Данные!$A$2:$A$722,"&lt;="&amp;77233726999)</f>
        <v>0</v>
      </c>
      <c r="AB94" s="65" t="n">
        <f aca="false">COUNTIFS(Данные!$B$2:$B$722,59,Данные!$C$2:$C$722,2,Данные!$A$2:$A$722,"&gt;="&amp;77233820000,Данные!$A$2:$A$722,"&lt;="&amp;77233820999)</f>
        <v>0</v>
      </c>
      <c r="AC94" s="65" t="n">
        <f aca="false">COUNTIFS(Данные!$B$2:$B$722,59,Данные!$C$2:$C$722,2,Данные!$A$2:$A$722,"&gt;="&amp;77233850000,Данные!$A$2:$A$722,"&lt;="&amp;77233850999)</f>
        <v>0</v>
      </c>
      <c r="AD94" s="65" t="n">
        <f aca="false">COUNTIFS(Данные!$B$2:$B$722,59,Данные!$C$2:$C$722,2,Данные!$A$2:$A$722,"&gt;="&amp;77233420000,Данные!$A$2:$A$722,"&lt;="&amp;77233420999)</f>
        <v>0</v>
      </c>
      <c r="AE94" s="65" t="n">
        <f aca="false">COUNTIFS(Данные!$B$2:$B$722,59,Данные!$C$2:$C$722,2,Данные!$A$2:$A$722,"&gt;="&amp;77234740000,Данные!$A$2:$A$722,"&lt;="&amp;77234742999)</f>
        <v>4</v>
      </c>
      <c r="AF94" s="65" t="n">
        <f aca="false">COUNTIFS(Данные!$B$2:$B$722,59,Данные!$C$2:$C$722,2,Данные!$A$2:$A$722,"&gt;="&amp;77234767000,Данные!$A$2:$A$722,"&lt;="&amp;77234767999)</f>
        <v>6</v>
      </c>
      <c r="AG94" s="65" t="n">
        <f aca="false">COUNTIFS(Данные!$B$2:$B$722,59,Данные!$C$2:$C$722,2,Данные!$A$2:$A$722,"&gt;="&amp;77234120000,Данные!$A$2:$A$722,"&lt;="&amp;77234120999)</f>
        <v>0</v>
      </c>
      <c r="AH94" s="65" t="n">
        <f aca="false">COUNTIFS(Данные!$B$2:$B$722,59,Данные!$C$2:$C$722,2,Данные!$A$2:$A$722,"&gt;="&amp;77234127000,Данные!$A$2:$A$722,"&lt;="&amp;77234127999)</f>
        <v>0</v>
      </c>
      <c r="AI94" s="65" t="n">
        <f aca="false">COUNTIFS(Данные!$B$2:$B$722,59,Данные!$C$2:$C$722,2,Данные!$A$2:$A$722,"&gt;="&amp;77234220000,Данные!$A$2:$A$722,"&lt;="&amp;77234220999)</f>
        <v>0</v>
      </c>
      <c r="AJ94" s="65" t="n">
        <f aca="false">COUNTIFS(Данные!$B$2:$B$722,59,Данные!$C$2:$C$722,2,Данные!$A$2:$A$722,"&gt;="&amp;77234250000,Данные!$A$2:$A$722,"&lt;="&amp;77234250999)</f>
        <v>0</v>
      </c>
      <c r="AK94" s="65" t="n">
        <f aca="false">COUNTIFS(Данные!$B$2:$B$722,59,Данные!$C$2:$C$722,2,Данные!$A$2:$A$722,"&gt;="&amp;77233922950,Данные!$A$2:$A$722,"&lt;="&amp;77233924999)</f>
        <v>0</v>
      </c>
      <c r="AL94" s="65" t="n">
        <f aca="false">COUNTIFS(Данные!$B$2:$B$722,59,Данные!$C$2:$C$722,2,Данные!$A$2:$A$722,"&gt;="&amp;77234320000,Данные!$A$2:$A$722,"&lt;="&amp;77234320999)</f>
        <v>0</v>
      </c>
      <c r="AM94" s="65" t="n">
        <f aca="false">COUNTIFS(Данные!$B$2:$B$722,59,Данные!$C$2:$C$722,2,Данные!$A$2:$A$722,"&gt;="&amp;77234350000,Данные!$A$2:$A$722,"&lt;="&amp;77234350999)</f>
        <v>0</v>
      </c>
      <c r="AN94" s="65" t="n">
        <f aca="false">COUNTIFS(Данные!$B$2:$B$722,59,Данные!$C$2:$C$722,2,Данные!$A$2:$A$722,"&gt;="&amp;77234020000,Данные!$A$2:$A$722,"&lt;="&amp;77234020999)</f>
        <v>0</v>
      </c>
      <c r="AO94" s="65" t="n">
        <f aca="false">COUNTIFS(Данные!$B$2:$B$722,59,Данные!$C$2:$C$722,2,Данные!$A$2:$A$722,"&gt;="&amp;77234029000,Данные!$A$2:$A$722,"&lt;="&amp;77234029999)</f>
        <v>0</v>
      </c>
      <c r="AP94" s="65" t="n">
        <f aca="false">COUNTIFS(Данные!$B$2:$B$722,59,Данные!$C$2:$C$722,2,Данные!$A$2:$A$722,"&gt;="&amp;77234050000,Данные!$A$2:$A$722,"&lt;="&amp;77234050999)</f>
        <v>0</v>
      </c>
      <c r="AQ94" s="65" t="n">
        <f aca="false">COUNTIFS(Данные!$B$2:$B$722,59,Данные!$C$2:$C$722,2,Данные!$A$2:$A$722,"&gt;="&amp;77234427000,Данные!$A$2:$A$722,"&lt;="&amp;77234428999)</f>
        <v>0</v>
      </c>
      <c r="AR94" s="65" t="n">
        <f aca="false">COUNTIFS(Данные!$B$2:$B$722,59,Данные!$C$2:$C$722,2,Данные!$A$2:$A$722,"&gt;="&amp;77234450000,Данные!$A$2:$A$722,"&lt;="&amp;77234450999)</f>
        <v>0</v>
      </c>
      <c r="AS94" s="65" t="n">
        <f aca="false">COUNTIFS(Данные!$B$2:$B$722,59,Данные!$C$2:$C$722,2,Данные!$A$2:$A$722,"&gt;="&amp;77234620000,Данные!$A$2:$A$722,"&lt;="&amp;77234620999)</f>
        <v>0</v>
      </c>
      <c r="AT94" s="65" t="n">
        <f aca="false">COUNTIFS(Данные!$B$2:$B$722,59,Данные!$C$2:$C$722,2,Данные!$A$2:$A$722,"&gt;="&amp;77234650000,Данные!$A$2:$A$722,"&lt;="&amp;77234650999)</f>
        <v>0</v>
      </c>
      <c r="AU94" s="65" t="n">
        <f aca="false">COUNTIFS(Данные!$B$2:$B$722,59,Данные!$C$2:$C$722,2,Данные!$A$2:$A$722,"&gt;="&amp;77234820000,Данные!$A$2:$A$722,"&lt;="&amp;77234820999)</f>
        <v>0</v>
      </c>
      <c r="AV94" s="65" t="n">
        <f aca="false">COUNTIFS(Данные!$B$2:$B$722,59,Данные!$C$2:$C$722,2,Данные!$A$2:$A$722,"&gt;="&amp;77234850000,Данные!$A$2:$A$722,"&lt;="&amp;77234850999)</f>
        <v>0</v>
      </c>
      <c r="AW94" s="65" t="n">
        <f aca="false">COUNTIFS(Данные!$B$2:$B$722,59,Данные!$C$2:$C$722,2,Данные!$A$2:$A$722,"&gt;="&amp;77233327000,Данные!$A$2:$A$722,"&lt;="&amp;77233327999)</f>
        <v>0</v>
      </c>
      <c r="AX94" s="65" t="n">
        <f aca="false">COUNTIFS(Данные!$B$2:$B$722,59,Данные!$C$2:$C$722,2,Данные!$A$2:$A$722,"&gt;="&amp;77233350000,Данные!$A$2:$A$722,"&lt;="&amp;77233350599)</f>
        <v>0</v>
      </c>
      <c r="AY94" s="65" t="n">
        <f aca="false">COUNTIFS(Данные!$B$2:$B$722,59,Данные!$C$2:$C$722,2,Данные!$A$2:$A$722,"&gt;="&amp;77233351000,Данные!$A$2:$A$722,"&lt;="&amp;77233351999)</f>
        <v>0</v>
      </c>
      <c r="AZ94" s="66" t="n">
        <f aca="false">COUNTIFS(Данные!$B$2:$B$722,59,Данные!$C$2:$C$722,2,Данные!$A$2:$A$722,"&gt;="&amp;7722440000,Данные!$A$2:$A$722,"&lt;="&amp;7722440999)</f>
        <v>0</v>
      </c>
      <c r="BA94" s="66" t="n">
        <f aca="false">COUNTIFS(Данные!$B$2:$B$722,59,Данные!$C$2:$C$722,2,Данные!$A$2:$A$722,"&gt;="&amp;7722442000,Данные!$A$2:$A$722,"&lt;="&amp;7722445659)</f>
        <v>0</v>
      </c>
      <c r="BB94" s="66" t="n">
        <f aca="false">COUNTIFS(Данные!$B$2:$B$722,59,Данные!$C$2:$C$722,2,Данные!$A$2:$A$722,"&gt;="&amp;7722450000,Данные!$A$2:$A$722,"&lt;="&amp;7722450199)</f>
        <v>0</v>
      </c>
      <c r="BC94" s="66" t="n">
        <f aca="false">COUNTIFS(Данные!$B$2:$B$722,59,Данные!$C$2:$C$722,2,Данные!$A$2:$A$722,"&gt;="&amp;7722451000,Данные!$A$2:$A$722,"&lt;="&amp;7722451374)</f>
        <v>0</v>
      </c>
      <c r="BD94" s="66" t="n">
        <f aca="false">COUNTIFS(Данные!$B$2:$B$722,59,Данные!$C$2:$C$722,2,Данные!$A$2:$A$722,"&gt;="&amp;7722452000,Данные!$A$2:$A$722,"&lt;="&amp;7722452299)</f>
        <v>0</v>
      </c>
      <c r="BE94" s="66" t="n">
        <f aca="false">COUNTIFS(Данные!$B$2:$B$722,59,Данные!$C$2:$C$722,2,Данные!$A$2:$A$722,"&gt;="&amp;7722453000,Данные!$A$2:$A$722,"&lt;="&amp;7722453816)</f>
        <v>0</v>
      </c>
      <c r="BF94" s="66" t="n">
        <f aca="false">COUNTIFS(Данные!$B$2:$B$722,59,Данные!$C$2:$C$722,2,Данные!$A$2:$A$722,"&gt;="&amp;7722454000,Данные!$A$2:$A$722,"&lt;="&amp;7722454099)</f>
        <v>0</v>
      </c>
      <c r="BG94" s="66" t="n">
        <f aca="false">COUNTIFS(Данные!$B$2:$B$722,59,Данные!$C$2:$C$722,2,Данные!$A$2:$A$722,"&gt;="&amp;7722458000,Данные!$A$2:$A$722,"&lt;="&amp;7722458999)</f>
        <v>0</v>
      </c>
      <c r="BH94" s="66" t="n">
        <f aca="false">COUNTIFS(Данные!$B$2:$B$722,59,Данные!$C$2:$C$722,2,Данные!$A$2:$A$722,"&gt;="&amp;7722630000,Данные!$A$2:$A$722,"&lt;="&amp;7722638549)</f>
        <v>0</v>
      </c>
      <c r="BI94" s="66" t="n">
        <f aca="false">COUNTIFS(Данные!$B$2:$B$722,59,Данные!$C$2:$C$722,2,Данные!$A$2:$A$722,"&gt;="&amp;7722639400,Данные!$A$2:$A$722,"&lt;="&amp;7722639899)</f>
        <v>0</v>
      </c>
      <c r="BJ94" s="66" t="n">
        <f aca="false">COUNTIFS(Данные!$B$2:$B$722,59,Данные!$C$2:$C$722,2,Данные!$A$2:$A$722,"&gt;="&amp;7725750000,Данные!$A$2:$A$722,"&lt;="&amp;7725750399)</f>
        <v>0</v>
      </c>
      <c r="BK94" s="66" t="n">
        <f aca="false">COUNTIFS(Данные!$B$2:$B$722,59,Данные!$C$2:$C$722,2,Данные!$A$2:$A$722,"&gt;="&amp;7723620000,Данные!$A$2:$A$722,"&lt;="&amp;7723621299)</f>
        <v>0</v>
      </c>
      <c r="BL94" s="66" t="n">
        <f aca="false">COUNTIFS(Данные!$B$2:$B$722,59,Данные!$C$2:$C$722,2,Данные!$A$2:$A$722,"&gt;="&amp;7723621600,Данные!$A$2:$A$722,"&lt;="&amp;7723623399)</f>
        <v>0</v>
      </c>
      <c r="BM94" s="66" t="n">
        <f aca="false">COUNTIFS(Данные!$B$2:$B$722,59,Данные!$C$2:$C$722,2,Данные!$A$2:$A$722,"&gt;="&amp;7725127000,Данные!$A$2:$A$722,"&lt;="&amp;7725127999)</f>
        <v>0</v>
      </c>
      <c r="BN94" s="66" t="n">
        <f aca="false">COUNTIFS(Данные!$B$2:$B$722,59,Данные!$C$2:$C$722,2,Данные!$A$2:$A$722,"&gt;="&amp;7723772000,Данные!$A$2:$A$722,"&lt;="&amp;7723724999)</f>
        <v>0</v>
      </c>
      <c r="BO94" s="65" t="n">
        <f aca="false">COUNTIFS(Данные!$B$2:$B$722,59,Данные!$C$2:$C$722,2,Данные!$A$2:$A$722,"&gt;="&amp;7723765000,Данные!$A$2:$A$722,"&lt;="&amp;7723765499)</f>
        <v>0</v>
      </c>
      <c r="BP94" s="66" t="n">
        <f aca="false">COUNTIFS(Данные!$B$2:$B$722,59,Данные!$C$2:$C$722,2,Данные!$A$2:$A$722,"&gt;="&amp;7723948000,Данные!$A$2:$A$722,"&lt;="&amp;7723948999)</f>
        <v>0</v>
      </c>
      <c r="BQ94" s="66" t="n">
        <f aca="false">COUNTIFS(Данные!$B$2:$B$722,59,Данные!$C$2:$C$722,2,Данные!$A$2:$A$722,"&gt;="&amp;7723950000,Данные!$A$2:$A$722,"&lt;="&amp;7723951099)</f>
        <v>0</v>
      </c>
      <c r="BR94" s="66" t="n">
        <f aca="false">COUNTIFS(Данные!$B$2:$B$722,59,Данные!$C$2:$C$722,2,Данные!$A$2:$A$722,"&gt;="&amp;7723020000,Данные!$A$2:$A$722,"&lt;="&amp;7723020999)</f>
        <v>0</v>
      </c>
      <c r="BS94" s="66" t="n">
        <f aca="false">COUNTIFS(Данные!$B$2:$B$722,59,Данные!$C$2:$C$722,2,Данные!$A$2:$A$722,"&gt;="&amp;7723029000,Данные!$A$2:$A$722,"&lt;="&amp;7723029999)</f>
        <v>0</v>
      </c>
      <c r="BT94" s="66" t="n">
        <f aca="false">COUNTIFS(Данные!$B$2:$B$722,59,Данные!$C$2:$C$722,2,Данные!$A$2:$A$722,"&gt;="&amp;7723055000,Данные!$A$2:$A$722,"&lt;="&amp;7723056549)</f>
        <v>0</v>
      </c>
      <c r="BU94" s="65" t="n">
        <f aca="false">COUNTIFS(Данные!$B$2:$B$722,59,Данные!$C$2:$C$722,2,Данные!$A$2:$A$722,"&gt;="&amp;7725250000,Данные!$A$2:$A$722,"&lt;="&amp;7725250499)</f>
        <v>0</v>
      </c>
      <c r="BV94" s="66" t="n">
        <f aca="false">COUNTIFS(Данные!$B$2:$B$722,59,Данные!$C$2:$C$722,2,Данные!$A$2:$A$722,"&gt;="&amp;7183841400,Данные!$A$2:$A$722,"&lt;="&amp;7183841499)</f>
        <v>0</v>
      </c>
      <c r="BW94" s="49" t="n">
        <v>300</v>
      </c>
      <c r="BX94" s="67" t="n">
        <f aca="false">F94-BW94</f>
        <v>-289</v>
      </c>
    </row>
    <row r="95" s="15" customFormat="true" ht="12" hidden="false" customHeight="true" outlineLevel="0" collapsed="false">
      <c r="A95" s="38" t="n">
        <v>60</v>
      </c>
      <c r="B95" s="39" t="s">
        <v>91</v>
      </c>
      <c r="C95" s="41" t="n">
        <v>0</v>
      </c>
      <c r="D95" s="41" t="n">
        <v>600</v>
      </c>
      <c r="E95" s="42" t="n">
        <f aca="false">SUM(F95:F97)</f>
        <v>0</v>
      </c>
      <c r="F95" s="62" t="n">
        <f aca="false">COUNTIFS(Данные!$B$2:$B$722,60,Данные!$C$2:$C$722,0)</f>
        <v>0</v>
      </c>
      <c r="G95" s="62" t="n">
        <f aca="false">COUNTIFS(Данные!$B$2:$B$722,60,Данные!$C$2:$C$722,0,Данные!$A$2:$A$722,"&gt;="&amp;77232210840,Данные!$A$2:$A$722,"&lt;="&amp;77232216999)</f>
        <v>0</v>
      </c>
      <c r="H95" s="62" t="n">
        <f aca="false">COUNTIFS(Данные!$B$2:$B$722,60,Данные!$C$2:$C$722,0,Данные!$A$2:$A$722,"&gt;="&amp;77232510512,Данные!$A$2:$A$722,"&lt;="&amp;77232519487)</f>
        <v>0</v>
      </c>
      <c r="I95" s="62" t="n">
        <f aca="false">COUNTIFS(Данные!$B$2:$B$722,60,Данные!$C$2:$C$722,0,Данные!$A$2:$A$722,"&gt;="&amp;77232524160,Данные!$A$2:$A$722,"&lt;="&amp;77232529999)</f>
        <v>0</v>
      </c>
      <c r="J95" s="62" t="n">
        <f aca="false">COUNTIFS(Данные!$B$2:$B$722,60,Данные!$C$2:$C$722,0,Данные!$A$2:$A$722,"&gt;="&amp;77232544000,Данные!$A$2:$A$722,"&lt;="&amp;77232544999)</f>
        <v>0</v>
      </c>
      <c r="K95" s="62" t="n">
        <f aca="false">COUNTIFS(Данные!$B$2:$B$722,60,Данные!$C$2:$C$722,0,Данные!$A$2:$A$722,"&gt;="&amp;77232295504,Данные!$A$2:$A$722,"&lt;="&amp;77232296999)</f>
        <v>0</v>
      </c>
      <c r="L95" s="62" t="n">
        <f aca="false">COUNTIFS(Данные!$B$2:$B$722,60,Данные!$C$2:$C$722,0,Данные!$A$2:$A$722,"&gt;="&amp;77232785000,Данные!$A$2:$A$722,"&lt;="&amp;77232789999)</f>
        <v>0</v>
      </c>
      <c r="M95" s="62" t="n">
        <f aca="false">COUNTIFS(Данные!$B$2:$B$722,60,Данные!$C$2:$C$722,0,Данные!$A$2:$A$722,"&gt;="&amp;77233150000,Данные!$A$2:$A$722,"&lt;="&amp;77233155999)</f>
        <v>0</v>
      </c>
      <c r="N95" s="62" t="n">
        <f aca="false">COUNTIFS(Данные!$B$2:$B$722,60,Данные!$C$2:$C$722,0,Данные!$A$2:$A$722,"&gt;="&amp;77233235000,Данные!$A$2:$A$722,"&lt;="&amp;77233235999)</f>
        <v>0</v>
      </c>
      <c r="O95" s="62" t="n">
        <f aca="false">COUNTIFS(Данные!$B$2:$B$722,60,Данные!$C$2:$C$722,0,Данные!$A$2:$A$722,"&gt;="&amp;77233239000,Данные!$A$2:$A$722,"&lt;="&amp;77233239999)</f>
        <v>0</v>
      </c>
      <c r="P95" s="62" t="n">
        <f aca="false">COUNTIFS(Данные!$B$2:$B$722,60,Данные!$C$2:$C$722,0,Данные!$A$2:$A$722,"&gt;="&amp;77233272000,Данные!$A$2:$A$722,"&lt;="&amp;77233272999)</f>
        <v>0</v>
      </c>
      <c r="Q95" s="62" t="n">
        <f aca="false">COUNTIFS(Данные!$B$2:$B$722,60,Данные!$C$2:$C$722,0,Данные!$A$2:$A$722,"&gt;="&amp;77233291100,Данные!$A$2:$A$722,"&lt;="&amp;77233292999)</f>
        <v>0</v>
      </c>
      <c r="R95" s="62" t="n">
        <f aca="false">COUNTIFS(Данные!$B$2:$B$722,60,Данные!$C$2:$C$722,0,Данные!$A$2:$A$722,"&gt;="&amp;77233297000,Данные!$A$2:$A$722,"&lt;="&amp;77233298399)</f>
        <v>0</v>
      </c>
      <c r="S95" s="62" t="n">
        <f aca="false">COUNTIFS(Данные!$B$2:$B$722,60,Данные!$C$2:$C$722,0,Данные!$A$2:$A$722,"&gt;="&amp;77235124000,Данные!$A$2:$A$722,"&lt;="&amp;77235128499)</f>
        <v>0</v>
      </c>
      <c r="T95" s="62" t="n">
        <f aca="false">COUNTIFS(Данные!$B$2:$B$722,60,Данные!$C$2:$C$722,0,Данные!$A$2:$A$722,"&gt;="&amp;77235320000,Данные!$A$2:$A$722,"&lt;="&amp;77235320999)</f>
        <v>0</v>
      </c>
      <c r="U95" s="62" t="n">
        <f aca="false">COUNTIFS(Данные!$B$2:$B$722,60,Данные!$C$2:$C$722,0,Данные!$A$2:$A$722,"&gt;="&amp;77233620000,Данные!$A$2:$A$722,"&lt;="&amp;77233623339)</f>
        <v>0</v>
      </c>
      <c r="V95" s="62" t="n">
        <f aca="false">COUNTIFS(Данные!$B$2:$B$722,60,Данные!$C$2:$C$722,0,Данные!$A$2:$A$722,"&gt;="&amp;77233630000,Данные!$A$2:$A$722,"&lt;="&amp;77233630999)</f>
        <v>0</v>
      </c>
      <c r="W95" s="62" t="n">
        <f aca="false">COUNTIFS(Данные!$B$2:$B$722,60,Данные!$C$2:$C$722,0,Данные!$A$2:$A$722,"&gt;="&amp;77233637000,Данные!$A$2:$A$722,"&lt;="&amp;77233637599)</f>
        <v>0</v>
      </c>
      <c r="X95" s="62" t="n">
        <f aca="false">COUNTIFS(Данные!$B$2:$B$722,60,Данные!$C$2:$C$722,0,Данные!$A$2:$A$722,"&gt;="&amp;77233550000,Данные!$A$2:$A$722,"&lt;="&amp;77233550999)</f>
        <v>0</v>
      </c>
      <c r="Y95" s="62" t="n">
        <f aca="false">COUNTIFS(Данные!$B$2:$B$722,60,Данные!$C$2:$C$722,0,Данные!$A$2:$A$722,"&gt;="&amp;77233554000,Данные!$A$2:$A$722,"&lt;="&amp;77233554999)</f>
        <v>0</v>
      </c>
      <c r="Z95" s="62" t="n">
        <f aca="false">COUNTIFS(Данные!$B$2:$B$722,60,Данные!$C$2:$C$722,0,Данные!$A$2:$A$722,"&gt;="&amp;77233555000,Данные!$A$2:$A$722,"&lt;="&amp;77233556999)</f>
        <v>0</v>
      </c>
      <c r="AA95" s="62" t="n">
        <f aca="false">COUNTIFS(Данные!$B$2:$B$722,60,Данные!$C$2:$C$722,0,Данные!$A$2:$A$722,"&gt;="&amp;77233726000,Данные!$A$2:$A$722,"&lt;="&amp;77233726999)</f>
        <v>0</v>
      </c>
      <c r="AB95" s="62" t="n">
        <f aca="false">COUNTIFS(Данные!$B$2:$B$722,60,Данные!$C$2:$C$722,0,Данные!$A$2:$A$722,"&gt;="&amp;77233820000,Данные!$A$2:$A$722,"&lt;="&amp;77233820999)</f>
        <v>0</v>
      </c>
      <c r="AC95" s="62" t="n">
        <f aca="false">COUNTIFS(Данные!$B$2:$B$722,60,Данные!$C$2:$C$722,0,Данные!$A$2:$A$722,"&gt;="&amp;77233850000,Данные!$A$2:$A$722,"&lt;="&amp;77233850999)</f>
        <v>0</v>
      </c>
      <c r="AD95" s="62" t="n">
        <f aca="false">COUNTIFS(Данные!$B$2:$B$722,60,Данные!$C$2:$C$722,0,Данные!$A$2:$A$722,"&gt;="&amp;77233420000,Данные!$A$2:$A$722,"&lt;="&amp;77233420999)</f>
        <v>0</v>
      </c>
      <c r="AE95" s="62" t="n">
        <f aca="false">COUNTIFS(Данные!$B$2:$B$722,60,Данные!$C$2:$C$722,0,Данные!$A$2:$A$722,"&gt;="&amp;77234740000,Данные!$A$2:$A$722,"&lt;="&amp;77234742999)</f>
        <v>0</v>
      </c>
      <c r="AF95" s="62" t="n">
        <f aca="false">COUNTIFS(Данные!$B$2:$B$722,60,Данные!$C$2:$C$722,0,Данные!$A$2:$A$722,"&gt;="&amp;77234767000,Данные!$A$2:$A$722,"&lt;="&amp;77234767999)</f>
        <v>0</v>
      </c>
      <c r="AG95" s="62" t="n">
        <f aca="false">COUNTIFS(Данные!$B$2:$B$722,60,Данные!$C$2:$C$722,0,Данные!$A$2:$A$722,"&gt;="&amp;77234120000,Данные!$A$2:$A$722,"&lt;="&amp;77234120999)</f>
        <v>0</v>
      </c>
      <c r="AH95" s="62" t="n">
        <f aca="false">COUNTIFS(Данные!$B$2:$B$722,60,Данные!$C$2:$C$722,0,Данные!$A$2:$A$722,"&gt;="&amp;77234127000,Данные!$A$2:$A$722,"&lt;="&amp;77234127999)</f>
        <v>0</v>
      </c>
      <c r="AI95" s="62" t="n">
        <f aca="false">COUNTIFS(Данные!$B$2:$B$722,60,Данные!$C$2:$C$722,0,Данные!$A$2:$A$722,"&gt;="&amp;77234220000,Данные!$A$2:$A$722,"&lt;="&amp;77234220999)</f>
        <v>0</v>
      </c>
      <c r="AJ95" s="62" t="n">
        <f aca="false">COUNTIFS(Данные!$B$2:$B$722,60,Данные!$C$2:$C$722,0,Данные!$A$2:$A$722,"&gt;="&amp;77234250000,Данные!$A$2:$A$722,"&lt;="&amp;77234250999)</f>
        <v>0</v>
      </c>
      <c r="AK95" s="62" t="n">
        <f aca="false">COUNTIFS(Данные!$B$2:$B$722,60,Данные!$C$2:$C$722,0,Данные!$A$2:$A$722,"&gt;="&amp;77233922950,Данные!$A$2:$A$722,"&lt;="&amp;77233924999)</f>
        <v>0</v>
      </c>
      <c r="AL95" s="62" t="n">
        <f aca="false">COUNTIFS(Данные!$B$2:$B$722,60,Данные!$C$2:$C$722,0,Данные!$A$2:$A$722,"&gt;="&amp;77234320000,Данные!$A$2:$A$722,"&lt;="&amp;77234320999)</f>
        <v>0</v>
      </c>
      <c r="AM95" s="62" t="n">
        <f aca="false">COUNTIFS(Данные!$B$2:$B$722,60,Данные!$C$2:$C$722,0,Данные!$A$2:$A$722,"&gt;="&amp;77234350000,Данные!$A$2:$A$722,"&lt;="&amp;77234350999)</f>
        <v>0</v>
      </c>
      <c r="AN95" s="62" t="n">
        <f aca="false">COUNTIFS(Данные!$B$2:$B$722,60,Данные!$C$2:$C$722,0,Данные!$A$2:$A$722,"&gt;="&amp;77234020000,Данные!$A$2:$A$722,"&lt;="&amp;77234020999)</f>
        <v>0</v>
      </c>
      <c r="AO95" s="62" t="n">
        <f aca="false">COUNTIFS(Данные!$B$2:$B$722,60,Данные!$C$2:$C$722,0,Данные!$A$2:$A$722,"&gt;="&amp;77234029000,Данные!$A$2:$A$722,"&lt;="&amp;77234029999)</f>
        <v>0</v>
      </c>
      <c r="AP95" s="62" t="n">
        <f aca="false">COUNTIFS(Данные!$B$2:$B$722,60,Данные!$C$2:$C$722,0,Данные!$A$2:$A$722,"&gt;="&amp;77234050000,Данные!$A$2:$A$722,"&lt;="&amp;77234050999)</f>
        <v>0</v>
      </c>
      <c r="AQ95" s="62" t="n">
        <f aca="false">COUNTIFS(Данные!$B$2:$B$722,60,Данные!$C$2:$C$722,0,Данные!$A$2:$A$722,"&gt;="&amp;77234427000,Данные!$A$2:$A$722,"&lt;="&amp;77234428999)</f>
        <v>0</v>
      </c>
      <c r="AR95" s="62" t="n">
        <f aca="false">COUNTIFS(Данные!$B$2:$B$722,60,Данные!$C$2:$C$722,0,Данные!$A$2:$A$722,"&gt;="&amp;77234450000,Данные!$A$2:$A$722,"&lt;="&amp;77234450999)</f>
        <v>0</v>
      </c>
      <c r="AS95" s="62" t="n">
        <f aca="false">COUNTIFS(Данные!$B$2:$B$722,60,Данные!$C$2:$C$722,0,Данные!$A$2:$A$722,"&gt;="&amp;77234620000,Данные!$A$2:$A$722,"&lt;="&amp;77234620999)</f>
        <v>0</v>
      </c>
      <c r="AT95" s="62" t="n">
        <f aca="false">COUNTIFS(Данные!$B$2:$B$722,60,Данные!$C$2:$C$722,0,Данные!$A$2:$A$722,"&gt;="&amp;77234650000,Данные!$A$2:$A$722,"&lt;="&amp;77234650999)</f>
        <v>0</v>
      </c>
      <c r="AU95" s="62" t="n">
        <f aca="false">COUNTIFS(Данные!$B$2:$B$722,60,Данные!$C$2:$C$722,0,Данные!$A$2:$A$722,"&gt;="&amp;77234820000,Данные!$A$2:$A$722,"&lt;="&amp;77234820999)</f>
        <v>0</v>
      </c>
      <c r="AV95" s="62" t="n">
        <f aca="false">COUNTIFS(Данные!$B$2:$B$722,60,Данные!$C$2:$C$722,0,Данные!$A$2:$A$722,"&gt;="&amp;77234850000,Данные!$A$2:$A$722,"&lt;="&amp;77234850999)</f>
        <v>0</v>
      </c>
      <c r="AW95" s="62" t="n">
        <f aca="false">COUNTIFS(Данные!$B$2:$B$722,60,Данные!$C$2:$C$722,0,Данные!$A$2:$A$722,"&gt;="&amp;77233327000,Данные!$A$2:$A$722,"&lt;="&amp;77233327999)</f>
        <v>0</v>
      </c>
      <c r="AX95" s="62" t="n">
        <f aca="false">COUNTIFS(Данные!$B$2:$B$722,60,Данные!$C$2:$C$722,0,Данные!$A$2:$A$722,"&gt;="&amp;77233350000,Данные!$A$2:$A$722,"&lt;="&amp;77233350599)</f>
        <v>0</v>
      </c>
      <c r="AY95" s="62" t="n">
        <f aca="false">COUNTIFS(Данные!$B$2:$B$722,60,Данные!$C$2:$C$722,0,Данные!$A$2:$A$722,"&gt;="&amp;77233351000,Данные!$A$2:$A$722,"&lt;="&amp;77233351999)</f>
        <v>0</v>
      </c>
      <c r="AZ95" s="62" t="n">
        <f aca="false">COUNTIFS(Данные!$B$2:$B$722,60,Данные!$C$2:$C$722,0,Данные!$A$2:$A$722,"&gt;="&amp;7722440000,Данные!$A$2:$A$722,"&lt;="&amp;7722440999)</f>
        <v>0</v>
      </c>
      <c r="BA95" s="63" t="n">
        <f aca="false">COUNTIFS(Данные!$B$2:$B$722,60,Данные!$C$2:$C$722,0,Данные!$A$2:$A$722,"&gt;="&amp;7722442000,Данные!$A$2:$A$722,"&lt;="&amp;7722445659)</f>
        <v>0</v>
      </c>
      <c r="BB95" s="63" t="n">
        <f aca="false">COUNTIFS(Данные!$B$2:$B$722,60,Данные!$C$2:$C$722,0,Данные!$A$2:$A$722,"&gt;="&amp;7722450000,Данные!$A$2:$A$722,"&lt;="&amp;7722450199)</f>
        <v>0</v>
      </c>
      <c r="BC95" s="63" t="n">
        <f aca="false">COUNTIFS(Данные!$B$2:$B$722,60,Данные!$C$2:$C$722,0,Данные!$A$2:$A$722,"&gt;="&amp;7722451000,Данные!$A$2:$A$722,"&lt;="&amp;7722451374)</f>
        <v>0</v>
      </c>
      <c r="BD95" s="63" t="n">
        <f aca="false">COUNTIFS(Данные!$B$2:$B$722,60,Данные!$C$2:$C$722,0,Данные!$A$2:$A$722,"&gt;="&amp;7722452000,Данные!$A$2:$A$722,"&lt;="&amp;7722452299)</f>
        <v>0</v>
      </c>
      <c r="BE95" s="63" t="n">
        <f aca="false">COUNTIFS(Данные!$B$2:$B$722,60,Данные!$C$2:$C$722,0,Данные!$A$2:$A$722,"&gt;="&amp;7722453000,Данные!$A$2:$A$722,"&lt;="&amp;7722453816)</f>
        <v>0</v>
      </c>
      <c r="BF95" s="63" t="n">
        <f aca="false">COUNTIFS(Данные!$B$2:$B$722,60,Данные!$C$2:$C$722,0,Данные!$A$2:$A$722,"&gt;="&amp;7722454000,Данные!$A$2:$A$722,"&lt;="&amp;7722454099)</f>
        <v>0</v>
      </c>
      <c r="BG95" s="63" t="n">
        <f aca="false">COUNTIFS(Данные!$B$2:$B$722,60,Данные!$C$2:$C$722,0,Данные!$A$2:$A$722,"&gt;="&amp;7722458000,Данные!$A$2:$A$722,"&lt;="&amp;7722458999)</f>
        <v>0</v>
      </c>
      <c r="BH95" s="63" t="n">
        <f aca="false">COUNTIFS(Данные!$B$2:$B$722,60,Данные!$C$2:$C$722,0,Данные!$A$2:$A$722,"&gt;="&amp;7722630000,Данные!$A$2:$A$722,"&lt;="&amp;7722638549)</f>
        <v>0</v>
      </c>
      <c r="BI95" s="63" t="n">
        <f aca="false">COUNTIFS(Данные!$B$2:$B$722,60,Данные!$C$2:$C$722,0,Данные!$A$2:$A$722,"&gt;="&amp;7722639400,Данные!$A$2:$A$722,"&lt;="&amp;7722639899)</f>
        <v>0</v>
      </c>
      <c r="BJ95" s="63" t="n">
        <f aca="false">COUNTIFS(Данные!$B$2:$B$722,60,Данные!$C$2:$C$722,0,Данные!$A$2:$A$722,"&gt;="&amp;7725750000,Данные!$A$2:$A$722,"&lt;="&amp;7725750399)</f>
        <v>0</v>
      </c>
      <c r="BK95" s="63" t="n">
        <f aca="false">COUNTIFS(Данные!$B$2:$B$722,60,Данные!$C$2:$C$722,0,Данные!$A$2:$A$722,"&gt;="&amp;7723620000,Данные!$A$2:$A$722,"&lt;="&amp;7723621299)</f>
        <v>0</v>
      </c>
      <c r="BL95" s="63" t="n">
        <f aca="false">COUNTIFS(Данные!$B$2:$B$722,60,Данные!$C$2:$C$722,0,Данные!$A$2:$A$722,"&gt;="&amp;7723621600,Данные!$A$2:$A$722,"&lt;="&amp;7723623399)</f>
        <v>0</v>
      </c>
      <c r="BM95" s="63" t="n">
        <f aca="false">COUNTIFS(Данные!$B$2:$B$722,60,Данные!$C$2:$C$722,0,Данные!$A$2:$A$722,"&gt;="&amp;7725127000,Данные!$A$2:$A$722,"&lt;="&amp;7725127999)</f>
        <v>0</v>
      </c>
      <c r="BN95" s="63" t="n">
        <f aca="false">COUNTIFS(Данные!$B$2:$B$722,60,Данные!$C$2:$C$722,0,Данные!$A$2:$A$722,"&gt;="&amp;7723772000,Данные!$A$2:$A$722,"&lt;="&amp;7723724999)</f>
        <v>0</v>
      </c>
      <c r="BO95" s="62" t="n">
        <f aca="false">COUNTIFS(Данные!$B$2:$B$722,60,Данные!$C$2:$C$722,0,Данные!$A$2:$A$722,"&gt;="&amp;7723765000,Данные!$A$2:$A$722,"&lt;="&amp;7723765499)</f>
        <v>0</v>
      </c>
      <c r="BP95" s="63" t="n">
        <f aca="false">COUNTIFS(Данные!$B$2:$B$722,60,Данные!$C$2:$C$722,0,Данные!$A$2:$A$722,"&gt;="&amp;7723948000,Данные!$A$2:$A$722,"&lt;="&amp;7723948999)</f>
        <v>0</v>
      </c>
      <c r="BQ95" s="63" t="n">
        <f aca="false">COUNTIFS(Данные!$B$2:$B$722,60,Данные!$C$2:$C$722,0,Данные!$A$2:$A$722,"&gt;="&amp;7723950000,Данные!$A$2:$A$722,"&lt;="&amp;7723951099)</f>
        <v>0</v>
      </c>
      <c r="BR95" s="63" t="n">
        <f aca="false">COUNTIFS(Данные!$B$2:$B$722,60,Данные!$C$2:$C$722,0,Данные!$A$2:$A$722,"&gt;="&amp;7723020000,Данные!$A$2:$A$722,"&lt;="&amp;7723020999)</f>
        <v>0</v>
      </c>
      <c r="BS95" s="63" t="n">
        <f aca="false">COUNTIFS(Данные!$B$2:$B$722,60,Данные!$C$2:$C$722,0,Данные!$A$2:$A$722,"&gt;="&amp;7723029000,Данные!$A$2:$A$722,"&lt;="&amp;7723029999)</f>
        <v>0</v>
      </c>
      <c r="BT95" s="63" t="n">
        <f aca="false">COUNTIFS(Данные!$B$2:$B$722,60,Данные!$C$2:$C$722,0,Данные!$A$2:$A$722,"&gt;="&amp;7723055000,Данные!$A$2:$A$722,"&lt;="&amp;7723056549)</f>
        <v>0</v>
      </c>
      <c r="BU95" s="62" t="n">
        <f aca="false">COUNTIFS(Данные!$B$2:$B$722,60,Данные!$C$2:$C$722,0,Данные!$A$2:$A$722,"&gt;="&amp;7725250000,Данные!$A$2:$A$722,"&lt;="&amp;7725250499)</f>
        <v>0</v>
      </c>
      <c r="BV95" s="63" t="n">
        <f aca="false">COUNTIFS(Данные!$B$2:$B$722,60,Данные!$C$2:$C$722,0,Данные!$A$2:$A$722,"&gt;="&amp;7183841400,Данные!$A$2:$A$722,"&lt;="&amp;7183841499)</f>
        <v>0</v>
      </c>
      <c r="BW95" s="40" t="n">
        <v>300</v>
      </c>
      <c r="BX95" s="64" t="n">
        <f aca="false">F95-BW95</f>
        <v>-300</v>
      </c>
    </row>
    <row r="96" s="15" customFormat="true" ht="12" hidden="false" customHeight="true" outlineLevel="0" collapsed="false">
      <c r="A96" s="38"/>
      <c r="B96" s="39"/>
      <c r="C96" s="41" t="n">
        <v>1</v>
      </c>
      <c r="D96" s="41" t="n">
        <v>601</v>
      </c>
      <c r="E96" s="42"/>
      <c r="F96" s="62" t="n">
        <f aca="false">COUNTIFS(Данные!$B$2:$B$722,60,Данные!$C$2:$C$722,1)</f>
        <v>0</v>
      </c>
      <c r="G96" s="62" t="n">
        <f aca="false">COUNTIFS(Данные!$B$2:$B$722,60,Данные!$C$2:$C$722,1,Данные!$A$2:$A$722,"&gt;="&amp;77232210840,Данные!$A$2:$A$722,"&lt;="&amp;77232216999)</f>
        <v>0</v>
      </c>
      <c r="H96" s="62" t="n">
        <f aca="false">COUNTIFS(Данные!$B$2:$B$722,60,Данные!$C$2:$C$722,1,Данные!$A$2:$A$722,"&gt;="&amp;77232510512,Данные!$A$2:$A$722,"&lt;="&amp;77232519487)</f>
        <v>0</v>
      </c>
      <c r="I96" s="62" t="n">
        <f aca="false">COUNTIFS(Данные!$B$2:$B$722,60,Данные!$C$2:$C$722,1,Данные!$A$2:$A$722,"&gt;="&amp;77232524160,Данные!$A$2:$A$722,"&lt;="&amp;77232529999)</f>
        <v>0</v>
      </c>
      <c r="J96" s="62" t="n">
        <f aca="false">COUNTIFS(Данные!$B$2:$B$722,60,Данные!$C$2:$C$722,1,Данные!$A$2:$A$722,"&gt;="&amp;77232544000,Данные!$A$2:$A$722,"&lt;="&amp;77232544999)</f>
        <v>0</v>
      </c>
      <c r="K96" s="62" t="n">
        <f aca="false">COUNTIFS(Данные!$B$2:$B$722,60,Данные!$C$2:$C$722,1,Данные!$A$2:$A$722,"&gt;="&amp;77232295504,Данные!$A$2:$A$722,"&lt;="&amp;77232296999)</f>
        <v>0</v>
      </c>
      <c r="L96" s="62" t="n">
        <f aca="false">COUNTIFS(Данные!$B$2:$B$722,60,Данные!$C$2:$C$722,1,Данные!$A$2:$A$722,"&gt;="&amp;77232785000,Данные!$A$2:$A$722,"&lt;="&amp;77232789999)</f>
        <v>0</v>
      </c>
      <c r="M96" s="62" t="n">
        <f aca="false">COUNTIFS(Данные!$B$2:$B$722,60,Данные!$C$2:$C$722,1,Данные!$A$2:$A$722,"&gt;="&amp;77233150000,Данные!$A$2:$A$722,"&lt;="&amp;77233155999)</f>
        <v>0</v>
      </c>
      <c r="N96" s="62" t="n">
        <f aca="false">COUNTIFS(Данные!$B$2:$B$722,60,Данные!$C$2:$C$722,1,Данные!$A$2:$A$722,"&gt;="&amp;77233235000,Данные!$A$2:$A$722,"&lt;="&amp;77233235999)</f>
        <v>0</v>
      </c>
      <c r="O96" s="62" t="n">
        <f aca="false">COUNTIFS(Данные!$B$2:$B$722,60,Данные!$C$2:$C$722,1,Данные!$A$2:$A$722,"&gt;="&amp;77233239000,Данные!$A$2:$A$722,"&lt;="&amp;77233239999)</f>
        <v>0</v>
      </c>
      <c r="P96" s="62" t="n">
        <f aca="false">COUNTIFS(Данные!$B$2:$B$722,60,Данные!$C$2:$C$722,1,Данные!$A$2:$A$722,"&gt;="&amp;77233272000,Данные!$A$2:$A$722,"&lt;="&amp;77233272999)</f>
        <v>0</v>
      </c>
      <c r="Q96" s="62" t="n">
        <f aca="false">COUNTIFS(Данные!$B$2:$B$722,60,Данные!$C$2:$C$722,1,Данные!$A$2:$A$722,"&gt;="&amp;77233291100,Данные!$A$2:$A$722,"&lt;="&amp;77233292999)</f>
        <v>0</v>
      </c>
      <c r="R96" s="62" t="n">
        <f aca="false">COUNTIFS(Данные!$B$2:$B$722,60,Данные!$C$2:$C$722,1,Данные!$A$2:$A$722,"&gt;="&amp;77233297000,Данные!$A$2:$A$722,"&lt;="&amp;77233298399)</f>
        <v>0</v>
      </c>
      <c r="S96" s="62" t="n">
        <f aca="false">COUNTIFS(Данные!$B$2:$B$722,60,Данные!$C$2:$C$722,1,Данные!$A$2:$A$722,"&gt;="&amp;77235124000,Данные!$A$2:$A$722,"&lt;="&amp;77235128499)</f>
        <v>0</v>
      </c>
      <c r="T96" s="62" t="n">
        <f aca="false">COUNTIFS(Данные!$B$2:$B$722,60,Данные!$C$2:$C$722,1,Данные!$A$2:$A$722,"&gt;="&amp;77235320000,Данные!$A$2:$A$722,"&lt;="&amp;77235320999)</f>
        <v>0</v>
      </c>
      <c r="U96" s="62" t="n">
        <f aca="false">COUNTIFS(Данные!$B$2:$B$722,60,Данные!$C$2:$C$722,1,Данные!$A$2:$A$722,"&gt;="&amp;77233620000,Данные!$A$2:$A$722,"&lt;="&amp;77233623339)</f>
        <v>0</v>
      </c>
      <c r="V96" s="62" t="n">
        <f aca="false">COUNTIFS(Данные!$B$2:$B$722,60,Данные!$C$2:$C$722,1,Данные!$A$2:$A$722,"&gt;="&amp;77233630000,Данные!$A$2:$A$722,"&lt;="&amp;77233630999)</f>
        <v>0</v>
      </c>
      <c r="W96" s="62" t="n">
        <f aca="false">COUNTIFS(Данные!$B$2:$B$722,60,Данные!$C$2:$C$722,1,Данные!$A$2:$A$722,"&gt;="&amp;77233637000,Данные!$A$2:$A$722,"&lt;="&amp;77233637599)</f>
        <v>0</v>
      </c>
      <c r="X96" s="62" t="n">
        <f aca="false">COUNTIFS(Данные!$B$2:$B$722,60,Данные!$C$2:$C$722,1,Данные!$A$2:$A$722,"&gt;="&amp;77233550000,Данные!$A$2:$A$722,"&lt;="&amp;77233550999)</f>
        <v>0</v>
      </c>
      <c r="Y96" s="62" t="n">
        <f aca="false">COUNTIFS(Данные!$B$2:$B$722,60,Данные!$C$2:$C$722,1,Данные!$A$2:$A$722,"&gt;="&amp;77233554000,Данные!$A$2:$A$722,"&lt;="&amp;77233554999)</f>
        <v>0</v>
      </c>
      <c r="Z96" s="62" t="n">
        <f aca="false">COUNTIFS(Данные!$B$2:$B$722,60,Данные!$C$2:$C$722,1,Данные!$A$2:$A$722,"&gt;="&amp;77233555000,Данные!$A$2:$A$722,"&lt;="&amp;77233556999)</f>
        <v>0</v>
      </c>
      <c r="AA96" s="62" t="n">
        <f aca="false">COUNTIFS(Данные!$B$2:$B$722,60,Данные!$C$2:$C$722,1,Данные!$A$2:$A$722,"&gt;="&amp;77233726000,Данные!$A$2:$A$722,"&lt;="&amp;77233726999)</f>
        <v>0</v>
      </c>
      <c r="AB96" s="62" t="n">
        <f aca="false">COUNTIFS(Данные!$B$2:$B$722,60,Данные!$C$2:$C$722,1,Данные!$A$2:$A$722,"&gt;="&amp;77233820000,Данные!$A$2:$A$722,"&lt;="&amp;77233820999)</f>
        <v>0</v>
      </c>
      <c r="AC96" s="62" t="n">
        <f aca="false">COUNTIFS(Данные!$B$2:$B$722,60,Данные!$C$2:$C$722,1,Данные!$A$2:$A$722,"&gt;="&amp;77233850000,Данные!$A$2:$A$722,"&lt;="&amp;77233850999)</f>
        <v>0</v>
      </c>
      <c r="AD96" s="62" t="n">
        <f aca="false">COUNTIFS(Данные!$B$2:$B$722,60,Данные!$C$2:$C$722,1,Данные!$A$2:$A$722,"&gt;="&amp;77233420000,Данные!$A$2:$A$722,"&lt;="&amp;77233420999)</f>
        <v>0</v>
      </c>
      <c r="AE96" s="62" t="n">
        <f aca="false">COUNTIFS(Данные!$B$2:$B$722,60,Данные!$C$2:$C$722,1,Данные!$A$2:$A$722,"&gt;="&amp;77234740000,Данные!$A$2:$A$722,"&lt;="&amp;77234742999)</f>
        <v>0</v>
      </c>
      <c r="AF96" s="62" t="n">
        <f aca="false">COUNTIFS(Данные!$B$2:$B$722,60,Данные!$C$2:$C$722,1,Данные!$A$2:$A$722,"&gt;="&amp;77234767000,Данные!$A$2:$A$722,"&lt;="&amp;77234767999)</f>
        <v>0</v>
      </c>
      <c r="AG96" s="62" t="n">
        <f aca="false">COUNTIFS(Данные!$B$2:$B$722,60,Данные!$C$2:$C$722,1,Данные!$A$2:$A$722,"&gt;="&amp;77234120000,Данные!$A$2:$A$722,"&lt;="&amp;77234120999)</f>
        <v>0</v>
      </c>
      <c r="AH96" s="62" t="n">
        <f aca="false">COUNTIFS(Данные!$B$2:$B$722,60,Данные!$C$2:$C$722,1,Данные!$A$2:$A$722,"&gt;="&amp;77234127000,Данные!$A$2:$A$722,"&lt;="&amp;77234127999)</f>
        <v>0</v>
      </c>
      <c r="AI96" s="62" t="n">
        <f aca="false">COUNTIFS(Данные!$B$2:$B$722,60,Данные!$C$2:$C$722,1,Данные!$A$2:$A$722,"&gt;="&amp;77234220000,Данные!$A$2:$A$722,"&lt;="&amp;77234220999)</f>
        <v>0</v>
      </c>
      <c r="AJ96" s="62" t="n">
        <f aca="false">COUNTIFS(Данные!$B$2:$B$722,60,Данные!$C$2:$C$722,1,Данные!$A$2:$A$722,"&gt;="&amp;77234250000,Данные!$A$2:$A$722,"&lt;="&amp;77234250999)</f>
        <v>0</v>
      </c>
      <c r="AK96" s="62" t="n">
        <f aca="false">COUNTIFS(Данные!$B$2:$B$722,60,Данные!$C$2:$C$722,1,Данные!$A$2:$A$722,"&gt;="&amp;77233922950,Данные!$A$2:$A$722,"&lt;="&amp;77233924999)</f>
        <v>0</v>
      </c>
      <c r="AL96" s="62" t="n">
        <f aca="false">COUNTIFS(Данные!$B$2:$B$722,60,Данные!$C$2:$C$722,1,Данные!$A$2:$A$722,"&gt;="&amp;77234320000,Данные!$A$2:$A$722,"&lt;="&amp;77234320999)</f>
        <v>0</v>
      </c>
      <c r="AM96" s="62" t="n">
        <f aca="false">COUNTIFS(Данные!$B$2:$B$722,60,Данные!$C$2:$C$722,1,Данные!$A$2:$A$722,"&gt;="&amp;77234350000,Данные!$A$2:$A$722,"&lt;="&amp;77234350999)</f>
        <v>0</v>
      </c>
      <c r="AN96" s="62" t="n">
        <f aca="false">COUNTIFS(Данные!$B$2:$B$722,60,Данные!$C$2:$C$722,1,Данные!$A$2:$A$722,"&gt;="&amp;77234020000,Данные!$A$2:$A$722,"&lt;="&amp;77234020999)</f>
        <v>0</v>
      </c>
      <c r="AO96" s="62" t="n">
        <f aca="false">COUNTIFS(Данные!$B$2:$B$722,60,Данные!$C$2:$C$722,1,Данные!$A$2:$A$722,"&gt;="&amp;77234029000,Данные!$A$2:$A$722,"&lt;="&amp;77234029999)</f>
        <v>0</v>
      </c>
      <c r="AP96" s="62" t="n">
        <f aca="false">COUNTIFS(Данные!$B$2:$B$722,60,Данные!$C$2:$C$722,1,Данные!$A$2:$A$722,"&gt;="&amp;77234050000,Данные!$A$2:$A$722,"&lt;="&amp;77234050999)</f>
        <v>0</v>
      </c>
      <c r="AQ96" s="62" t="n">
        <f aca="false">COUNTIFS(Данные!$B$2:$B$722,60,Данные!$C$2:$C$722,1,Данные!$A$2:$A$722,"&gt;="&amp;77234427000,Данные!$A$2:$A$722,"&lt;="&amp;77234428999)</f>
        <v>0</v>
      </c>
      <c r="AR96" s="62" t="n">
        <f aca="false">COUNTIFS(Данные!$B$2:$B$722,60,Данные!$C$2:$C$722,1,Данные!$A$2:$A$722,"&gt;="&amp;77234450000,Данные!$A$2:$A$722,"&lt;="&amp;77234450999)</f>
        <v>0</v>
      </c>
      <c r="AS96" s="62" t="n">
        <f aca="false">COUNTIFS(Данные!$B$2:$B$722,60,Данные!$C$2:$C$722,1,Данные!$A$2:$A$722,"&gt;="&amp;77234620000,Данные!$A$2:$A$722,"&lt;="&amp;77234620999)</f>
        <v>0</v>
      </c>
      <c r="AT96" s="62" t="n">
        <f aca="false">COUNTIFS(Данные!$B$2:$B$722,60,Данные!$C$2:$C$722,1,Данные!$A$2:$A$722,"&gt;="&amp;77234650000,Данные!$A$2:$A$722,"&lt;="&amp;77234650999)</f>
        <v>0</v>
      </c>
      <c r="AU96" s="62" t="n">
        <f aca="false">COUNTIFS(Данные!$B$2:$B$722,60,Данные!$C$2:$C$722,1,Данные!$A$2:$A$722,"&gt;="&amp;77234820000,Данные!$A$2:$A$722,"&lt;="&amp;77234820999)</f>
        <v>0</v>
      </c>
      <c r="AV96" s="62" t="n">
        <f aca="false">COUNTIFS(Данные!$B$2:$B$722,60,Данные!$C$2:$C$722,1,Данные!$A$2:$A$722,"&gt;="&amp;77234850000,Данные!$A$2:$A$722,"&lt;="&amp;77234850999)</f>
        <v>0</v>
      </c>
      <c r="AW96" s="62" t="n">
        <f aca="false">COUNTIFS(Данные!$B$2:$B$722,60,Данные!$C$2:$C$722,1,Данные!$A$2:$A$722,"&gt;="&amp;77233327000,Данные!$A$2:$A$722,"&lt;="&amp;77233327999)</f>
        <v>0</v>
      </c>
      <c r="AX96" s="62" t="n">
        <f aca="false">COUNTIFS(Данные!$B$2:$B$722,60,Данные!$C$2:$C$722,1,Данные!$A$2:$A$722,"&gt;="&amp;77233350000,Данные!$A$2:$A$722,"&lt;="&amp;77233350599)</f>
        <v>0</v>
      </c>
      <c r="AY96" s="62" t="n">
        <f aca="false">COUNTIFS(Данные!$B$2:$B$722,60,Данные!$C$2:$C$722,1,Данные!$A$2:$A$722,"&gt;="&amp;77233351000,Данные!$A$2:$A$722,"&lt;="&amp;77233351999)</f>
        <v>0</v>
      </c>
      <c r="AZ96" s="63" t="n">
        <f aca="false">COUNTIFS(Данные!$B$2:$B$722,60,Данные!$C$2:$C$722,1,Данные!$A$2:$A$722,"&gt;="&amp;7722440000,Данные!$A$2:$A$722,"&lt;="&amp;7722440999)</f>
        <v>0</v>
      </c>
      <c r="BA96" s="63" t="n">
        <f aca="false">COUNTIFS(Данные!$B$2:$B$722,60,Данные!$C$2:$C$722,1,Данные!$A$2:$A$722,"&gt;="&amp;7722442000,Данные!$A$2:$A$722,"&lt;="&amp;7722445659)</f>
        <v>0</v>
      </c>
      <c r="BB96" s="63" t="n">
        <f aca="false">COUNTIFS(Данные!$B$2:$B$722,60,Данные!$C$2:$C$722,1,Данные!$A$2:$A$722,"&gt;="&amp;7722450000,Данные!$A$2:$A$722,"&lt;="&amp;7722450199)</f>
        <v>0</v>
      </c>
      <c r="BC96" s="63" t="n">
        <f aca="false">COUNTIFS(Данные!$B$2:$B$722,60,Данные!$C$2:$C$722,1,Данные!$A$2:$A$722,"&gt;="&amp;7722451000,Данные!$A$2:$A$722,"&lt;="&amp;7722451374)</f>
        <v>0</v>
      </c>
      <c r="BD96" s="63" t="n">
        <f aca="false">COUNTIFS(Данные!$B$2:$B$722,60,Данные!$C$2:$C$722,1,Данные!$A$2:$A$722,"&gt;="&amp;7722452000,Данные!$A$2:$A$722,"&lt;="&amp;7722452299)</f>
        <v>0</v>
      </c>
      <c r="BE96" s="63" t="n">
        <f aca="false">COUNTIFS(Данные!$B$2:$B$722,60,Данные!$C$2:$C$722,1,Данные!$A$2:$A$722,"&gt;="&amp;7722453000,Данные!$A$2:$A$722,"&lt;="&amp;7722453816)</f>
        <v>0</v>
      </c>
      <c r="BF96" s="63" t="n">
        <f aca="false">COUNTIFS(Данные!$B$2:$B$722,60,Данные!$C$2:$C$722,1,Данные!$A$2:$A$722,"&gt;="&amp;7722454000,Данные!$A$2:$A$722,"&lt;="&amp;7722454099)</f>
        <v>0</v>
      </c>
      <c r="BG96" s="63" t="n">
        <f aca="false">COUNTIFS(Данные!$B$2:$B$722,60,Данные!$C$2:$C$722,1,Данные!$A$2:$A$722,"&gt;="&amp;7722458000,Данные!$A$2:$A$722,"&lt;="&amp;7722458999)</f>
        <v>0</v>
      </c>
      <c r="BH96" s="63" t="n">
        <f aca="false">COUNTIFS(Данные!$B$2:$B$722,60,Данные!$C$2:$C$722,1,Данные!$A$2:$A$722,"&gt;="&amp;7722630000,Данные!$A$2:$A$722,"&lt;="&amp;7722638549)</f>
        <v>0</v>
      </c>
      <c r="BI96" s="63" t="n">
        <f aca="false">COUNTIFS(Данные!$B$2:$B$722,60,Данные!$C$2:$C$722,1,Данные!$A$2:$A$722,"&gt;="&amp;7722639400,Данные!$A$2:$A$722,"&lt;="&amp;7722639899)</f>
        <v>0</v>
      </c>
      <c r="BJ96" s="63" t="n">
        <f aca="false">COUNTIFS(Данные!$B$2:$B$722,60,Данные!$C$2:$C$722,1,Данные!$A$2:$A$722,"&gt;="&amp;7725750000,Данные!$A$2:$A$722,"&lt;="&amp;7725750399)</f>
        <v>0</v>
      </c>
      <c r="BK96" s="63" t="n">
        <f aca="false">COUNTIFS(Данные!$B$2:$B$722,60,Данные!$C$2:$C$722,1,Данные!$A$2:$A$722,"&gt;="&amp;7723620000,Данные!$A$2:$A$722,"&lt;="&amp;7723621299)</f>
        <v>0</v>
      </c>
      <c r="BL96" s="63" t="n">
        <f aca="false">COUNTIFS(Данные!$B$2:$B$722,60,Данные!$C$2:$C$722,1,Данные!$A$2:$A$722,"&gt;="&amp;7723621600,Данные!$A$2:$A$722,"&lt;="&amp;7723623399)</f>
        <v>0</v>
      </c>
      <c r="BM96" s="63" t="n">
        <f aca="false">COUNTIFS(Данные!$B$2:$B$722,60,Данные!$C$2:$C$722,1,Данные!$A$2:$A$722,"&gt;="&amp;7725127000,Данные!$A$2:$A$722,"&lt;="&amp;7725127999)</f>
        <v>0</v>
      </c>
      <c r="BN96" s="63" t="n">
        <f aca="false">COUNTIFS(Данные!$B$2:$B$722,60,Данные!$C$2:$C$722,1,Данные!$A$2:$A$722,"&gt;="&amp;7723772000,Данные!$A$2:$A$722,"&lt;="&amp;7723724999)</f>
        <v>0</v>
      </c>
      <c r="BO96" s="62" t="n">
        <f aca="false">COUNTIFS(Данные!$B$2:$B$722,60,Данные!$C$2:$C$722,1,Данные!$A$2:$A$722,"&gt;="&amp;7723765000,Данные!$A$2:$A$722,"&lt;="&amp;7723765499)</f>
        <v>0</v>
      </c>
      <c r="BP96" s="63" t="n">
        <f aca="false">COUNTIFS(Данные!$B$2:$B$722,60,Данные!$C$2:$C$722,1,Данные!$A$2:$A$722,"&gt;="&amp;7723948000,Данные!$A$2:$A$722,"&lt;="&amp;7723948999)</f>
        <v>0</v>
      </c>
      <c r="BQ96" s="63" t="n">
        <f aca="false">COUNTIFS(Данные!$B$2:$B$722,60,Данные!$C$2:$C$722,1,Данные!$A$2:$A$722,"&gt;="&amp;7723950000,Данные!$A$2:$A$722,"&lt;="&amp;7723951099)</f>
        <v>0</v>
      </c>
      <c r="BR96" s="63" t="n">
        <f aca="false">COUNTIFS(Данные!$B$2:$B$722,60,Данные!$C$2:$C$722,1,Данные!$A$2:$A$722,"&gt;="&amp;7723020000,Данные!$A$2:$A$722,"&lt;="&amp;7723020999)</f>
        <v>0</v>
      </c>
      <c r="BS96" s="63" t="n">
        <f aca="false">COUNTIFS(Данные!$B$2:$B$722,60,Данные!$C$2:$C$722,1,Данные!$A$2:$A$722,"&gt;="&amp;7723029000,Данные!$A$2:$A$722,"&lt;="&amp;7723029999)</f>
        <v>0</v>
      </c>
      <c r="BT96" s="63" t="n">
        <f aca="false">COUNTIFS(Данные!$B$2:$B$722,60,Данные!$C$2:$C$722,1,Данные!$A$2:$A$722,"&gt;="&amp;7723055000,Данные!$A$2:$A$722,"&lt;="&amp;7723056549)</f>
        <v>0</v>
      </c>
      <c r="BU96" s="62" t="n">
        <f aca="false">COUNTIFS(Данные!$B$2:$B$722,60,Данные!$C$2:$C$722,1,Данные!$A$2:$A$722,"&gt;="&amp;7725250000,Данные!$A$2:$A$722,"&lt;="&amp;7725250499)</f>
        <v>0</v>
      </c>
      <c r="BV96" s="63" t="n">
        <f aca="false">COUNTIFS(Данные!$B$2:$B$722,60,Данные!$C$2:$C$722,1,Данные!$A$2:$A$722,"&gt;="&amp;7183841400,Данные!$A$2:$A$722,"&lt;="&amp;7183841499)</f>
        <v>0</v>
      </c>
      <c r="BW96" s="40" t="n">
        <v>300</v>
      </c>
      <c r="BX96" s="64" t="n">
        <f aca="false">F96-BW96</f>
        <v>-300</v>
      </c>
    </row>
    <row r="97" s="15" customFormat="true" ht="12" hidden="false" customHeight="true" outlineLevel="0" collapsed="false">
      <c r="A97" s="38"/>
      <c r="B97" s="39"/>
      <c r="C97" s="41" t="n">
        <v>2</v>
      </c>
      <c r="D97" s="41" t="n">
        <v>602</v>
      </c>
      <c r="E97" s="42"/>
      <c r="F97" s="62" t="n">
        <f aca="false">COUNTIFS(Данные!$B$2:$B$722,60,Данные!$C$2:$C$722,2)</f>
        <v>0</v>
      </c>
      <c r="G97" s="62" t="n">
        <f aca="false">COUNTIFS(Данные!$B$2:$B$722,60,Данные!$C$2:$C$722,2,Данные!$A$2:$A$722,"&gt;="&amp;77232210840,Данные!$A$2:$A$722,"&lt;="&amp;77232216999)</f>
        <v>0</v>
      </c>
      <c r="H97" s="62" t="n">
        <f aca="false">COUNTIFS(Данные!$B$2:$B$722,60,Данные!$C$2:$C$722,2,Данные!$A$2:$A$722,"&gt;="&amp;77232510512,Данные!$A$2:$A$722,"&lt;="&amp;77232519487)</f>
        <v>0</v>
      </c>
      <c r="I97" s="62" t="n">
        <f aca="false">COUNTIFS(Данные!$B$2:$B$722,60,Данные!$C$2:$C$722,2,Данные!$A$2:$A$722,"&gt;="&amp;77232524160,Данные!$A$2:$A$722,"&lt;="&amp;77232529999)</f>
        <v>0</v>
      </c>
      <c r="J97" s="62" t="n">
        <f aca="false">COUNTIFS(Данные!$B$2:$B$722,60,Данные!$C$2:$C$722,2,Данные!$A$2:$A$722,"&gt;="&amp;77232544000,Данные!$A$2:$A$722,"&lt;="&amp;77232544999)</f>
        <v>0</v>
      </c>
      <c r="K97" s="62" t="n">
        <f aca="false">COUNTIFS(Данные!$B$2:$B$722,60,Данные!$C$2:$C$722,2,Данные!$A$2:$A$722,"&gt;="&amp;77232295504,Данные!$A$2:$A$722,"&lt;="&amp;77232296999)</f>
        <v>0</v>
      </c>
      <c r="L97" s="62" t="n">
        <f aca="false">COUNTIFS(Данные!$B$2:$B$722,60,Данные!$C$2:$C$722,2,Данные!$A$2:$A$722,"&gt;="&amp;77232785000,Данные!$A$2:$A$722,"&lt;="&amp;77232789999)</f>
        <v>0</v>
      </c>
      <c r="M97" s="62" t="n">
        <f aca="false">COUNTIFS(Данные!$B$2:$B$722,60,Данные!$C$2:$C$722,2,Данные!$A$2:$A$722,"&gt;="&amp;77233150000,Данные!$A$2:$A$722,"&lt;="&amp;77233155999)</f>
        <v>0</v>
      </c>
      <c r="N97" s="62" t="n">
        <f aca="false">COUNTIFS(Данные!$B$2:$B$722,60,Данные!$C$2:$C$722,2,Данные!$A$2:$A$722,"&gt;="&amp;77233235000,Данные!$A$2:$A$722,"&lt;="&amp;77233235999)</f>
        <v>0</v>
      </c>
      <c r="O97" s="62" t="n">
        <f aca="false">COUNTIFS(Данные!$B$2:$B$722,60,Данные!$C$2:$C$722,2,Данные!$A$2:$A$722,"&gt;="&amp;77233239000,Данные!$A$2:$A$722,"&lt;="&amp;77233239999)</f>
        <v>0</v>
      </c>
      <c r="P97" s="62" t="n">
        <f aca="false">COUNTIFS(Данные!$B$2:$B$722,60,Данные!$C$2:$C$722,2,Данные!$A$2:$A$722,"&gt;="&amp;77233272000,Данные!$A$2:$A$722,"&lt;="&amp;77233272999)</f>
        <v>0</v>
      </c>
      <c r="Q97" s="62" t="n">
        <f aca="false">COUNTIFS(Данные!$B$2:$B$722,60,Данные!$C$2:$C$722,2,Данные!$A$2:$A$722,"&gt;="&amp;77233291100,Данные!$A$2:$A$722,"&lt;="&amp;77233292999)</f>
        <v>0</v>
      </c>
      <c r="R97" s="62" t="n">
        <f aca="false">COUNTIFS(Данные!$B$2:$B$722,60,Данные!$C$2:$C$722,2,Данные!$A$2:$A$722,"&gt;="&amp;77233297000,Данные!$A$2:$A$722,"&lt;="&amp;77233298399)</f>
        <v>0</v>
      </c>
      <c r="S97" s="62" t="n">
        <f aca="false">COUNTIFS(Данные!$B$2:$B$722,60,Данные!$C$2:$C$722,2,Данные!$A$2:$A$722,"&gt;="&amp;77235124000,Данные!$A$2:$A$722,"&lt;="&amp;77235128499)</f>
        <v>0</v>
      </c>
      <c r="T97" s="62" t="n">
        <f aca="false">COUNTIFS(Данные!$B$2:$B$722,60,Данные!$C$2:$C$722,2,Данные!$A$2:$A$722,"&gt;="&amp;77235320000,Данные!$A$2:$A$722,"&lt;="&amp;77235320999)</f>
        <v>0</v>
      </c>
      <c r="U97" s="62" t="n">
        <f aca="false">COUNTIFS(Данные!$B$2:$B$722,60,Данные!$C$2:$C$722,2,Данные!$A$2:$A$722,"&gt;="&amp;77233620000,Данные!$A$2:$A$722,"&lt;="&amp;77233623339)</f>
        <v>0</v>
      </c>
      <c r="V97" s="62" t="n">
        <f aca="false">COUNTIFS(Данные!$B$2:$B$722,60,Данные!$C$2:$C$722,2,Данные!$A$2:$A$722,"&gt;="&amp;77233630000,Данные!$A$2:$A$722,"&lt;="&amp;77233630999)</f>
        <v>0</v>
      </c>
      <c r="W97" s="62" t="n">
        <f aca="false">COUNTIFS(Данные!$B$2:$B$722,60,Данные!$C$2:$C$722,2,Данные!$A$2:$A$722,"&gt;="&amp;77233637000,Данные!$A$2:$A$722,"&lt;="&amp;77233637599)</f>
        <v>0</v>
      </c>
      <c r="X97" s="62" t="n">
        <f aca="false">COUNTIFS(Данные!$B$2:$B$722,60,Данные!$C$2:$C$722,2,Данные!$A$2:$A$722,"&gt;="&amp;77233550000,Данные!$A$2:$A$722,"&lt;="&amp;77233550999)</f>
        <v>0</v>
      </c>
      <c r="Y97" s="62" t="n">
        <f aca="false">COUNTIFS(Данные!$B$2:$B$722,60,Данные!$C$2:$C$722,2,Данные!$A$2:$A$722,"&gt;="&amp;77233554000,Данные!$A$2:$A$722,"&lt;="&amp;77233554999)</f>
        <v>0</v>
      </c>
      <c r="Z97" s="62" t="n">
        <f aca="false">COUNTIFS(Данные!$B$2:$B$722,60,Данные!$C$2:$C$722,2,Данные!$A$2:$A$722,"&gt;="&amp;77233555000,Данные!$A$2:$A$722,"&lt;="&amp;77233556999)</f>
        <v>0</v>
      </c>
      <c r="AA97" s="62" t="n">
        <f aca="false">COUNTIFS(Данные!$B$2:$B$722,60,Данные!$C$2:$C$722,2,Данные!$A$2:$A$722,"&gt;="&amp;77233726000,Данные!$A$2:$A$722,"&lt;="&amp;77233726999)</f>
        <v>0</v>
      </c>
      <c r="AB97" s="62" t="n">
        <f aca="false">COUNTIFS(Данные!$B$2:$B$722,60,Данные!$C$2:$C$722,2,Данные!$A$2:$A$722,"&gt;="&amp;77233820000,Данные!$A$2:$A$722,"&lt;="&amp;77233820999)</f>
        <v>0</v>
      </c>
      <c r="AC97" s="62" t="n">
        <f aca="false">COUNTIFS(Данные!$B$2:$B$722,60,Данные!$C$2:$C$722,2,Данные!$A$2:$A$722,"&gt;="&amp;77233850000,Данные!$A$2:$A$722,"&lt;="&amp;77233850999)</f>
        <v>0</v>
      </c>
      <c r="AD97" s="62" t="n">
        <f aca="false">COUNTIFS(Данные!$B$2:$B$722,60,Данные!$C$2:$C$722,2,Данные!$A$2:$A$722,"&gt;="&amp;77233420000,Данные!$A$2:$A$722,"&lt;="&amp;77233420999)</f>
        <v>0</v>
      </c>
      <c r="AE97" s="62" t="n">
        <f aca="false">COUNTIFS(Данные!$B$2:$B$722,60,Данные!$C$2:$C$722,2,Данные!$A$2:$A$722,"&gt;="&amp;77234740000,Данные!$A$2:$A$722,"&lt;="&amp;77234742999)</f>
        <v>0</v>
      </c>
      <c r="AF97" s="62" t="n">
        <f aca="false">COUNTIFS(Данные!$B$2:$B$722,60,Данные!$C$2:$C$722,2,Данные!$A$2:$A$722,"&gt;="&amp;77234767000,Данные!$A$2:$A$722,"&lt;="&amp;77234767999)</f>
        <v>0</v>
      </c>
      <c r="AG97" s="62" t="n">
        <f aca="false">COUNTIFS(Данные!$B$2:$B$722,60,Данные!$C$2:$C$722,2,Данные!$A$2:$A$722,"&gt;="&amp;77234120000,Данные!$A$2:$A$722,"&lt;="&amp;77234120999)</f>
        <v>0</v>
      </c>
      <c r="AH97" s="62" t="n">
        <f aca="false">COUNTIFS(Данные!$B$2:$B$722,60,Данные!$C$2:$C$722,2,Данные!$A$2:$A$722,"&gt;="&amp;77234127000,Данные!$A$2:$A$722,"&lt;="&amp;77234127999)</f>
        <v>0</v>
      </c>
      <c r="AI97" s="62" t="n">
        <f aca="false">COUNTIFS(Данные!$B$2:$B$722,60,Данные!$C$2:$C$722,2,Данные!$A$2:$A$722,"&gt;="&amp;77234220000,Данные!$A$2:$A$722,"&lt;="&amp;77234220999)</f>
        <v>0</v>
      </c>
      <c r="AJ97" s="62" t="n">
        <f aca="false">COUNTIFS(Данные!$B$2:$B$722,60,Данные!$C$2:$C$722,2,Данные!$A$2:$A$722,"&gt;="&amp;77234250000,Данные!$A$2:$A$722,"&lt;="&amp;77234250999)</f>
        <v>0</v>
      </c>
      <c r="AK97" s="62" t="n">
        <f aca="false">COUNTIFS(Данные!$B$2:$B$722,60,Данные!$C$2:$C$722,2,Данные!$A$2:$A$722,"&gt;="&amp;77233922950,Данные!$A$2:$A$722,"&lt;="&amp;77233924999)</f>
        <v>0</v>
      </c>
      <c r="AL97" s="62" t="n">
        <f aca="false">COUNTIFS(Данные!$B$2:$B$722,60,Данные!$C$2:$C$722,2,Данные!$A$2:$A$722,"&gt;="&amp;77234320000,Данные!$A$2:$A$722,"&lt;="&amp;77234320999)</f>
        <v>0</v>
      </c>
      <c r="AM97" s="62" t="n">
        <f aca="false">COUNTIFS(Данные!$B$2:$B$722,60,Данные!$C$2:$C$722,2,Данные!$A$2:$A$722,"&gt;="&amp;77234350000,Данные!$A$2:$A$722,"&lt;="&amp;77234350999)</f>
        <v>0</v>
      </c>
      <c r="AN97" s="62" t="n">
        <f aca="false">COUNTIFS(Данные!$B$2:$B$722,60,Данные!$C$2:$C$722,2,Данные!$A$2:$A$722,"&gt;="&amp;77234020000,Данные!$A$2:$A$722,"&lt;="&amp;77234020999)</f>
        <v>0</v>
      </c>
      <c r="AO97" s="62" t="n">
        <f aca="false">COUNTIFS(Данные!$B$2:$B$722,60,Данные!$C$2:$C$722,2,Данные!$A$2:$A$722,"&gt;="&amp;77234029000,Данные!$A$2:$A$722,"&lt;="&amp;77234029999)</f>
        <v>0</v>
      </c>
      <c r="AP97" s="62" t="n">
        <f aca="false">COUNTIFS(Данные!$B$2:$B$722,60,Данные!$C$2:$C$722,2,Данные!$A$2:$A$722,"&gt;="&amp;77234050000,Данные!$A$2:$A$722,"&lt;="&amp;77234050999)</f>
        <v>0</v>
      </c>
      <c r="AQ97" s="62" t="n">
        <f aca="false">COUNTIFS(Данные!$B$2:$B$722,60,Данные!$C$2:$C$722,2,Данные!$A$2:$A$722,"&gt;="&amp;77234427000,Данные!$A$2:$A$722,"&lt;="&amp;77234428999)</f>
        <v>0</v>
      </c>
      <c r="AR97" s="62" t="n">
        <f aca="false">COUNTIFS(Данные!$B$2:$B$722,60,Данные!$C$2:$C$722,2,Данные!$A$2:$A$722,"&gt;="&amp;77234450000,Данные!$A$2:$A$722,"&lt;="&amp;77234450999)</f>
        <v>0</v>
      </c>
      <c r="AS97" s="62" t="n">
        <f aca="false">COUNTIFS(Данные!$B$2:$B$722,60,Данные!$C$2:$C$722,2,Данные!$A$2:$A$722,"&gt;="&amp;77234620000,Данные!$A$2:$A$722,"&lt;="&amp;77234620999)</f>
        <v>0</v>
      </c>
      <c r="AT97" s="62" t="n">
        <f aca="false">COUNTIFS(Данные!$B$2:$B$722,60,Данные!$C$2:$C$722,2,Данные!$A$2:$A$722,"&gt;="&amp;77234650000,Данные!$A$2:$A$722,"&lt;="&amp;77234650999)</f>
        <v>0</v>
      </c>
      <c r="AU97" s="62" t="n">
        <f aca="false">COUNTIFS(Данные!$B$2:$B$722,60,Данные!$C$2:$C$722,2,Данные!$A$2:$A$722,"&gt;="&amp;77234820000,Данные!$A$2:$A$722,"&lt;="&amp;77234820999)</f>
        <v>0</v>
      </c>
      <c r="AV97" s="62" t="n">
        <f aca="false">COUNTIFS(Данные!$B$2:$B$722,60,Данные!$C$2:$C$722,2,Данные!$A$2:$A$722,"&gt;="&amp;77234850000,Данные!$A$2:$A$722,"&lt;="&amp;77234850999)</f>
        <v>0</v>
      </c>
      <c r="AW97" s="62" t="n">
        <f aca="false">COUNTIFS(Данные!$B$2:$B$722,60,Данные!$C$2:$C$722,2,Данные!$A$2:$A$722,"&gt;="&amp;77233327000,Данные!$A$2:$A$722,"&lt;="&amp;77233327999)</f>
        <v>0</v>
      </c>
      <c r="AX97" s="62" t="n">
        <f aca="false">COUNTIFS(Данные!$B$2:$B$722,60,Данные!$C$2:$C$722,2,Данные!$A$2:$A$722,"&gt;="&amp;77233350000,Данные!$A$2:$A$722,"&lt;="&amp;77233350599)</f>
        <v>0</v>
      </c>
      <c r="AY97" s="62" t="n">
        <f aca="false">COUNTIFS(Данные!$B$2:$B$722,60,Данные!$C$2:$C$722,2,Данные!$A$2:$A$722,"&gt;="&amp;77233351000,Данные!$A$2:$A$722,"&lt;="&amp;77233351999)</f>
        <v>0</v>
      </c>
      <c r="AZ97" s="63" t="n">
        <f aca="false">COUNTIFS(Данные!$B$2:$B$722,60,Данные!$C$2:$C$722,2,Данные!$A$2:$A$722,"&gt;="&amp;7722440000,Данные!$A$2:$A$722,"&lt;="&amp;7722440999)</f>
        <v>0</v>
      </c>
      <c r="BA97" s="63" t="n">
        <f aca="false">COUNTIFS(Данные!$B$2:$B$722,60,Данные!$C$2:$C$722,2,Данные!$A$2:$A$722,"&gt;="&amp;7722442000,Данные!$A$2:$A$722,"&lt;="&amp;7722445659)</f>
        <v>0</v>
      </c>
      <c r="BB97" s="63" t="n">
        <f aca="false">COUNTIFS(Данные!$B$2:$B$722,60,Данные!$C$2:$C$722,2,Данные!$A$2:$A$722,"&gt;="&amp;7722450000,Данные!$A$2:$A$722,"&lt;="&amp;7722450199)</f>
        <v>0</v>
      </c>
      <c r="BC97" s="63" t="n">
        <f aca="false">COUNTIFS(Данные!$B$2:$B$722,60,Данные!$C$2:$C$722,2,Данные!$A$2:$A$722,"&gt;="&amp;7722451000,Данные!$A$2:$A$722,"&lt;="&amp;7722451374)</f>
        <v>0</v>
      </c>
      <c r="BD97" s="63" t="n">
        <f aca="false">COUNTIFS(Данные!$B$2:$B$722,60,Данные!$C$2:$C$722,2,Данные!$A$2:$A$722,"&gt;="&amp;7722452000,Данные!$A$2:$A$722,"&lt;="&amp;7722452299)</f>
        <v>0</v>
      </c>
      <c r="BE97" s="63" t="n">
        <f aca="false">COUNTIFS(Данные!$B$2:$B$722,60,Данные!$C$2:$C$722,2,Данные!$A$2:$A$722,"&gt;="&amp;7722453000,Данные!$A$2:$A$722,"&lt;="&amp;7722453816)</f>
        <v>0</v>
      </c>
      <c r="BF97" s="63" t="n">
        <f aca="false">COUNTIFS(Данные!$B$2:$B$722,60,Данные!$C$2:$C$722,2,Данные!$A$2:$A$722,"&gt;="&amp;7722454000,Данные!$A$2:$A$722,"&lt;="&amp;7722454099)</f>
        <v>0</v>
      </c>
      <c r="BG97" s="63" t="n">
        <f aca="false">COUNTIFS(Данные!$B$2:$B$722,60,Данные!$C$2:$C$722,2,Данные!$A$2:$A$722,"&gt;="&amp;7722458000,Данные!$A$2:$A$722,"&lt;="&amp;7722458999)</f>
        <v>0</v>
      </c>
      <c r="BH97" s="63" t="n">
        <f aca="false">COUNTIFS(Данные!$B$2:$B$722,60,Данные!$C$2:$C$722,2,Данные!$A$2:$A$722,"&gt;="&amp;7722630000,Данные!$A$2:$A$722,"&lt;="&amp;7722638549)</f>
        <v>0</v>
      </c>
      <c r="BI97" s="63" t="n">
        <f aca="false">COUNTIFS(Данные!$B$2:$B$722,60,Данные!$C$2:$C$722,2,Данные!$A$2:$A$722,"&gt;="&amp;7722639400,Данные!$A$2:$A$722,"&lt;="&amp;7722639899)</f>
        <v>0</v>
      </c>
      <c r="BJ97" s="63" t="n">
        <f aca="false">COUNTIFS(Данные!$B$2:$B$722,60,Данные!$C$2:$C$722,2,Данные!$A$2:$A$722,"&gt;="&amp;7725750000,Данные!$A$2:$A$722,"&lt;="&amp;7725750399)</f>
        <v>0</v>
      </c>
      <c r="BK97" s="63" t="n">
        <f aca="false">COUNTIFS(Данные!$B$2:$B$722,60,Данные!$C$2:$C$722,2,Данные!$A$2:$A$722,"&gt;="&amp;7723620000,Данные!$A$2:$A$722,"&lt;="&amp;7723621299)</f>
        <v>0</v>
      </c>
      <c r="BL97" s="63" t="n">
        <f aca="false">COUNTIFS(Данные!$B$2:$B$722,60,Данные!$C$2:$C$722,2,Данные!$A$2:$A$722,"&gt;="&amp;7723621600,Данные!$A$2:$A$722,"&lt;="&amp;7723623399)</f>
        <v>0</v>
      </c>
      <c r="BM97" s="63" t="n">
        <f aca="false">COUNTIFS(Данные!$B$2:$B$722,60,Данные!$C$2:$C$722,2,Данные!$A$2:$A$722,"&gt;="&amp;7725127000,Данные!$A$2:$A$722,"&lt;="&amp;7725127999)</f>
        <v>0</v>
      </c>
      <c r="BN97" s="63" t="n">
        <f aca="false">COUNTIFS(Данные!$B$2:$B$722,60,Данные!$C$2:$C$722,2,Данные!$A$2:$A$722,"&gt;="&amp;7723772000,Данные!$A$2:$A$722,"&lt;="&amp;7723724999)</f>
        <v>0</v>
      </c>
      <c r="BO97" s="62" t="n">
        <f aca="false">COUNTIFS(Данные!$B$2:$B$722,60,Данные!$C$2:$C$722,2,Данные!$A$2:$A$722,"&gt;="&amp;7723765000,Данные!$A$2:$A$722,"&lt;="&amp;7723765499)</f>
        <v>0</v>
      </c>
      <c r="BP97" s="63" t="n">
        <f aca="false">COUNTIFS(Данные!$B$2:$B$722,60,Данные!$C$2:$C$722,2,Данные!$A$2:$A$722,"&gt;="&amp;7723948000,Данные!$A$2:$A$722,"&lt;="&amp;7723948999)</f>
        <v>0</v>
      </c>
      <c r="BQ97" s="63" t="n">
        <f aca="false">COUNTIFS(Данные!$B$2:$B$722,60,Данные!$C$2:$C$722,2,Данные!$A$2:$A$722,"&gt;="&amp;7723950000,Данные!$A$2:$A$722,"&lt;="&amp;7723951099)</f>
        <v>0</v>
      </c>
      <c r="BR97" s="63" t="n">
        <f aca="false">COUNTIFS(Данные!$B$2:$B$722,60,Данные!$C$2:$C$722,2,Данные!$A$2:$A$722,"&gt;="&amp;7723020000,Данные!$A$2:$A$722,"&lt;="&amp;7723020999)</f>
        <v>0</v>
      </c>
      <c r="BS97" s="63" t="n">
        <f aca="false">COUNTIFS(Данные!$B$2:$B$722,60,Данные!$C$2:$C$722,2,Данные!$A$2:$A$722,"&gt;="&amp;7723029000,Данные!$A$2:$A$722,"&lt;="&amp;7723029999)</f>
        <v>0</v>
      </c>
      <c r="BT97" s="63" t="n">
        <f aca="false">COUNTIFS(Данные!$B$2:$B$722,60,Данные!$C$2:$C$722,2,Данные!$A$2:$A$722,"&gt;="&amp;7723055000,Данные!$A$2:$A$722,"&lt;="&amp;7723056549)</f>
        <v>0</v>
      </c>
      <c r="BU97" s="62" t="n">
        <f aca="false">COUNTIFS(Данные!$B$2:$B$722,60,Данные!$C$2:$C$722,2,Данные!$A$2:$A$722,"&gt;="&amp;7725250000,Данные!$A$2:$A$722,"&lt;="&amp;7725250499)</f>
        <v>0</v>
      </c>
      <c r="BV97" s="63" t="n">
        <f aca="false">COUNTIFS(Данные!$B$2:$B$722,60,Данные!$C$2:$C$722,2,Данные!$A$2:$A$722,"&gt;="&amp;7183841400,Данные!$A$2:$A$722,"&lt;="&amp;7183841499)</f>
        <v>0</v>
      </c>
      <c r="BW97" s="40" t="n">
        <v>300</v>
      </c>
      <c r="BX97" s="64" t="n">
        <f aca="false">F97-BW97</f>
        <v>-300</v>
      </c>
    </row>
    <row r="98" s="15" customFormat="true" ht="12" hidden="false" customHeight="true" outlineLevel="0" collapsed="false">
      <c r="A98" s="47" t="n">
        <v>61</v>
      </c>
      <c r="B98" s="48" t="s">
        <v>92</v>
      </c>
      <c r="C98" s="50" t="n">
        <v>0</v>
      </c>
      <c r="D98" s="50" t="n">
        <v>610</v>
      </c>
      <c r="E98" s="51" t="n">
        <f aca="false">SUM(F98:F100)</f>
        <v>0</v>
      </c>
      <c r="F98" s="65" t="n">
        <f aca="false">COUNTIFS(Данные!$B$2:$B$722,61,Данные!$C$2:$C$722,0)</f>
        <v>0</v>
      </c>
      <c r="G98" s="65" t="n">
        <f aca="false">COUNTIFS(Данные!$B$2:$B$722,61,Данные!$C$2:$C$722,0,Данные!$A$2:$A$722,"&gt;="&amp;77232210840,Данные!$A$2:$A$722,"&lt;="&amp;77232216999)</f>
        <v>0</v>
      </c>
      <c r="H98" s="65" t="n">
        <f aca="false">COUNTIFS(Данные!$B$2:$B$722,61,Данные!$C$2:$C$722,0,Данные!$A$2:$A$722,"&gt;="&amp;77232510512,Данные!$A$2:$A$722,"&lt;="&amp;77232519487)</f>
        <v>0</v>
      </c>
      <c r="I98" s="65" t="n">
        <f aca="false">COUNTIFS(Данные!$B$2:$B$722,61,Данные!$C$2:$C$722,0,Данные!$A$2:$A$722,"&gt;="&amp;77232524160,Данные!$A$2:$A$722,"&lt;="&amp;77232529999)</f>
        <v>0</v>
      </c>
      <c r="J98" s="65" t="n">
        <f aca="false">COUNTIFS(Данные!$B$2:$B$722,61,Данные!$C$2:$C$722,0,Данные!$A$2:$A$722,"&gt;="&amp;77232544000,Данные!$A$2:$A$722,"&lt;="&amp;77232544999)</f>
        <v>0</v>
      </c>
      <c r="K98" s="65" t="n">
        <f aca="false">COUNTIFS(Данные!$B$2:$B$722,61,Данные!$C$2:$C$722,0,Данные!$A$2:$A$722,"&gt;="&amp;77232295504,Данные!$A$2:$A$722,"&lt;="&amp;77232296999)</f>
        <v>0</v>
      </c>
      <c r="L98" s="65" t="n">
        <f aca="false">COUNTIFS(Данные!$B$2:$B$722,61,Данные!$C$2:$C$722,0,Данные!$A$2:$A$722,"&gt;="&amp;77232785000,Данные!$A$2:$A$722,"&lt;="&amp;77232789999)</f>
        <v>0</v>
      </c>
      <c r="M98" s="65" t="n">
        <f aca="false">COUNTIFS(Данные!$B$2:$B$722,61,Данные!$C$2:$C$722,0,Данные!$A$2:$A$722,"&gt;="&amp;77233150000,Данные!$A$2:$A$722,"&lt;="&amp;77233155999)</f>
        <v>0</v>
      </c>
      <c r="N98" s="65" t="n">
        <f aca="false">COUNTIFS(Данные!$B$2:$B$722,61,Данные!$C$2:$C$722,0,Данные!$A$2:$A$722,"&gt;="&amp;77233235000,Данные!$A$2:$A$722,"&lt;="&amp;77233235999)</f>
        <v>0</v>
      </c>
      <c r="O98" s="65" t="n">
        <f aca="false">COUNTIFS(Данные!$B$2:$B$722,61,Данные!$C$2:$C$722,0,Данные!$A$2:$A$722,"&gt;="&amp;77233239000,Данные!$A$2:$A$722,"&lt;="&amp;77233239999)</f>
        <v>0</v>
      </c>
      <c r="P98" s="65" t="n">
        <f aca="false">COUNTIFS(Данные!$B$2:$B$722,61,Данные!$C$2:$C$722,0,Данные!$A$2:$A$722,"&gt;="&amp;77233272000,Данные!$A$2:$A$722,"&lt;="&amp;77233272999)</f>
        <v>0</v>
      </c>
      <c r="Q98" s="65" t="n">
        <f aca="false">COUNTIFS(Данные!$B$2:$B$722,61,Данные!$C$2:$C$722,0,Данные!$A$2:$A$722,"&gt;="&amp;77233291100,Данные!$A$2:$A$722,"&lt;="&amp;77233292999)</f>
        <v>0</v>
      </c>
      <c r="R98" s="65" t="n">
        <f aca="false">COUNTIFS(Данные!$B$2:$B$722,61,Данные!$C$2:$C$722,0,Данные!$A$2:$A$722,"&gt;="&amp;77233297000,Данные!$A$2:$A$722,"&lt;="&amp;77233298399)</f>
        <v>0</v>
      </c>
      <c r="S98" s="65" t="n">
        <f aca="false">COUNTIFS(Данные!$B$2:$B$722,61,Данные!$C$2:$C$722,0,Данные!$A$2:$A$722,"&gt;="&amp;77235124000,Данные!$A$2:$A$722,"&lt;="&amp;77235128499)</f>
        <v>0</v>
      </c>
      <c r="T98" s="65" t="n">
        <f aca="false">COUNTIFS(Данные!$B$2:$B$722,61,Данные!$C$2:$C$722,0,Данные!$A$2:$A$722,"&gt;="&amp;77235320000,Данные!$A$2:$A$722,"&lt;="&amp;77235320999)</f>
        <v>0</v>
      </c>
      <c r="U98" s="65" t="n">
        <f aca="false">COUNTIFS(Данные!$B$2:$B$722,61,Данные!$C$2:$C$722,0,Данные!$A$2:$A$722,"&gt;="&amp;77233620000,Данные!$A$2:$A$722,"&lt;="&amp;77233623339)</f>
        <v>0</v>
      </c>
      <c r="V98" s="65" t="n">
        <f aca="false">COUNTIFS(Данные!$B$2:$B$722,61,Данные!$C$2:$C$722,0,Данные!$A$2:$A$722,"&gt;="&amp;77233630000,Данные!$A$2:$A$722,"&lt;="&amp;77233630999)</f>
        <v>0</v>
      </c>
      <c r="W98" s="65" t="n">
        <f aca="false">COUNTIFS(Данные!$B$2:$B$722,61,Данные!$C$2:$C$722,0,Данные!$A$2:$A$722,"&gt;="&amp;77233637000,Данные!$A$2:$A$722,"&lt;="&amp;77233637599)</f>
        <v>0</v>
      </c>
      <c r="X98" s="65" t="n">
        <f aca="false">COUNTIFS(Данные!$B$2:$B$722,61,Данные!$C$2:$C$722,0,Данные!$A$2:$A$722,"&gt;="&amp;77233550000,Данные!$A$2:$A$722,"&lt;="&amp;77233550999)</f>
        <v>0</v>
      </c>
      <c r="Y98" s="65" t="n">
        <f aca="false">COUNTIFS(Данные!$B$2:$B$722,61,Данные!$C$2:$C$722,0,Данные!$A$2:$A$722,"&gt;="&amp;77233554000,Данные!$A$2:$A$722,"&lt;="&amp;77233554999)</f>
        <v>0</v>
      </c>
      <c r="Z98" s="65" t="n">
        <f aca="false">COUNTIFS(Данные!$B$2:$B$722,61,Данные!$C$2:$C$722,0,Данные!$A$2:$A$722,"&gt;="&amp;77233555000,Данные!$A$2:$A$722,"&lt;="&amp;77233556999)</f>
        <v>0</v>
      </c>
      <c r="AA98" s="65" t="n">
        <f aca="false">COUNTIFS(Данные!$B$2:$B$722,61,Данные!$C$2:$C$722,0,Данные!$A$2:$A$722,"&gt;="&amp;77233726000,Данные!$A$2:$A$722,"&lt;="&amp;77233726999)</f>
        <v>0</v>
      </c>
      <c r="AB98" s="65" t="n">
        <f aca="false">COUNTIFS(Данные!$B$2:$B$722,61,Данные!$C$2:$C$722,0,Данные!$A$2:$A$722,"&gt;="&amp;77233820000,Данные!$A$2:$A$722,"&lt;="&amp;77233820999)</f>
        <v>0</v>
      </c>
      <c r="AC98" s="65" t="n">
        <f aca="false">COUNTIFS(Данные!$B$2:$B$722,61,Данные!$C$2:$C$722,0,Данные!$A$2:$A$722,"&gt;="&amp;77233850000,Данные!$A$2:$A$722,"&lt;="&amp;77233850999)</f>
        <v>0</v>
      </c>
      <c r="AD98" s="65" t="n">
        <f aca="false">COUNTIFS(Данные!$B$2:$B$722,61,Данные!$C$2:$C$722,0,Данные!$A$2:$A$722,"&gt;="&amp;77233420000,Данные!$A$2:$A$722,"&lt;="&amp;77233420999)</f>
        <v>0</v>
      </c>
      <c r="AE98" s="65" t="n">
        <f aca="false">COUNTIFS(Данные!$B$2:$B$722,61,Данные!$C$2:$C$722,0,Данные!$A$2:$A$722,"&gt;="&amp;77234740000,Данные!$A$2:$A$722,"&lt;="&amp;77234742999)</f>
        <v>0</v>
      </c>
      <c r="AF98" s="65" t="n">
        <f aca="false">COUNTIFS(Данные!$B$2:$B$722,61,Данные!$C$2:$C$722,0,Данные!$A$2:$A$722,"&gt;="&amp;77234767000,Данные!$A$2:$A$722,"&lt;="&amp;77234767999)</f>
        <v>0</v>
      </c>
      <c r="AG98" s="65" t="n">
        <f aca="false">COUNTIFS(Данные!$B$2:$B$722,61,Данные!$C$2:$C$722,0,Данные!$A$2:$A$722,"&gt;="&amp;77234120000,Данные!$A$2:$A$722,"&lt;="&amp;77234120999)</f>
        <v>0</v>
      </c>
      <c r="AH98" s="65" t="n">
        <f aca="false">COUNTIFS(Данные!$B$2:$B$722,61,Данные!$C$2:$C$722,0,Данные!$A$2:$A$722,"&gt;="&amp;77234127000,Данные!$A$2:$A$722,"&lt;="&amp;77234127999)</f>
        <v>0</v>
      </c>
      <c r="AI98" s="65" t="n">
        <f aca="false">COUNTIFS(Данные!$B$2:$B$722,61,Данные!$C$2:$C$722,0,Данные!$A$2:$A$722,"&gt;="&amp;77234220000,Данные!$A$2:$A$722,"&lt;="&amp;77234220999)</f>
        <v>0</v>
      </c>
      <c r="AJ98" s="65" t="n">
        <f aca="false">COUNTIFS(Данные!$B$2:$B$722,61,Данные!$C$2:$C$722,0,Данные!$A$2:$A$722,"&gt;="&amp;77234250000,Данные!$A$2:$A$722,"&lt;="&amp;77234250999)</f>
        <v>0</v>
      </c>
      <c r="AK98" s="65" t="n">
        <f aca="false">COUNTIFS(Данные!$B$2:$B$722,61,Данные!$C$2:$C$722,0,Данные!$A$2:$A$722,"&gt;="&amp;77233922950,Данные!$A$2:$A$722,"&lt;="&amp;77233924999)</f>
        <v>0</v>
      </c>
      <c r="AL98" s="65" t="n">
        <f aca="false">COUNTIFS(Данные!$B$2:$B$722,61,Данные!$C$2:$C$722,0,Данные!$A$2:$A$722,"&gt;="&amp;77234320000,Данные!$A$2:$A$722,"&lt;="&amp;77234320999)</f>
        <v>0</v>
      </c>
      <c r="AM98" s="65" t="n">
        <f aca="false">COUNTIFS(Данные!$B$2:$B$722,61,Данные!$C$2:$C$722,0,Данные!$A$2:$A$722,"&gt;="&amp;77234350000,Данные!$A$2:$A$722,"&lt;="&amp;77234350999)</f>
        <v>0</v>
      </c>
      <c r="AN98" s="65" t="n">
        <f aca="false">COUNTIFS(Данные!$B$2:$B$722,61,Данные!$C$2:$C$722,0,Данные!$A$2:$A$722,"&gt;="&amp;77234020000,Данные!$A$2:$A$722,"&lt;="&amp;77234020999)</f>
        <v>0</v>
      </c>
      <c r="AO98" s="65" t="n">
        <f aca="false">COUNTIFS(Данные!$B$2:$B$722,61,Данные!$C$2:$C$722,0,Данные!$A$2:$A$722,"&gt;="&amp;77234029000,Данные!$A$2:$A$722,"&lt;="&amp;77234029999)</f>
        <v>0</v>
      </c>
      <c r="AP98" s="65" t="n">
        <f aca="false">COUNTIFS(Данные!$B$2:$B$722,61,Данные!$C$2:$C$722,0,Данные!$A$2:$A$722,"&gt;="&amp;77234050000,Данные!$A$2:$A$722,"&lt;="&amp;77234050999)</f>
        <v>0</v>
      </c>
      <c r="AQ98" s="65" t="n">
        <f aca="false">COUNTIFS(Данные!$B$2:$B$722,61,Данные!$C$2:$C$722,0,Данные!$A$2:$A$722,"&gt;="&amp;77234427000,Данные!$A$2:$A$722,"&lt;="&amp;77234428999)</f>
        <v>0</v>
      </c>
      <c r="AR98" s="65" t="n">
        <f aca="false">COUNTIFS(Данные!$B$2:$B$722,61,Данные!$C$2:$C$722,0,Данные!$A$2:$A$722,"&gt;="&amp;77234450000,Данные!$A$2:$A$722,"&lt;="&amp;77234450999)</f>
        <v>0</v>
      </c>
      <c r="AS98" s="65" t="n">
        <f aca="false">COUNTIFS(Данные!$B$2:$B$722,61,Данные!$C$2:$C$722,0,Данные!$A$2:$A$722,"&gt;="&amp;77234620000,Данные!$A$2:$A$722,"&lt;="&amp;77234620999)</f>
        <v>0</v>
      </c>
      <c r="AT98" s="65" t="n">
        <f aca="false">COUNTIFS(Данные!$B$2:$B$722,61,Данные!$C$2:$C$722,0,Данные!$A$2:$A$722,"&gt;="&amp;77234650000,Данные!$A$2:$A$722,"&lt;="&amp;77234650999)</f>
        <v>0</v>
      </c>
      <c r="AU98" s="65" t="n">
        <f aca="false">COUNTIFS(Данные!$B$2:$B$722,61,Данные!$C$2:$C$722,0,Данные!$A$2:$A$722,"&gt;="&amp;77234820000,Данные!$A$2:$A$722,"&lt;="&amp;77234820999)</f>
        <v>0</v>
      </c>
      <c r="AV98" s="65" t="n">
        <f aca="false">COUNTIFS(Данные!$B$2:$B$722,61,Данные!$C$2:$C$722,0,Данные!$A$2:$A$722,"&gt;="&amp;77234850000,Данные!$A$2:$A$722,"&lt;="&amp;77234850999)</f>
        <v>0</v>
      </c>
      <c r="AW98" s="65" t="n">
        <f aca="false">COUNTIFS(Данные!$B$2:$B$722,61,Данные!$C$2:$C$722,0,Данные!$A$2:$A$722,"&gt;="&amp;77233327000,Данные!$A$2:$A$722,"&lt;="&amp;77233327999)</f>
        <v>0</v>
      </c>
      <c r="AX98" s="65" t="n">
        <f aca="false">COUNTIFS(Данные!$B$2:$B$722,61,Данные!$C$2:$C$722,0,Данные!$A$2:$A$722,"&gt;="&amp;77233350000,Данные!$A$2:$A$722,"&lt;="&amp;77233350599)</f>
        <v>0</v>
      </c>
      <c r="AY98" s="65" t="n">
        <f aca="false">COUNTIFS(Данные!$B$2:$B$722,61,Данные!$C$2:$C$722,0,Данные!$A$2:$A$722,"&gt;="&amp;77233351000,Данные!$A$2:$A$722,"&lt;="&amp;77233351999)</f>
        <v>0</v>
      </c>
      <c r="AZ98" s="66" t="n">
        <f aca="false">COUNTIFS(Данные!$B$2:$B$722,61,Данные!$C$2:$C$722,0,Данные!$A$2:$A$722,"&gt;="&amp;7722440000,Данные!$A$2:$A$722,"&lt;="&amp;7722440999)</f>
        <v>0</v>
      </c>
      <c r="BA98" s="66" t="n">
        <f aca="false">COUNTIFS(Данные!$B$2:$B$722,61,Данные!$C$2:$C$722,0,Данные!$A$2:$A$722,"&gt;="&amp;7722442000,Данные!$A$2:$A$722,"&lt;="&amp;7722445659)</f>
        <v>0</v>
      </c>
      <c r="BB98" s="66" t="n">
        <f aca="false">COUNTIFS(Данные!$B$2:$B$722,61,Данные!$C$2:$C$722,0,Данные!$A$2:$A$722,"&gt;="&amp;7722450000,Данные!$A$2:$A$722,"&lt;="&amp;7722450199)</f>
        <v>0</v>
      </c>
      <c r="BC98" s="66" t="n">
        <f aca="false">COUNTIFS(Данные!$B$2:$B$722,61,Данные!$C$2:$C$722,0,Данные!$A$2:$A$722,"&gt;="&amp;7722451000,Данные!$A$2:$A$722,"&lt;="&amp;7722451374)</f>
        <v>0</v>
      </c>
      <c r="BD98" s="66" t="n">
        <f aca="false">COUNTIFS(Данные!$B$2:$B$722,61,Данные!$C$2:$C$722,0,Данные!$A$2:$A$722,"&gt;="&amp;7722452000,Данные!$A$2:$A$722,"&lt;="&amp;7722452299)</f>
        <v>0</v>
      </c>
      <c r="BE98" s="66" t="n">
        <f aca="false">COUNTIFS(Данные!$B$2:$B$722,61,Данные!$C$2:$C$722,0,Данные!$A$2:$A$722,"&gt;="&amp;7722453000,Данные!$A$2:$A$722,"&lt;="&amp;7722453816)</f>
        <v>0</v>
      </c>
      <c r="BF98" s="66" t="n">
        <f aca="false">COUNTIFS(Данные!$B$2:$B$722,61,Данные!$C$2:$C$722,0,Данные!$A$2:$A$722,"&gt;="&amp;7722454000,Данные!$A$2:$A$722,"&lt;="&amp;7722454099)</f>
        <v>0</v>
      </c>
      <c r="BG98" s="66" t="n">
        <f aca="false">COUNTIFS(Данные!$B$2:$B$722,61,Данные!$C$2:$C$722,0,Данные!$A$2:$A$722,"&gt;="&amp;7722458000,Данные!$A$2:$A$722,"&lt;="&amp;7722458999)</f>
        <v>0</v>
      </c>
      <c r="BH98" s="66" t="n">
        <f aca="false">COUNTIFS(Данные!$B$2:$B$722,61,Данные!$C$2:$C$722,0,Данные!$A$2:$A$722,"&gt;="&amp;7722630000,Данные!$A$2:$A$722,"&lt;="&amp;7722638549)</f>
        <v>0</v>
      </c>
      <c r="BI98" s="66" t="n">
        <f aca="false">COUNTIFS(Данные!$B$2:$B$722,61,Данные!$C$2:$C$722,0,Данные!$A$2:$A$722,"&gt;="&amp;7722639400,Данные!$A$2:$A$722,"&lt;="&amp;7722639899)</f>
        <v>0</v>
      </c>
      <c r="BJ98" s="66" t="n">
        <f aca="false">COUNTIFS(Данные!$B$2:$B$722,61,Данные!$C$2:$C$722,0,Данные!$A$2:$A$722,"&gt;="&amp;7725750000,Данные!$A$2:$A$722,"&lt;="&amp;7725750399)</f>
        <v>0</v>
      </c>
      <c r="BK98" s="66" t="n">
        <f aca="false">COUNTIFS(Данные!$B$2:$B$722,61,Данные!$C$2:$C$722,0,Данные!$A$2:$A$722,"&gt;="&amp;7723620000,Данные!$A$2:$A$722,"&lt;="&amp;7723621299)</f>
        <v>0</v>
      </c>
      <c r="BL98" s="66" t="n">
        <f aca="false">COUNTIFS(Данные!$B$2:$B$722,61,Данные!$C$2:$C$722,0,Данные!$A$2:$A$722,"&gt;="&amp;7723621600,Данные!$A$2:$A$722,"&lt;="&amp;7723623399)</f>
        <v>0</v>
      </c>
      <c r="BM98" s="66" t="n">
        <f aca="false">COUNTIFS(Данные!$B$2:$B$722,61,Данные!$C$2:$C$722,0,Данные!$A$2:$A$722,"&gt;="&amp;7725127000,Данные!$A$2:$A$722,"&lt;="&amp;7725127999)</f>
        <v>0</v>
      </c>
      <c r="BN98" s="66" t="n">
        <f aca="false">COUNTIFS(Данные!$B$2:$B$722,61,Данные!$C$2:$C$722,0,Данные!$A$2:$A$722,"&gt;="&amp;7723772000,Данные!$A$2:$A$722,"&lt;="&amp;7723724999)</f>
        <v>0</v>
      </c>
      <c r="BO98" s="65" t="n">
        <f aca="false">COUNTIFS(Данные!$B$2:$B$722,61,Данные!$C$2:$C$722,0,Данные!$A$2:$A$722,"&gt;="&amp;7723765000,Данные!$A$2:$A$722,"&lt;="&amp;7723765499)</f>
        <v>0</v>
      </c>
      <c r="BP98" s="66" t="n">
        <f aca="false">COUNTIFS(Данные!$B$2:$B$722,61,Данные!$C$2:$C$722,0,Данные!$A$2:$A$722,"&gt;="&amp;7723948000,Данные!$A$2:$A$722,"&lt;="&amp;7723948999)</f>
        <v>0</v>
      </c>
      <c r="BQ98" s="66" t="n">
        <f aca="false">COUNTIFS(Данные!$B$2:$B$722,61,Данные!$C$2:$C$722,0,Данные!$A$2:$A$722,"&gt;="&amp;7723950000,Данные!$A$2:$A$722,"&lt;="&amp;7723951099)</f>
        <v>0</v>
      </c>
      <c r="BR98" s="66" t="n">
        <f aca="false">COUNTIFS(Данные!$B$2:$B$722,61,Данные!$C$2:$C$722,0,Данные!$A$2:$A$722,"&gt;="&amp;7723020000,Данные!$A$2:$A$722,"&lt;="&amp;7723020999)</f>
        <v>0</v>
      </c>
      <c r="BS98" s="66" t="n">
        <f aca="false">COUNTIFS(Данные!$B$2:$B$722,61,Данные!$C$2:$C$722,0,Данные!$A$2:$A$722,"&gt;="&amp;7723029000,Данные!$A$2:$A$722,"&lt;="&amp;7723029999)</f>
        <v>0</v>
      </c>
      <c r="BT98" s="66" t="n">
        <f aca="false">COUNTIFS(Данные!$B$2:$B$722,61,Данные!$C$2:$C$722,0,Данные!$A$2:$A$722,"&gt;="&amp;7723055000,Данные!$A$2:$A$722,"&lt;="&amp;7723056549)</f>
        <v>0</v>
      </c>
      <c r="BU98" s="65" t="n">
        <f aca="false">COUNTIFS(Данные!$B$2:$B$722,61,Данные!$C$2:$C$722,0,Данные!$A$2:$A$722,"&gt;="&amp;7725250000,Данные!$A$2:$A$722,"&lt;="&amp;7725250499)</f>
        <v>0</v>
      </c>
      <c r="BV98" s="66" t="n">
        <f aca="false">COUNTIFS(Данные!$B$2:$B$722,61,Данные!$C$2:$C$722,0,Данные!$A$2:$A$722,"&gt;="&amp;7183841400,Данные!$A$2:$A$722,"&lt;="&amp;7183841499)</f>
        <v>0</v>
      </c>
      <c r="BW98" s="49" t="n">
        <v>300</v>
      </c>
      <c r="BX98" s="67" t="n">
        <f aca="false">F98-BW98</f>
        <v>-300</v>
      </c>
    </row>
    <row r="99" s="15" customFormat="true" ht="12" hidden="false" customHeight="true" outlineLevel="0" collapsed="false">
      <c r="A99" s="47"/>
      <c r="B99" s="48"/>
      <c r="C99" s="50" t="n">
        <v>1</v>
      </c>
      <c r="D99" s="50" t="n">
        <v>611</v>
      </c>
      <c r="E99" s="51"/>
      <c r="F99" s="65" t="n">
        <f aca="false">COUNTIFS(Данные!$B$2:$B$722,61,Данные!$C$2:$C$722,1)</f>
        <v>0</v>
      </c>
      <c r="G99" s="65" t="n">
        <f aca="false">COUNTIFS(Данные!$B$2:$B$722,61,Данные!$C$2:$C$722,1,Данные!$A$2:$A$722,"&gt;="&amp;77232210840,Данные!$A$2:$A$722,"&lt;="&amp;77232216999)</f>
        <v>0</v>
      </c>
      <c r="H99" s="65" t="n">
        <f aca="false">COUNTIFS(Данные!$B$2:$B$722,61,Данные!$C$2:$C$722,1,Данные!$A$2:$A$722,"&gt;="&amp;77232510512,Данные!$A$2:$A$722,"&lt;="&amp;77232519487)</f>
        <v>0</v>
      </c>
      <c r="I99" s="65" t="n">
        <f aca="false">COUNTIFS(Данные!$B$2:$B$722,61,Данные!$C$2:$C$722,1,Данные!$A$2:$A$722,"&gt;="&amp;77232524160,Данные!$A$2:$A$722,"&lt;="&amp;77232529999)</f>
        <v>0</v>
      </c>
      <c r="J99" s="65" t="n">
        <f aca="false">COUNTIFS(Данные!$B$2:$B$722,61,Данные!$C$2:$C$722,1,Данные!$A$2:$A$722,"&gt;="&amp;77232544000,Данные!$A$2:$A$722,"&lt;="&amp;77232544999)</f>
        <v>0</v>
      </c>
      <c r="K99" s="65" t="n">
        <f aca="false">COUNTIFS(Данные!$B$2:$B$722,61,Данные!$C$2:$C$722,1,Данные!$A$2:$A$722,"&gt;="&amp;77232295504,Данные!$A$2:$A$722,"&lt;="&amp;77232296999)</f>
        <v>0</v>
      </c>
      <c r="L99" s="65" t="n">
        <f aca="false">COUNTIFS(Данные!$B$2:$B$722,61,Данные!$C$2:$C$722,1,Данные!$A$2:$A$722,"&gt;="&amp;77232785000,Данные!$A$2:$A$722,"&lt;="&amp;77232789999)</f>
        <v>0</v>
      </c>
      <c r="M99" s="65" t="n">
        <f aca="false">COUNTIFS(Данные!$B$2:$B$722,61,Данные!$C$2:$C$722,1,Данные!$A$2:$A$722,"&gt;="&amp;77233150000,Данные!$A$2:$A$722,"&lt;="&amp;77233155999)</f>
        <v>0</v>
      </c>
      <c r="N99" s="65" t="n">
        <f aca="false">COUNTIFS(Данные!$B$2:$B$722,61,Данные!$C$2:$C$722,1,Данные!$A$2:$A$722,"&gt;="&amp;77233235000,Данные!$A$2:$A$722,"&lt;="&amp;77233235999)</f>
        <v>0</v>
      </c>
      <c r="O99" s="65" t="n">
        <f aca="false">COUNTIFS(Данные!$B$2:$B$722,61,Данные!$C$2:$C$722,1,Данные!$A$2:$A$722,"&gt;="&amp;77233239000,Данные!$A$2:$A$722,"&lt;="&amp;77233239999)</f>
        <v>0</v>
      </c>
      <c r="P99" s="65" t="n">
        <f aca="false">COUNTIFS(Данные!$B$2:$B$722,61,Данные!$C$2:$C$722,1,Данные!$A$2:$A$722,"&gt;="&amp;77233272000,Данные!$A$2:$A$722,"&lt;="&amp;77233272999)</f>
        <v>0</v>
      </c>
      <c r="Q99" s="65" t="n">
        <f aca="false">COUNTIFS(Данные!$B$2:$B$722,61,Данные!$C$2:$C$722,1,Данные!$A$2:$A$722,"&gt;="&amp;77233291100,Данные!$A$2:$A$722,"&lt;="&amp;77233292999)</f>
        <v>0</v>
      </c>
      <c r="R99" s="65" t="n">
        <f aca="false">COUNTIFS(Данные!$B$2:$B$722,61,Данные!$C$2:$C$722,1,Данные!$A$2:$A$722,"&gt;="&amp;77233297000,Данные!$A$2:$A$722,"&lt;="&amp;77233298399)</f>
        <v>0</v>
      </c>
      <c r="S99" s="65" t="n">
        <f aca="false">COUNTIFS(Данные!$B$2:$B$722,61,Данные!$C$2:$C$722,1,Данные!$A$2:$A$722,"&gt;="&amp;77235124000,Данные!$A$2:$A$722,"&lt;="&amp;77235128499)</f>
        <v>0</v>
      </c>
      <c r="T99" s="65" t="n">
        <f aca="false">COUNTIFS(Данные!$B$2:$B$722,61,Данные!$C$2:$C$722,1,Данные!$A$2:$A$722,"&gt;="&amp;77235320000,Данные!$A$2:$A$722,"&lt;="&amp;77235320999)</f>
        <v>0</v>
      </c>
      <c r="U99" s="65" t="n">
        <f aca="false">COUNTIFS(Данные!$B$2:$B$722,61,Данные!$C$2:$C$722,1,Данные!$A$2:$A$722,"&gt;="&amp;77233620000,Данные!$A$2:$A$722,"&lt;="&amp;77233623339)</f>
        <v>0</v>
      </c>
      <c r="V99" s="65" t="n">
        <f aca="false">COUNTIFS(Данные!$B$2:$B$722,61,Данные!$C$2:$C$722,1,Данные!$A$2:$A$722,"&gt;="&amp;77233630000,Данные!$A$2:$A$722,"&lt;="&amp;77233630999)</f>
        <v>0</v>
      </c>
      <c r="W99" s="65" t="n">
        <f aca="false">COUNTIFS(Данные!$B$2:$B$722,61,Данные!$C$2:$C$722,1,Данные!$A$2:$A$722,"&gt;="&amp;77233637000,Данные!$A$2:$A$722,"&lt;="&amp;77233637599)</f>
        <v>0</v>
      </c>
      <c r="X99" s="65" t="n">
        <f aca="false">COUNTIFS(Данные!$B$2:$B$722,61,Данные!$C$2:$C$722,1,Данные!$A$2:$A$722,"&gt;="&amp;77233550000,Данные!$A$2:$A$722,"&lt;="&amp;77233550999)</f>
        <v>0</v>
      </c>
      <c r="Y99" s="65" t="n">
        <f aca="false">COUNTIFS(Данные!$B$2:$B$722,61,Данные!$C$2:$C$722,1,Данные!$A$2:$A$722,"&gt;="&amp;77233554000,Данные!$A$2:$A$722,"&lt;="&amp;77233554999)</f>
        <v>0</v>
      </c>
      <c r="Z99" s="65" t="n">
        <f aca="false">COUNTIFS(Данные!$B$2:$B$722,61,Данные!$C$2:$C$722,1,Данные!$A$2:$A$722,"&gt;="&amp;77233555000,Данные!$A$2:$A$722,"&lt;="&amp;77233556999)</f>
        <v>0</v>
      </c>
      <c r="AA99" s="65" t="n">
        <f aca="false">COUNTIFS(Данные!$B$2:$B$722,61,Данные!$C$2:$C$722,1,Данные!$A$2:$A$722,"&gt;="&amp;77233726000,Данные!$A$2:$A$722,"&lt;="&amp;77233726999)</f>
        <v>0</v>
      </c>
      <c r="AB99" s="65" t="n">
        <f aca="false">COUNTIFS(Данные!$B$2:$B$722,61,Данные!$C$2:$C$722,1,Данные!$A$2:$A$722,"&gt;="&amp;77233820000,Данные!$A$2:$A$722,"&lt;="&amp;77233820999)</f>
        <v>0</v>
      </c>
      <c r="AC99" s="65" t="n">
        <f aca="false">COUNTIFS(Данные!$B$2:$B$722,61,Данные!$C$2:$C$722,1,Данные!$A$2:$A$722,"&gt;="&amp;77233850000,Данные!$A$2:$A$722,"&lt;="&amp;77233850999)</f>
        <v>0</v>
      </c>
      <c r="AD99" s="65" t="n">
        <f aca="false">COUNTIFS(Данные!$B$2:$B$722,61,Данные!$C$2:$C$722,1,Данные!$A$2:$A$722,"&gt;="&amp;77233420000,Данные!$A$2:$A$722,"&lt;="&amp;77233420999)</f>
        <v>0</v>
      </c>
      <c r="AE99" s="65" t="n">
        <f aca="false">COUNTIFS(Данные!$B$2:$B$722,61,Данные!$C$2:$C$722,1,Данные!$A$2:$A$722,"&gt;="&amp;77234740000,Данные!$A$2:$A$722,"&lt;="&amp;77234742999)</f>
        <v>0</v>
      </c>
      <c r="AF99" s="65" t="n">
        <f aca="false">COUNTIFS(Данные!$B$2:$B$722,61,Данные!$C$2:$C$722,1,Данные!$A$2:$A$722,"&gt;="&amp;77234767000,Данные!$A$2:$A$722,"&lt;="&amp;77234767999)</f>
        <v>0</v>
      </c>
      <c r="AG99" s="65" t="n">
        <f aca="false">COUNTIFS(Данные!$B$2:$B$722,61,Данные!$C$2:$C$722,1,Данные!$A$2:$A$722,"&gt;="&amp;77234120000,Данные!$A$2:$A$722,"&lt;="&amp;77234120999)</f>
        <v>0</v>
      </c>
      <c r="AH99" s="65" t="n">
        <f aca="false">COUNTIFS(Данные!$B$2:$B$722,61,Данные!$C$2:$C$722,1,Данные!$A$2:$A$722,"&gt;="&amp;77234127000,Данные!$A$2:$A$722,"&lt;="&amp;77234127999)</f>
        <v>0</v>
      </c>
      <c r="AI99" s="65" t="n">
        <f aca="false">COUNTIFS(Данные!$B$2:$B$722,61,Данные!$C$2:$C$722,1,Данные!$A$2:$A$722,"&gt;="&amp;77234220000,Данные!$A$2:$A$722,"&lt;="&amp;77234220999)</f>
        <v>0</v>
      </c>
      <c r="AJ99" s="65" t="n">
        <f aca="false">COUNTIFS(Данные!$B$2:$B$722,61,Данные!$C$2:$C$722,1,Данные!$A$2:$A$722,"&gt;="&amp;77234250000,Данные!$A$2:$A$722,"&lt;="&amp;77234250999)</f>
        <v>0</v>
      </c>
      <c r="AK99" s="65" t="n">
        <f aca="false">COUNTIFS(Данные!$B$2:$B$722,61,Данные!$C$2:$C$722,1,Данные!$A$2:$A$722,"&gt;="&amp;77233922950,Данные!$A$2:$A$722,"&lt;="&amp;77233924999)</f>
        <v>0</v>
      </c>
      <c r="AL99" s="65" t="n">
        <f aca="false">COUNTIFS(Данные!$B$2:$B$722,61,Данные!$C$2:$C$722,1,Данные!$A$2:$A$722,"&gt;="&amp;77234320000,Данные!$A$2:$A$722,"&lt;="&amp;77234320999)</f>
        <v>0</v>
      </c>
      <c r="AM99" s="65" t="n">
        <f aca="false">COUNTIFS(Данные!$B$2:$B$722,61,Данные!$C$2:$C$722,1,Данные!$A$2:$A$722,"&gt;="&amp;77234350000,Данные!$A$2:$A$722,"&lt;="&amp;77234350999)</f>
        <v>0</v>
      </c>
      <c r="AN99" s="65" t="n">
        <f aca="false">COUNTIFS(Данные!$B$2:$B$722,61,Данные!$C$2:$C$722,1,Данные!$A$2:$A$722,"&gt;="&amp;77234020000,Данные!$A$2:$A$722,"&lt;="&amp;77234020999)</f>
        <v>0</v>
      </c>
      <c r="AO99" s="65" t="n">
        <f aca="false">COUNTIFS(Данные!$B$2:$B$722,61,Данные!$C$2:$C$722,1,Данные!$A$2:$A$722,"&gt;="&amp;77234029000,Данные!$A$2:$A$722,"&lt;="&amp;77234029999)</f>
        <v>0</v>
      </c>
      <c r="AP99" s="65" t="n">
        <f aca="false">COUNTIFS(Данные!$B$2:$B$722,61,Данные!$C$2:$C$722,1,Данные!$A$2:$A$722,"&gt;="&amp;77234050000,Данные!$A$2:$A$722,"&lt;="&amp;77234050999)</f>
        <v>0</v>
      </c>
      <c r="AQ99" s="65" t="n">
        <f aca="false">COUNTIFS(Данные!$B$2:$B$722,61,Данные!$C$2:$C$722,1,Данные!$A$2:$A$722,"&gt;="&amp;77234427000,Данные!$A$2:$A$722,"&lt;="&amp;77234428999)</f>
        <v>0</v>
      </c>
      <c r="AR99" s="65" t="n">
        <f aca="false">COUNTIFS(Данные!$B$2:$B$722,61,Данные!$C$2:$C$722,1,Данные!$A$2:$A$722,"&gt;="&amp;77234450000,Данные!$A$2:$A$722,"&lt;="&amp;77234450999)</f>
        <v>0</v>
      </c>
      <c r="AS99" s="65" t="n">
        <f aca="false">COUNTIFS(Данные!$B$2:$B$722,61,Данные!$C$2:$C$722,1,Данные!$A$2:$A$722,"&gt;="&amp;77234620000,Данные!$A$2:$A$722,"&lt;="&amp;77234620999)</f>
        <v>0</v>
      </c>
      <c r="AT99" s="65" t="n">
        <f aca="false">COUNTIFS(Данные!$B$2:$B$722,61,Данные!$C$2:$C$722,1,Данные!$A$2:$A$722,"&gt;="&amp;77234650000,Данные!$A$2:$A$722,"&lt;="&amp;77234650999)</f>
        <v>0</v>
      </c>
      <c r="AU99" s="65" t="n">
        <f aca="false">COUNTIFS(Данные!$B$2:$B$722,61,Данные!$C$2:$C$722,1,Данные!$A$2:$A$722,"&gt;="&amp;77234820000,Данные!$A$2:$A$722,"&lt;="&amp;77234820999)</f>
        <v>0</v>
      </c>
      <c r="AV99" s="65" t="n">
        <f aca="false">COUNTIFS(Данные!$B$2:$B$722,61,Данные!$C$2:$C$722,1,Данные!$A$2:$A$722,"&gt;="&amp;77234850000,Данные!$A$2:$A$722,"&lt;="&amp;77234850999)</f>
        <v>0</v>
      </c>
      <c r="AW99" s="65" t="n">
        <f aca="false">COUNTIFS(Данные!$B$2:$B$722,61,Данные!$C$2:$C$722,1,Данные!$A$2:$A$722,"&gt;="&amp;77233327000,Данные!$A$2:$A$722,"&lt;="&amp;77233327999)</f>
        <v>0</v>
      </c>
      <c r="AX99" s="65" t="n">
        <f aca="false">COUNTIFS(Данные!$B$2:$B$722,61,Данные!$C$2:$C$722,1,Данные!$A$2:$A$722,"&gt;="&amp;77233350000,Данные!$A$2:$A$722,"&lt;="&amp;77233350599)</f>
        <v>0</v>
      </c>
      <c r="AY99" s="65" t="n">
        <f aca="false">COUNTIFS(Данные!$B$2:$B$722,61,Данные!$C$2:$C$722,1,Данные!$A$2:$A$722,"&gt;="&amp;77233351000,Данные!$A$2:$A$722,"&lt;="&amp;77233351999)</f>
        <v>0</v>
      </c>
      <c r="AZ99" s="66" t="n">
        <f aca="false">COUNTIFS(Данные!$B$2:$B$722,61,Данные!$C$2:$C$722,1,Данные!$A$2:$A$722,"&gt;="&amp;7722440000,Данные!$A$2:$A$722,"&lt;="&amp;7722440999)</f>
        <v>0</v>
      </c>
      <c r="BA99" s="66" t="n">
        <f aca="false">COUNTIFS(Данные!$B$2:$B$722,61,Данные!$C$2:$C$722,1,Данные!$A$2:$A$722,"&gt;="&amp;7722442000,Данные!$A$2:$A$722,"&lt;="&amp;7722445659)</f>
        <v>0</v>
      </c>
      <c r="BB99" s="66" t="n">
        <f aca="false">COUNTIFS(Данные!$B$2:$B$722,61,Данные!$C$2:$C$722,1,Данные!$A$2:$A$722,"&gt;="&amp;7722450000,Данные!$A$2:$A$722,"&lt;="&amp;7722450199)</f>
        <v>0</v>
      </c>
      <c r="BC99" s="66" t="n">
        <f aca="false">COUNTIFS(Данные!$B$2:$B$722,61,Данные!$C$2:$C$722,1,Данные!$A$2:$A$722,"&gt;="&amp;7722451000,Данные!$A$2:$A$722,"&lt;="&amp;7722451374)</f>
        <v>0</v>
      </c>
      <c r="BD99" s="66" t="n">
        <f aca="false">COUNTIFS(Данные!$B$2:$B$722,61,Данные!$C$2:$C$722,1,Данные!$A$2:$A$722,"&gt;="&amp;7722452000,Данные!$A$2:$A$722,"&lt;="&amp;7722452299)</f>
        <v>0</v>
      </c>
      <c r="BE99" s="66" t="n">
        <f aca="false">COUNTIFS(Данные!$B$2:$B$722,61,Данные!$C$2:$C$722,1,Данные!$A$2:$A$722,"&gt;="&amp;7722453000,Данные!$A$2:$A$722,"&lt;="&amp;7722453816)</f>
        <v>0</v>
      </c>
      <c r="BF99" s="66" t="n">
        <f aca="false">COUNTIFS(Данные!$B$2:$B$722,61,Данные!$C$2:$C$722,1,Данные!$A$2:$A$722,"&gt;="&amp;7722454000,Данные!$A$2:$A$722,"&lt;="&amp;7722454099)</f>
        <v>0</v>
      </c>
      <c r="BG99" s="66" t="n">
        <f aca="false">COUNTIFS(Данные!$B$2:$B$722,61,Данные!$C$2:$C$722,1,Данные!$A$2:$A$722,"&gt;="&amp;7722458000,Данные!$A$2:$A$722,"&lt;="&amp;7722458999)</f>
        <v>0</v>
      </c>
      <c r="BH99" s="66" t="n">
        <f aca="false">COUNTIFS(Данные!$B$2:$B$722,61,Данные!$C$2:$C$722,1,Данные!$A$2:$A$722,"&gt;="&amp;7722630000,Данные!$A$2:$A$722,"&lt;="&amp;7722638549)</f>
        <v>0</v>
      </c>
      <c r="BI99" s="66" t="n">
        <f aca="false">COUNTIFS(Данные!$B$2:$B$722,61,Данные!$C$2:$C$722,1,Данные!$A$2:$A$722,"&gt;="&amp;7722639400,Данные!$A$2:$A$722,"&lt;="&amp;7722639899)</f>
        <v>0</v>
      </c>
      <c r="BJ99" s="66" t="n">
        <f aca="false">COUNTIFS(Данные!$B$2:$B$722,61,Данные!$C$2:$C$722,1,Данные!$A$2:$A$722,"&gt;="&amp;7725750000,Данные!$A$2:$A$722,"&lt;="&amp;7725750399)</f>
        <v>0</v>
      </c>
      <c r="BK99" s="66" t="n">
        <f aca="false">COUNTIFS(Данные!$B$2:$B$722,61,Данные!$C$2:$C$722,1,Данные!$A$2:$A$722,"&gt;="&amp;7723620000,Данные!$A$2:$A$722,"&lt;="&amp;7723621299)</f>
        <v>0</v>
      </c>
      <c r="BL99" s="66" t="n">
        <f aca="false">COUNTIFS(Данные!$B$2:$B$722,61,Данные!$C$2:$C$722,1,Данные!$A$2:$A$722,"&gt;="&amp;7723621600,Данные!$A$2:$A$722,"&lt;="&amp;7723623399)</f>
        <v>0</v>
      </c>
      <c r="BM99" s="66" t="n">
        <f aca="false">COUNTIFS(Данные!$B$2:$B$722,61,Данные!$C$2:$C$722,1,Данные!$A$2:$A$722,"&gt;="&amp;7725127000,Данные!$A$2:$A$722,"&lt;="&amp;7725127999)</f>
        <v>0</v>
      </c>
      <c r="BN99" s="66" t="n">
        <f aca="false">COUNTIFS(Данные!$B$2:$B$722,61,Данные!$C$2:$C$722,1,Данные!$A$2:$A$722,"&gt;="&amp;7723772000,Данные!$A$2:$A$722,"&lt;="&amp;7723724999)</f>
        <v>0</v>
      </c>
      <c r="BO99" s="65" t="n">
        <f aca="false">COUNTIFS(Данные!$B$2:$B$722,61,Данные!$C$2:$C$722,1,Данные!$A$2:$A$722,"&gt;="&amp;7723765000,Данные!$A$2:$A$722,"&lt;="&amp;7723765499)</f>
        <v>0</v>
      </c>
      <c r="BP99" s="66" t="n">
        <f aca="false">COUNTIFS(Данные!$B$2:$B$722,61,Данные!$C$2:$C$722,1,Данные!$A$2:$A$722,"&gt;="&amp;7723948000,Данные!$A$2:$A$722,"&lt;="&amp;7723948999)</f>
        <v>0</v>
      </c>
      <c r="BQ99" s="66" t="n">
        <f aca="false">COUNTIFS(Данные!$B$2:$B$722,61,Данные!$C$2:$C$722,1,Данные!$A$2:$A$722,"&gt;="&amp;7723950000,Данные!$A$2:$A$722,"&lt;="&amp;7723951099)</f>
        <v>0</v>
      </c>
      <c r="BR99" s="66" t="n">
        <f aca="false">COUNTIFS(Данные!$B$2:$B$722,61,Данные!$C$2:$C$722,1,Данные!$A$2:$A$722,"&gt;="&amp;7723020000,Данные!$A$2:$A$722,"&lt;="&amp;7723020999)</f>
        <v>0</v>
      </c>
      <c r="BS99" s="66" t="n">
        <f aca="false">COUNTIFS(Данные!$B$2:$B$722,61,Данные!$C$2:$C$722,1,Данные!$A$2:$A$722,"&gt;="&amp;7723029000,Данные!$A$2:$A$722,"&lt;="&amp;7723029999)</f>
        <v>0</v>
      </c>
      <c r="BT99" s="66" t="n">
        <f aca="false">COUNTIFS(Данные!$B$2:$B$722,61,Данные!$C$2:$C$722,1,Данные!$A$2:$A$722,"&gt;="&amp;7723055000,Данные!$A$2:$A$722,"&lt;="&amp;7723056549)</f>
        <v>0</v>
      </c>
      <c r="BU99" s="65" t="n">
        <f aca="false">COUNTIFS(Данные!$B$2:$B$722,61,Данные!$C$2:$C$722,1,Данные!$A$2:$A$722,"&gt;="&amp;7725250000,Данные!$A$2:$A$722,"&lt;="&amp;7725250499)</f>
        <v>0</v>
      </c>
      <c r="BV99" s="66" t="n">
        <f aca="false">COUNTIFS(Данные!$B$2:$B$722,61,Данные!$C$2:$C$722,1,Данные!$A$2:$A$722,"&gt;="&amp;7183841400,Данные!$A$2:$A$722,"&lt;="&amp;7183841499)</f>
        <v>0</v>
      </c>
      <c r="BW99" s="49" t="n">
        <v>300</v>
      </c>
      <c r="BX99" s="67" t="n">
        <f aca="false">F99-BW99</f>
        <v>-300</v>
      </c>
    </row>
    <row r="100" s="15" customFormat="true" ht="12" hidden="false" customHeight="true" outlineLevel="0" collapsed="false">
      <c r="A100" s="47"/>
      <c r="B100" s="48"/>
      <c r="C100" s="50" t="n">
        <v>2</v>
      </c>
      <c r="D100" s="50" t="n">
        <v>612</v>
      </c>
      <c r="E100" s="51"/>
      <c r="F100" s="65" t="n">
        <f aca="false">COUNTIFS(Данные!$B$2:$B$722,61,Данные!$C$2:$C$722,2)</f>
        <v>0</v>
      </c>
      <c r="G100" s="65" t="n">
        <f aca="false">COUNTIFS(Данные!$B$2:$B$722,61,Данные!$C$2:$C$722,2,Данные!$A$2:$A$722,"&gt;="&amp;77232210840,Данные!$A$2:$A$722,"&lt;="&amp;77232216999)</f>
        <v>0</v>
      </c>
      <c r="H100" s="65" t="n">
        <f aca="false">COUNTIFS(Данные!$B$2:$B$722,61,Данные!$C$2:$C$722,2,Данные!$A$2:$A$722,"&gt;="&amp;77232510512,Данные!$A$2:$A$722,"&lt;="&amp;77232519487)</f>
        <v>0</v>
      </c>
      <c r="I100" s="65" t="n">
        <f aca="false">COUNTIFS(Данные!$B$2:$B$722,61,Данные!$C$2:$C$722,2,Данные!$A$2:$A$722,"&gt;="&amp;77232524160,Данные!$A$2:$A$722,"&lt;="&amp;77232529999)</f>
        <v>0</v>
      </c>
      <c r="J100" s="65" t="n">
        <f aca="false">COUNTIFS(Данные!$B$2:$B$722,61,Данные!$C$2:$C$722,2,Данные!$A$2:$A$722,"&gt;="&amp;77232544000,Данные!$A$2:$A$722,"&lt;="&amp;77232544999)</f>
        <v>0</v>
      </c>
      <c r="K100" s="65" t="n">
        <f aca="false">COUNTIFS(Данные!$B$2:$B$722,61,Данные!$C$2:$C$722,2,Данные!$A$2:$A$722,"&gt;="&amp;77232295504,Данные!$A$2:$A$722,"&lt;="&amp;77232296999)</f>
        <v>0</v>
      </c>
      <c r="L100" s="65" t="n">
        <f aca="false">COUNTIFS(Данные!$B$2:$B$722,61,Данные!$C$2:$C$722,2,Данные!$A$2:$A$722,"&gt;="&amp;77232785000,Данные!$A$2:$A$722,"&lt;="&amp;77232789999)</f>
        <v>0</v>
      </c>
      <c r="M100" s="65" t="n">
        <f aca="false">COUNTIFS(Данные!$B$2:$B$722,61,Данные!$C$2:$C$722,2,Данные!$A$2:$A$722,"&gt;="&amp;77233150000,Данные!$A$2:$A$722,"&lt;="&amp;77233155999)</f>
        <v>0</v>
      </c>
      <c r="N100" s="65" t="n">
        <f aca="false">COUNTIFS(Данные!$B$2:$B$722,61,Данные!$C$2:$C$722,2,Данные!$A$2:$A$722,"&gt;="&amp;77233235000,Данные!$A$2:$A$722,"&lt;="&amp;77233235999)</f>
        <v>0</v>
      </c>
      <c r="O100" s="65" t="n">
        <f aca="false">COUNTIFS(Данные!$B$2:$B$722,61,Данные!$C$2:$C$722,2,Данные!$A$2:$A$722,"&gt;="&amp;77233239000,Данные!$A$2:$A$722,"&lt;="&amp;77233239999)</f>
        <v>0</v>
      </c>
      <c r="P100" s="65" t="n">
        <f aca="false">COUNTIFS(Данные!$B$2:$B$722,61,Данные!$C$2:$C$722,2,Данные!$A$2:$A$722,"&gt;="&amp;77233272000,Данные!$A$2:$A$722,"&lt;="&amp;77233272999)</f>
        <v>0</v>
      </c>
      <c r="Q100" s="65" t="n">
        <f aca="false">COUNTIFS(Данные!$B$2:$B$722,61,Данные!$C$2:$C$722,2,Данные!$A$2:$A$722,"&gt;="&amp;77233291100,Данные!$A$2:$A$722,"&lt;="&amp;77233292999)</f>
        <v>0</v>
      </c>
      <c r="R100" s="65" t="n">
        <f aca="false">COUNTIFS(Данные!$B$2:$B$722,61,Данные!$C$2:$C$722,2,Данные!$A$2:$A$722,"&gt;="&amp;77233297000,Данные!$A$2:$A$722,"&lt;="&amp;77233298399)</f>
        <v>0</v>
      </c>
      <c r="S100" s="65" t="n">
        <f aca="false">COUNTIFS(Данные!$B$2:$B$722,61,Данные!$C$2:$C$722,2,Данные!$A$2:$A$722,"&gt;="&amp;77235124000,Данные!$A$2:$A$722,"&lt;="&amp;77235128499)</f>
        <v>0</v>
      </c>
      <c r="T100" s="65" t="n">
        <f aca="false">COUNTIFS(Данные!$B$2:$B$722,61,Данные!$C$2:$C$722,2,Данные!$A$2:$A$722,"&gt;="&amp;77235320000,Данные!$A$2:$A$722,"&lt;="&amp;77235320999)</f>
        <v>0</v>
      </c>
      <c r="U100" s="65" t="n">
        <f aca="false">COUNTIFS(Данные!$B$2:$B$722,61,Данные!$C$2:$C$722,2,Данные!$A$2:$A$722,"&gt;="&amp;77233620000,Данные!$A$2:$A$722,"&lt;="&amp;77233623339)</f>
        <v>0</v>
      </c>
      <c r="V100" s="65" t="n">
        <f aca="false">COUNTIFS(Данные!$B$2:$B$722,61,Данные!$C$2:$C$722,2,Данные!$A$2:$A$722,"&gt;="&amp;77233630000,Данные!$A$2:$A$722,"&lt;="&amp;77233630999)</f>
        <v>0</v>
      </c>
      <c r="W100" s="65" t="n">
        <f aca="false">COUNTIFS(Данные!$B$2:$B$722,61,Данные!$C$2:$C$722,2,Данные!$A$2:$A$722,"&gt;="&amp;77233637000,Данные!$A$2:$A$722,"&lt;="&amp;77233637599)</f>
        <v>0</v>
      </c>
      <c r="X100" s="65" t="n">
        <f aca="false">COUNTIFS(Данные!$B$2:$B$722,61,Данные!$C$2:$C$722,2,Данные!$A$2:$A$722,"&gt;="&amp;77233550000,Данные!$A$2:$A$722,"&lt;="&amp;77233550999)</f>
        <v>0</v>
      </c>
      <c r="Y100" s="65" t="n">
        <f aca="false">COUNTIFS(Данные!$B$2:$B$722,61,Данные!$C$2:$C$722,2,Данные!$A$2:$A$722,"&gt;="&amp;77233554000,Данные!$A$2:$A$722,"&lt;="&amp;77233554999)</f>
        <v>0</v>
      </c>
      <c r="Z100" s="65" t="n">
        <f aca="false">COUNTIFS(Данные!$B$2:$B$722,61,Данные!$C$2:$C$722,2,Данные!$A$2:$A$722,"&gt;="&amp;77233555000,Данные!$A$2:$A$722,"&lt;="&amp;77233556999)</f>
        <v>0</v>
      </c>
      <c r="AA100" s="65" t="n">
        <f aca="false">COUNTIFS(Данные!$B$2:$B$722,61,Данные!$C$2:$C$722,2,Данные!$A$2:$A$722,"&gt;="&amp;77233726000,Данные!$A$2:$A$722,"&lt;="&amp;77233726999)</f>
        <v>0</v>
      </c>
      <c r="AB100" s="65" t="n">
        <f aca="false">COUNTIFS(Данные!$B$2:$B$722,61,Данные!$C$2:$C$722,2,Данные!$A$2:$A$722,"&gt;="&amp;77233820000,Данные!$A$2:$A$722,"&lt;="&amp;77233820999)</f>
        <v>0</v>
      </c>
      <c r="AC100" s="65" t="n">
        <f aca="false">COUNTIFS(Данные!$B$2:$B$722,61,Данные!$C$2:$C$722,2,Данные!$A$2:$A$722,"&gt;="&amp;77233850000,Данные!$A$2:$A$722,"&lt;="&amp;77233850999)</f>
        <v>0</v>
      </c>
      <c r="AD100" s="65" t="n">
        <f aca="false">COUNTIFS(Данные!$B$2:$B$722,61,Данные!$C$2:$C$722,2,Данные!$A$2:$A$722,"&gt;="&amp;77233420000,Данные!$A$2:$A$722,"&lt;="&amp;77233420999)</f>
        <v>0</v>
      </c>
      <c r="AE100" s="65" t="n">
        <f aca="false">COUNTIFS(Данные!$B$2:$B$722,61,Данные!$C$2:$C$722,2,Данные!$A$2:$A$722,"&gt;="&amp;77234740000,Данные!$A$2:$A$722,"&lt;="&amp;77234742999)</f>
        <v>0</v>
      </c>
      <c r="AF100" s="65" t="n">
        <f aca="false">COUNTIFS(Данные!$B$2:$B$722,61,Данные!$C$2:$C$722,2,Данные!$A$2:$A$722,"&gt;="&amp;77234767000,Данные!$A$2:$A$722,"&lt;="&amp;77234767999)</f>
        <v>0</v>
      </c>
      <c r="AG100" s="65" t="n">
        <f aca="false">COUNTIFS(Данные!$B$2:$B$722,61,Данные!$C$2:$C$722,2,Данные!$A$2:$A$722,"&gt;="&amp;77234120000,Данные!$A$2:$A$722,"&lt;="&amp;77234120999)</f>
        <v>0</v>
      </c>
      <c r="AH100" s="65" t="n">
        <f aca="false">COUNTIFS(Данные!$B$2:$B$722,61,Данные!$C$2:$C$722,2,Данные!$A$2:$A$722,"&gt;="&amp;77234127000,Данные!$A$2:$A$722,"&lt;="&amp;77234127999)</f>
        <v>0</v>
      </c>
      <c r="AI100" s="65" t="n">
        <f aca="false">COUNTIFS(Данные!$B$2:$B$722,61,Данные!$C$2:$C$722,2,Данные!$A$2:$A$722,"&gt;="&amp;77234220000,Данные!$A$2:$A$722,"&lt;="&amp;77234220999)</f>
        <v>0</v>
      </c>
      <c r="AJ100" s="65" t="n">
        <f aca="false">COUNTIFS(Данные!$B$2:$B$722,61,Данные!$C$2:$C$722,2,Данные!$A$2:$A$722,"&gt;="&amp;77234250000,Данные!$A$2:$A$722,"&lt;="&amp;77234250999)</f>
        <v>0</v>
      </c>
      <c r="AK100" s="65" t="n">
        <f aca="false">COUNTIFS(Данные!$B$2:$B$722,61,Данные!$C$2:$C$722,2,Данные!$A$2:$A$722,"&gt;="&amp;77233922950,Данные!$A$2:$A$722,"&lt;="&amp;77233924999)</f>
        <v>0</v>
      </c>
      <c r="AL100" s="65" t="n">
        <f aca="false">COUNTIFS(Данные!$B$2:$B$722,61,Данные!$C$2:$C$722,2,Данные!$A$2:$A$722,"&gt;="&amp;77234320000,Данные!$A$2:$A$722,"&lt;="&amp;77234320999)</f>
        <v>0</v>
      </c>
      <c r="AM100" s="65" t="n">
        <f aca="false">COUNTIFS(Данные!$B$2:$B$722,61,Данные!$C$2:$C$722,2,Данные!$A$2:$A$722,"&gt;="&amp;77234350000,Данные!$A$2:$A$722,"&lt;="&amp;77234350999)</f>
        <v>0</v>
      </c>
      <c r="AN100" s="65" t="n">
        <f aca="false">COUNTIFS(Данные!$B$2:$B$722,61,Данные!$C$2:$C$722,2,Данные!$A$2:$A$722,"&gt;="&amp;77234020000,Данные!$A$2:$A$722,"&lt;="&amp;77234020999)</f>
        <v>0</v>
      </c>
      <c r="AO100" s="65" t="n">
        <f aca="false">COUNTIFS(Данные!$B$2:$B$722,61,Данные!$C$2:$C$722,2,Данные!$A$2:$A$722,"&gt;="&amp;77234029000,Данные!$A$2:$A$722,"&lt;="&amp;77234029999)</f>
        <v>0</v>
      </c>
      <c r="AP100" s="65" t="n">
        <f aca="false">COUNTIFS(Данные!$B$2:$B$722,61,Данные!$C$2:$C$722,2,Данные!$A$2:$A$722,"&gt;="&amp;77234050000,Данные!$A$2:$A$722,"&lt;="&amp;77234050999)</f>
        <v>0</v>
      </c>
      <c r="AQ100" s="65" t="n">
        <f aca="false">COUNTIFS(Данные!$B$2:$B$722,61,Данные!$C$2:$C$722,2,Данные!$A$2:$A$722,"&gt;="&amp;77234427000,Данные!$A$2:$A$722,"&lt;="&amp;77234428999)</f>
        <v>0</v>
      </c>
      <c r="AR100" s="65" t="n">
        <f aca="false">COUNTIFS(Данные!$B$2:$B$722,61,Данные!$C$2:$C$722,2,Данные!$A$2:$A$722,"&gt;="&amp;77234450000,Данные!$A$2:$A$722,"&lt;="&amp;77234450999)</f>
        <v>0</v>
      </c>
      <c r="AS100" s="65" t="n">
        <f aca="false">COUNTIFS(Данные!$B$2:$B$722,61,Данные!$C$2:$C$722,2,Данные!$A$2:$A$722,"&gt;="&amp;77234620000,Данные!$A$2:$A$722,"&lt;="&amp;77234620999)</f>
        <v>0</v>
      </c>
      <c r="AT100" s="65" t="n">
        <f aca="false">COUNTIFS(Данные!$B$2:$B$722,61,Данные!$C$2:$C$722,2,Данные!$A$2:$A$722,"&gt;="&amp;77234650000,Данные!$A$2:$A$722,"&lt;="&amp;77234650999)</f>
        <v>0</v>
      </c>
      <c r="AU100" s="65" t="n">
        <f aca="false">COUNTIFS(Данные!$B$2:$B$722,61,Данные!$C$2:$C$722,2,Данные!$A$2:$A$722,"&gt;="&amp;77234820000,Данные!$A$2:$A$722,"&lt;="&amp;77234820999)</f>
        <v>0</v>
      </c>
      <c r="AV100" s="65" t="n">
        <f aca="false">COUNTIFS(Данные!$B$2:$B$722,61,Данные!$C$2:$C$722,2,Данные!$A$2:$A$722,"&gt;="&amp;77234850000,Данные!$A$2:$A$722,"&lt;="&amp;77234850999)</f>
        <v>0</v>
      </c>
      <c r="AW100" s="65" t="n">
        <f aca="false">COUNTIFS(Данные!$B$2:$B$722,61,Данные!$C$2:$C$722,2,Данные!$A$2:$A$722,"&gt;="&amp;77233327000,Данные!$A$2:$A$722,"&lt;="&amp;77233327999)</f>
        <v>0</v>
      </c>
      <c r="AX100" s="65" t="n">
        <f aca="false">COUNTIFS(Данные!$B$2:$B$722,61,Данные!$C$2:$C$722,2,Данные!$A$2:$A$722,"&gt;="&amp;77233350000,Данные!$A$2:$A$722,"&lt;="&amp;77233350599)</f>
        <v>0</v>
      </c>
      <c r="AY100" s="65" t="n">
        <f aca="false">COUNTIFS(Данные!$B$2:$B$722,61,Данные!$C$2:$C$722,2,Данные!$A$2:$A$722,"&gt;="&amp;77233351000,Данные!$A$2:$A$722,"&lt;="&amp;77233351999)</f>
        <v>0</v>
      </c>
      <c r="AZ100" s="66" t="n">
        <f aca="false">COUNTIFS(Данные!$B$2:$B$722,61,Данные!$C$2:$C$722,2,Данные!$A$2:$A$722,"&gt;="&amp;7722440000,Данные!$A$2:$A$722,"&lt;="&amp;7722440999)</f>
        <v>0</v>
      </c>
      <c r="BA100" s="66" t="n">
        <f aca="false">COUNTIFS(Данные!$B$2:$B$722,61,Данные!$C$2:$C$722,2,Данные!$A$2:$A$722,"&gt;="&amp;7722442000,Данные!$A$2:$A$722,"&lt;="&amp;7722445659)</f>
        <v>0</v>
      </c>
      <c r="BB100" s="66" t="n">
        <f aca="false">COUNTIFS(Данные!$B$2:$B$722,61,Данные!$C$2:$C$722,2,Данные!$A$2:$A$722,"&gt;="&amp;7722450000,Данные!$A$2:$A$722,"&lt;="&amp;7722450199)</f>
        <v>0</v>
      </c>
      <c r="BC100" s="66" t="n">
        <f aca="false">COUNTIFS(Данные!$B$2:$B$722,61,Данные!$C$2:$C$722,2,Данные!$A$2:$A$722,"&gt;="&amp;7722451000,Данные!$A$2:$A$722,"&lt;="&amp;7722451374)</f>
        <v>0</v>
      </c>
      <c r="BD100" s="66" t="n">
        <f aca="false">COUNTIFS(Данные!$B$2:$B$722,61,Данные!$C$2:$C$722,2,Данные!$A$2:$A$722,"&gt;="&amp;7722452000,Данные!$A$2:$A$722,"&lt;="&amp;7722452299)</f>
        <v>0</v>
      </c>
      <c r="BE100" s="66" t="n">
        <f aca="false">COUNTIFS(Данные!$B$2:$B$722,61,Данные!$C$2:$C$722,2,Данные!$A$2:$A$722,"&gt;="&amp;7722453000,Данные!$A$2:$A$722,"&lt;="&amp;7722453816)</f>
        <v>0</v>
      </c>
      <c r="BF100" s="66" t="n">
        <f aca="false">COUNTIFS(Данные!$B$2:$B$722,61,Данные!$C$2:$C$722,2,Данные!$A$2:$A$722,"&gt;="&amp;7722454000,Данные!$A$2:$A$722,"&lt;="&amp;7722454099)</f>
        <v>0</v>
      </c>
      <c r="BG100" s="66" t="n">
        <f aca="false">COUNTIFS(Данные!$B$2:$B$722,61,Данные!$C$2:$C$722,2,Данные!$A$2:$A$722,"&gt;="&amp;7722458000,Данные!$A$2:$A$722,"&lt;="&amp;7722458999)</f>
        <v>0</v>
      </c>
      <c r="BH100" s="66" t="n">
        <f aca="false">COUNTIFS(Данные!$B$2:$B$722,61,Данные!$C$2:$C$722,2,Данные!$A$2:$A$722,"&gt;="&amp;7722630000,Данные!$A$2:$A$722,"&lt;="&amp;7722638549)</f>
        <v>0</v>
      </c>
      <c r="BI100" s="66" t="n">
        <f aca="false">COUNTIFS(Данные!$B$2:$B$722,61,Данные!$C$2:$C$722,2,Данные!$A$2:$A$722,"&gt;="&amp;7722639400,Данные!$A$2:$A$722,"&lt;="&amp;7722639899)</f>
        <v>0</v>
      </c>
      <c r="BJ100" s="66" t="n">
        <f aca="false">COUNTIFS(Данные!$B$2:$B$722,61,Данные!$C$2:$C$722,2,Данные!$A$2:$A$722,"&gt;="&amp;7725750000,Данные!$A$2:$A$722,"&lt;="&amp;7725750399)</f>
        <v>0</v>
      </c>
      <c r="BK100" s="66" t="n">
        <f aca="false">COUNTIFS(Данные!$B$2:$B$722,61,Данные!$C$2:$C$722,2,Данные!$A$2:$A$722,"&gt;="&amp;7723620000,Данные!$A$2:$A$722,"&lt;="&amp;7723621299)</f>
        <v>0</v>
      </c>
      <c r="BL100" s="66" t="n">
        <f aca="false">COUNTIFS(Данные!$B$2:$B$722,61,Данные!$C$2:$C$722,2,Данные!$A$2:$A$722,"&gt;="&amp;7723621600,Данные!$A$2:$A$722,"&lt;="&amp;7723623399)</f>
        <v>0</v>
      </c>
      <c r="BM100" s="66" t="n">
        <f aca="false">COUNTIFS(Данные!$B$2:$B$722,61,Данные!$C$2:$C$722,2,Данные!$A$2:$A$722,"&gt;="&amp;7725127000,Данные!$A$2:$A$722,"&lt;="&amp;7725127999)</f>
        <v>0</v>
      </c>
      <c r="BN100" s="66" t="n">
        <f aca="false">COUNTIFS(Данные!$B$2:$B$722,61,Данные!$C$2:$C$722,2,Данные!$A$2:$A$722,"&gt;="&amp;7723772000,Данные!$A$2:$A$722,"&lt;="&amp;7723724999)</f>
        <v>0</v>
      </c>
      <c r="BO100" s="65" t="n">
        <f aca="false">COUNTIFS(Данные!$B$2:$B$722,61,Данные!$C$2:$C$722,2,Данные!$A$2:$A$722,"&gt;="&amp;7723765000,Данные!$A$2:$A$722,"&lt;="&amp;7723765499)</f>
        <v>0</v>
      </c>
      <c r="BP100" s="66" t="n">
        <f aca="false">COUNTIFS(Данные!$B$2:$B$722,61,Данные!$C$2:$C$722,2,Данные!$A$2:$A$722,"&gt;="&amp;7723948000,Данные!$A$2:$A$722,"&lt;="&amp;7723948999)</f>
        <v>0</v>
      </c>
      <c r="BQ100" s="66" t="n">
        <f aca="false">COUNTIFS(Данные!$B$2:$B$722,61,Данные!$C$2:$C$722,2,Данные!$A$2:$A$722,"&gt;="&amp;7723950000,Данные!$A$2:$A$722,"&lt;="&amp;7723951099)</f>
        <v>0</v>
      </c>
      <c r="BR100" s="66" t="n">
        <f aca="false">COUNTIFS(Данные!$B$2:$B$722,61,Данные!$C$2:$C$722,2,Данные!$A$2:$A$722,"&gt;="&amp;7723020000,Данные!$A$2:$A$722,"&lt;="&amp;7723020999)</f>
        <v>0</v>
      </c>
      <c r="BS100" s="66" t="n">
        <f aca="false">COUNTIFS(Данные!$B$2:$B$722,61,Данные!$C$2:$C$722,2,Данные!$A$2:$A$722,"&gt;="&amp;7723029000,Данные!$A$2:$A$722,"&lt;="&amp;7723029999)</f>
        <v>0</v>
      </c>
      <c r="BT100" s="66" t="n">
        <f aca="false">COUNTIFS(Данные!$B$2:$B$722,61,Данные!$C$2:$C$722,2,Данные!$A$2:$A$722,"&gt;="&amp;7723055000,Данные!$A$2:$A$722,"&lt;="&amp;7723056549)</f>
        <v>0</v>
      </c>
      <c r="BU100" s="65" t="n">
        <f aca="false">COUNTIFS(Данные!$B$2:$B$722,61,Данные!$C$2:$C$722,2,Данные!$A$2:$A$722,"&gt;="&amp;7725250000,Данные!$A$2:$A$722,"&lt;="&amp;7725250499)</f>
        <v>0</v>
      </c>
      <c r="BV100" s="66" t="n">
        <f aca="false">COUNTIFS(Данные!$B$2:$B$722,61,Данные!$C$2:$C$722,2,Данные!$A$2:$A$722,"&gt;="&amp;7183841400,Данные!$A$2:$A$722,"&lt;="&amp;7183841499)</f>
        <v>0</v>
      </c>
      <c r="BW100" s="49" t="n">
        <v>300</v>
      </c>
      <c r="BX100" s="67" t="n">
        <f aca="false">F100-BW100</f>
        <v>-300</v>
      </c>
    </row>
    <row r="101" s="15" customFormat="true" ht="12" hidden="false" customHeight="true" outlineLevel="0" collapsed="false">
      <c r="A101" s="38" t="n">
        <v>62</v>
      </c>
      <c r="B101" s="39" t="s">
        <v>93</v>
      </c>
      <c r="C101" s="41" t="n">
        <v>0</v>
      </c>
      <c r="D101" s="41" t="n">
        <v>620</v>
      </c>
      <c r="E101" s="42" t="n">
        <f aca="false">SUM(F101:F103)</f>
        <v>0</v>
      </c>
      <c r="F101" s="62" t="n">
        <f aca="false">COUNTIFS(Данные!$B$2:$B$722,62,Данные!$C$2:$C$722,0)</f>
        <v>0</v>
      </c>
      <c r="G101" s="62" t="n">
        <f aca="false">COUNTIFS(Данные!$B$2:$B$722,62,Данные!$C$2:$C$722,0,Данные!$A$2:$A$722,"&gt;="&amp;77232210840,Данные!$A$2:$A$722,"&lt;="&amp;77232216999)</f>
        <v>0</v>
      </c>
      <c r="H101" s="62" t="n">
        <f aca="false">COUNTIFS(Данные!$B$2:$B$722,62,Данные!$C$2:$C$722,0,Данные!$A$2:$A$722,"&gt;="&amp;77232510512,Данные!$A$2:$A$722,"&lt;="&amp;77232519487)</f>
        <v>0</v>
      </c>
      <c r="I101" s="62" t="n">
        <f aca="false">COUNTIFS(Данные!$B$2:$B$722,62,Данные!$C$2:$C$722,0,Данные!$A$2:$A$722,"&gt;="&amp;77232524160,Данные!$A$2:$A$722,"&lt;="&amp;77232529999)</f>
        <v>0</v>
      </c>
      <c r="J101" s="62" t="n">
        <f aca="false">COUNTIFS(Данные!$B$2:$B$722,62,Данные!$C$2:$C$722,0,Данные!$A$2:$A$722,"&gt;="&amp;77232544000,Данные!$A$2:$A$722,"&lt;="&amp;77232544999)</f>
        <v>0</v>
      </c>
      <c r="K101" s="62" t="n">
        <f aca="false">COUNTIFS(Данные!$B$2:$B$722,62,Данные!$C$2:$C$722,0,Данные!$A$2:$A$722,"&gt;="&amp;77232295504,Данные!$A$2:$A$722,"&lt;="&amp;77232296999)</f>
        <v>0</v>
      </c>
      <c r="L101" s="62" t="n">
        <f aca="false">COUNTIFS(Данные!$B$2:$B$722,62,Данные!$C$2:$C$722,0,Данные!$A$2:$A$722,"&gt;="&amp;77232785000,Данные!$A$2:$A$722,"&lt;="&amp;77232789999)</f>
        <v>0</v>
      </c>
      <c r="M101" s="62" t="n">
        <f aca="false">COUNTIFS(Данные!$B$2:$B$722,62,Данные!$C$2:$C$722,0,Данные!$A$2:$A$722,"&gt;="&amp;77233150000,Данные!$A$2:$A$722,"&lt;="&amp;77233155999)</f>
        <v>0</v>
      </c>
      <c r="N101" s="62" t="n">
        <f aca="false">COUNTIFS(Данные!$B$2:$B$722,62,Данные!$C$2:$C$722,0,Данные!$A$2:$A$722,"&gt;="&amp;77233235000,Данные!$A$2:$A$722,"&lt;="&amp;77233235999)</f>
        <v>0</v>
      </c>
      <c r="O101" s="62" t="n">
        <f aca="false">COUNTIFS(Данные!$B$2:$B$722,62,Данные!$C$2:$C$722,0,Данные!$A$2:$A$722,"&gt;="&amp;77233239000,Данные!$A$2:$A$722,"&lt;="&amp;77233239999)</f>
        <v>0</v>
      </c>
      <c r="P101" s="62" t="n">
        <f aca="false">COUNTIFS(Данные!$B$2:$B$722,62,Данные!$C$2:$C$722,0,Данные!$A$2:$A$722,"&gt;="&amp;77233272000,Данные!$A$2:$A$722,"&lt;="&amp;77233272999)</f>
        <v>0</v>
      </c>
      <c r="Q101" s="62" t="n">
        <f aca="false">COUNTIFS(Данные!$B$2:$B$722,62,Данные!$C$2:$C$722,0,Данные!$A$2:$A$722,"&gt;="&amp;77233291100,Данные!$A$2:$A$722,"&lt;="&amp;77233292999)</f>
        <v>0</v>
      </c>
      <c r="R101" s="62" t="n">
        <f aca="false">COUNTIFS(Данные!$B$2:$B$722,62,Данные!$C$2:$C$722,0,Данные!$A$2:$A$722,"&gt;="&amp;77233297000,Данные!$A$2:$A$722,"&lt;="&amp;77233298399)</f>
        <v>0</v>
      </c>
      <c r="S101" s="62" t="n">
        <f aca="false">COUNTIFS(Данные!$B$2:$B$722,62,Данные!$C$2:$C$722,0,Данные!$A$2:$A$722,"&gt;="&amp;77235124000,Данные!$A$2:$A$722,"&lt;="&amp;77235128499)</f>
        <v>0</v>
      </c>
      <c r="T101" s="62" t="n">
        <f aca="false">COUNTIFS(Данные!$B$2:$B$722,62,Данные!$C$2:$C$722,0,Данные!$A$2:$A$722,"&gt;="&amp;77235320000,Данные!$A$2:$A$722,"&lt;="&amp;77235320999)</f>
        <v>0</v>
      </c>
      <c r="U101" s="62" t="n">
        <f aca="false">COUNTIFS(Данные!$B$2:$B$722,62,Данные!$C$2:$C$722,0,Данные!$A$2:$A$722,"&gt;="&amp;77233620000,Данные!$A$2:$A$722,"&lt;="&amp;77233623339)</f>
        <v>0</v>
      </c>
      <c r="V101" s="62" t="n">
        <f aca="false">COUNTIFS(Данные!$B$2:$B$722,62,Данные!$C$2:$C$722,0,Данные!$A$2:$A$722,"&gt;="&amp;77233630000,Данные!$A$2:$A$722,"&lt;="&amp;77233630999)</f>
        <v>0</v>
      </c>
      <c r="W101" s="62" t="n">
        <f aca="false">COUNTIFS(Данные!$B$2:$B$722,62,Данные!$C$2:$C$722,0,Данные!$A$2:$A$722,"&gt;="&amp;77233637000,Данные!$A$2:$A$722,"&lt;="&amp;77233637599)</f>
        <v>0</v>
      </c>
      <c r="X101" s="62" t="n">
        <f aca="false">COUNTIFS(Данные!$B$2:$B$722,62,Данные!$C$2:$C$722,0,Данные!$A$2:$A$722,"&gt;="&amp;77233550000,Данные!$A$2:$A$722,"&lt;="&amp;77233550999)</f>
        <v>0</v>
      </c>
      <c r="Y101" s="62" t="n">
        <f aca="false">COUNTIFS(Данные!$B$2:$B$722,62,Данные!$C$2:$C$722,0,Данные!$A$2:$A$722,"&gt;="&amp;77233554000,Данные!$A$2:$A$722,"&lt;="&amp;77233554999)</f>
        <v>0</v>
      </c>
      <c r="Z101" s="62" t="n">
        <f aca="false">COUNTIFS(Данные!$B$2:$B$722,62,Данные!$C$2:$C$722,0,Данные!$A$2:$A$722,"&gt;="&amp;77233555000,Данные!$A$2:$A$722,"&lt;="&amp;77233556999)</f>
        <v>0</v>
      </c>
      <c r="AA101" s="62" t="n">
        <f aca="false">COUNTIFS(Данные!$B$2:$B$722,62,Данные!$C$2:$C$722,0,Данные!$A$2:$A$722,"&gt;="&amp;77233726000,Данные!$A$2:$A$722,"&lt;="&amp;77233726999)</f>
        <v>0</v>
      </c>
      <c r="AB101" s="62" t="n">
        <f aca="false">COUNTIFS(Данные!$B$2:$B$722,62,Данные!$C$2:$C$722,0,Данные!$A$2:$A$722,"&gt;="&amp;77233820000,Данные!$A$2:$A$722,"&lt;="&amp;77233820999)</f>
        <v>0</v>
      </c>
      <c r="AC101" s="62" t="n">
        <f aca="false">COUNTIFS(Данные!$B$2:$B$722,62,Данные!$C$2:$C$722,0,Данные!$A$2:$A$722,"&gt;="&amp;77233850000,Данные!$A$2:$A$722,"&lt;="&amp;77233850999)</f>
        <v>0</v>
      </c>
      <c r="AD101" s="62" t="n">
        <f aca="false">COUNTIFS(Данные!$B$2:$B$722,62,Данные!$C$2:$C$722,0,Данные!$A$2:$A$722,"&gt;="&amp;77233420000,Данные!$A$2:$A$722,"&lt;="&amp;77233420999)</f>
        <v>0</v>
      </c>
      <c r="AE101" s="62" t="n">
        <f aca="false">COUNTIFS(Данные!$B$2:$B$722,62,Данные!$C$2:$C$722,0,Данные!$A$2:$A$722,"&gt;="&amp;77234740000,Данные!$A$2:$A$722,"&lt;="&amp;77234742999)</f>
        <v>0</v>
      </c>
      <c r="AF101" s="62" t="n">
        <f aca="false">COUNTIFS(Данные!$B$2:$B$722,62,Данные!$C$2:$C$722,0,Данные!$A$2:$A$722,"&gt;="&amp;77234767000,Данные!$A$2:$A$722,"&lt;="&amp;77234767999)</f>
        <v>0</v>
      </c>
      <c r="AG101" s="62" t="n">
        <f aca="false">COUNTIFS(Данные!$B$2:$B$722,62,Данные!$C$2:$C$722,0,Данные!$A$2:$A$722,"&gt;="&amp;77234120000,Данные!$A$2:$A$722,"&lt;="&amp;77234120999)</f>
        <v>0</v>
      </c>
      <c r="AH101" s="62" t="n">
        <f aca="false">COUNTIFS(Данные!$B$2:$B$722,62,Данные!$C$2:$C$722,0,Данные!$A$2:$A$722,"&gt;="&amp;77234127000,Данные!$A$2:$A$722,"&lt;="&amp;77234127999)</f>
        <v>0</v>
      </c>
      <c r="AI101" s="62" t="n">
        <f aca="false">COUNTIFS(Данные!$B$2:$B$722,62,Данные!$C$2:$C$722,0,Данные!$A$2:$A$722,"&gt;="&amp;77234220000,Данные!$A$2:$A$722,"&lt;="&amp;77234220999)</f>
        <v>0</v>
      </c>
      <c r="AJ101" s="62" t="n">
        <f aca="false">COUNTIFS(Данные!$B$2:$B$722,62,Данные!$C$2:$C$722,0,Данные!$A$2:$A$722,"&gt;="&amp;77234250000,Данные!$A$2:$A$722,"&lt;="&amp;77234250999)</f>
        <v>0</v>
      </c>
      <c r="AK101" s="62" t="n">
        <f aca="false">COUNTIFS(Данные!$B$2:$B$722,62,Данные!$C$2:$C$722,0,Данные!$A$2:$A$722,"&gt;="&amp;77233922950,Данные!$A$2:$A$722,"&lt;="&amp;77233924999)</f>
        <v>0</v>
      </c>
      <c r="AL101" s="62" t="n">
        <f aca="false">COUNTIFS(Данные!$B$2:$B$722,62,Данные!$C$2:$C$722,0,Данные!$A$2:$A$722,"&gt;="&amp;77234320000,Данные!$A$2:$A$722,"&lt;="&amp;77234320999)</f>
        <v>0</v>
      </c>
      <c r="AM101" s="62" t="n">
        <f aca="false">COUNTIFS(Данные!$B$2:$B$722,62,Данные!$C$2:$C$722,0,Данные!$A$2:$A$722,"&gt;="&amp;77234350000,Данные!$A$2:$A$722,"&lt;="&amp;77234350999)</f>
        <v>0</v>
      </c>
      <c r="AN101" s="62" t="n">
        <f aca="false">COUNTIFS(Данные!$B$2:$B$722,62,Данные!$C$2:$C$722,0,Данные!$A$2:$A$722,"&gt;="&amp;77234020000,Данные!$A$2:$A$722,"&lt;="&amp;77234020999)</f>
        <v>0</v>
      </c>
      <c r="AO101" s="62" t="n">
        <f aca="false">COUNTIFS(Данные!$B$2:$B$722,62,Данные!$C$2:$C$722,0,Данные!$A$2:$A$722,"&gt;="&amp;77234029000,Данные!$A$2:$A$722,"&lt;="&amp;77234029999)</f>
        <v>0</v>
      </c>
      <c r="AP101" s="62" t="n">
        <f aca="false">COUNTIFS(Данные!$B$2:$B$722,62,Данные!$C$2:$C$722,0,Данные!$A$2:$A$722,"&gt;="&amp;77234050000,Данные!$A$2:$A$722,"&lt;="&amp;77234050999)</f>
        <v>0</v>
      </c>
      <c r="AQ101" s="62" t="n">
        <f aca="false">COUNTIFS(Данные!$B$2:$B$722,62,Данные!$C$2:$C$722,0,Данные!$A$2:$A$722,"&gt;="&amp;77234427000,Данные!$A$2:$A$722,"&lt;="&amp;77234428999)</f>
        <v>0</v>
      </c>
      <c r="AR101" s="62" t="n">
        <f aca="false">COUNTIFS(Данные!$B$2:$B$722,62,Данные!$C$2:$C$722,0,Данные!$A$2:$A$722,"&gt;="&amp;77234450000,Данные!$A$2:$A$722,"&lt;="&amp;77234450999)</f>
        <v>0</v>
      </c>
      <c r="AS101" s="62" t="n">
        <f aca="false">COUNTIFS(Данные!$B$2:$B$722,62,Данные!$C$2:$C$722,0,Данные!$A$2:$A$722,"&gt;="&amp;77234620000,Данные!$A$2:$A$722,"&lt;="&amp;77234620999)</f>
        <v>0</v>
      </c>
      <c r="AT101" s="62" t="n">
        <f aca="false">COUNTIFS(Данные!$B$2:$B$722,62,Данные!$C$2:$C$722,0,Данные!$A$2:$A$722,"&gt;="&amp;77234650000,Данные!$A$2:$A$722,"&lt;="&amp;77234650999)</f>
        <v>0</v>
      </c>
      <c r="AU101" s="62" t="n">
        <f aca="false">COUNTIFS(Данные!$B$2:$B$722,62,Данные!$C$2:$C$722,0,Данные!$A$2:$A$722,"&gt;="&amp;77234820000,Данные!$A$2:$A$722,"&lt;="&amp;77234820999)</f>
        <v>0</v>
      </c>
      <c r="AV101" s="62" t="n">
        <f aca="false">COUNTIFS(Данные!$B$2:$B$722,62,Данные!$C$2:$C$722,0,Данные!$A$2:$A$722,"&gt;="&amp;77234850000,Данные!$A$2:$A$722,"&lt;="&amp;77234850999)</f>
        <v>0</v>
      </c>
      <c r="AW101" s="62" t="n">
        <f aca="false">COUNTIFS(Данные!$B$2:$B$722,62,Данные!$C$2:$C$722,0,Данные!$A$2:$A$722,"&gt;="&amp;77233327000,Данные!$A$2:$A$722,"&lt;="&amp;77233327999)</f>
        <v>0</v>
      </c>
      <c r="AX101" s="62" t="n">
        <f aca="false">COUNTIFS(Данные!$B$2:$B$722,62,Данные!$C$2:$C$722,0,Данные!$A$2:$A$722,"&gt;="&amp;77233350000,Данные!$A$2:$A$722,"&lt;="&amp;77233350599)</f>
        <v>0</v>
      </c>
      <c r="AY101" s="62" t="n">
        <f aca="false">COUNTIFS(Данные!$B$2:$B$722,62,Данные!$C$2:$C$722,0,Данные!$A$2:$A$722,"&gt;="&amp;77233351000,Данные!$A$2:$A$722,"&lt;="&amp;77233351999)</f>
        <v>0</v>
      </c>
      <c r="AZ101" s="62" t="n">
        <f aca="false">COUNTIFS(Данные!$B$2:$B$722,62,Данные!$C$2:$C$722,0,Данные!$A$2:$A$722,"&gt;="&amp;7722440000,Данные!$A$2:$A$722,"&lt;="&amp;7722440999)</f>
        <v>0</v>
      </c>
      <c r="BA101" s="63" t="n">
        <f aca="false">COUNTIFS(Данные!$B$2:$B$722,62,Данные!$C$2:$C$722,0,Данные!$A$2:$A$722,"&gt;="&amp;7722442000,Данные!$A$2:$A$722,"&lt;="&amp;7722445659)</f>
        <v>0</v>
      </c>
      <c r="BB101" s="63" t="n">
        <f aca="false">COUNTIFS(Данные!$B$2:$B$722,62,Данные!$C$2:$C$722,0,Данные!$A$2:$A$722,"&gt;="&amp;7722450000,Данные!$A$2:$A$722,"&lt;="&amp;7722450199)</f>
        <v>0</v>
      </c>
      <c r="BC101" s="63" t="n">
        <f aca="false">COUNTIFS(Данные!$B$2:$B$722,62,Данные!$C$2:$C$722,0,Данные!$A$2:$A$722,"&gt;="&amp;7722451000,Данные!$A$2:$A$722,"&lt;="&amp;7722451374)</f>
        <v>0</v>
      </c>
      <c r="BD101" s="63" t="n">
        <f aca="false">COUNTIFS(Данные!$B$2:$B$722,62,Данные!$C$2:$C$722,0,Данные!$A$2:$A$722,"&gt;="&amp;7722452000,Данные!$A$2:$A$722,"&lt;="&amp;7722452299)</f>
        <v>0</v>
      </c>
      <c r="BE101" s="63" t="n">
        <f aca="false">COUNTIFS(Данные!$B$2:$B$722,62,Данные!$C$2:$C$722,0,Данные!$A$2:$A$722,"&gt;="&amp;7722453000,Данные!$A$2:$A$722,"&lt;="&amp;7722453816)</f>
        <v>0</v>
      </c>
      <c r="BF101" s="63" t="n">
        <f aca="false">COUNTIFS(Данные!$B$2:$B$722,62,Данные!$C$2:$C$722,0,Данные!$A$2:$A$722,"&gt;="&amp;7722454000,Данные!$A$2:$A$722,"&lt;="&amp;7722454099)</f>
        <v>0</v>
      </c>
      <c r="BG101" s="63" t="n">
        <f aca="false">COUNTIFS(Данные!$B$2:$B$722,62,Данные!$C$2:$C$722,0,Данные!$A$2:$A$722,"&gt;="&amp;7722458000,Данные!$A$2:$A$722,"&lt;="&amp;7722458999)</f>
        <v>0</v>
      </c>
      <c r="BH101" s="63" t="n">
        <f aca="false">COUNTIFS(Данные!$B$2:$B$722,62,Данные!$C$2:$C$722,0,Данные!$A$2:$A$722,"&gt;="&amp;7722630000,Данные!$A$2:$A$722,"&lt;="&amp;7722638549)</f>
        <v>0</v>
      </c>
      <c r="BI101" s="63" t="n">
        <f aca="false">COUNTIFS(Данные!$B$2:$B$722,62,Данные!$C$2:$C$722,0,Данные!$A$2:$A$722,"&gt;="&amp;7722639400,Данные!$A$2:$A$722,"&lt;="&amp;7722639899)</f>
        <v>0</v>
      </c>
      <c r="BJ101" s="63" t="n">
        <f aca="false">COUNTIFS(Данные!$B$2:$B$722,62,Данные!$C$2:$C$722,0,Данные!$A$2:$A$722,"&gt;="&amp;7725750000,Данные!$A$2:$A$722,"&lt;="&amp;7725750399)</f>
        <v>0</v>
      </c>
      <c r="BK101" s="63" t="n">
        <f aca="false">COUNTIFS(Данные!$B$2:$B$722,62,Данные!$C$2:$C$722,0,Данные!$A$2:$A$722,"&gt;="&amp;7723620000,Данные!$A$2:$A$722,"&lt;="&amp;7723621299)</f>
        <v>0</v>
      </c>
      <c r="BL101" s="63" t="n">
        <f aca="false">COUNTIFS(Данные!$B$2:$B$722,62,Данные!$C$2:$C$722,0,Данные!$A$2:$A$722,"&gt;="&amp;7723621600,Данные!$A$2:$A$722,"&lt;="&amp;7723623399)</f>
        <v>0</v>
      </c>
      <c r="BM101" s="63" t="n">
        <f aca="false">COUNTIFS(Данные!$B$2:$B$722,62,Данные!$C$2:$C$722,0,Данные!$A$2:$A$722,"&gt;="&amp;7725127000,Данные!$A$2:$A$722,"&lt;="&amp;7725127999)</f>
        <v>0</v>
      </c>
      <c r="BN101" s="63" t="n">
        <f aca="false">COUNTIFS(Данные!$B$2:$B$722,62,Данные!$C$2:$C$722,0,Данные!$A$2:$A$722,"&gt;="&amp;7723772000,Данные!$A$2:$A$722,"&lt;="&amp;7723724999)</f>
        <v>0</v>
      </c>
      <c r="BO101" s="62" t="n">
        <f aca="false">COUNTIFS(Данные!$B$2:$B$722,62,Данные!$C$2:$C$722,0,Данные!$A$2:$A$722,"&gt;="&amp;7723765000,Данные!$A$2:$A$722,"&lt;="&amp;7723765499)</f>
        <v>0</v>
      </c>
      <c r="BP101" s="63" t="n">
        <f aca="false">COUNTIFS(Данные!$B$2:$B$722,62,Данные!$C$2:$C$722,0,Данные!$A$2:$A$722,"&gt;="&amp;7723948000,Данные!$A$2:$A$722,"&lt;="&amp;7723948999)</f>
        <v>0</v>
      </c>
      <c r="BQ101" s="63" t="n">
        <f aca="false">COUNTIFS(Данные!$B$2:$B$722,62,Данные!$C$2:$C$722,0,Данные!$A$2:$A$722,"&gt;="&amp;7723950000,Данные!$A$2:$A$722,"&lt;="&amp;7723951099)</f>
        <v>0</v>
      </c>
      <c r="BR101" s="63" t="n">
        <f aca="false">COUNTIFS(Данные!$B$2:$B$722,62,Данные!$C$2:$C$722,0,Данные!$A$2:$A$722,"&gt;="&amp;7723020000,Данные!$A$2:$A$722,"&lt;="&amp;7723020999)</f>
        <v>0</v>
      </c>
      <c r="BS101" s="63" t="n">
        <f aca="false">COUNTIFS(Данные!$B$2:$B$722,62,Данные!$C$2:$C$722,0,Данные!$A$2:$A$722,"&gt;="&amp;7723029000,Данные!$A$2:$A$722,"&lt;="&amp;7723029999)</f>
        <v>0</v>
      </c>
      <c r="BT101" s="63" t="n">
        <f aca="false">COUNTIFS(Данные!$B$2:$B$722,62,Данные!$C$2:$C$722,0,Данные!$A$2:$A$722,"&gt;="&amp;7723055000,Данные!$A$2:$A$722,"&lt;="&amp;7723056549)</f>
        <v>0</v>
      </c>
      <c r="BU101" s="62" t="n">
        <f aca="false">COUNTIFS(Данные!$B$2:$B$722,62,Данные!$C$2:$C$722,0,Данные!$A$2:$A$722,"&gt;="&amp;7725250000,Данные!$A$2:$A$722,"&lt;="&amp;7725250499)</f>
        <v>0</v>
      </c>
      <c r="BV101" s="63" t="n">
        <f aca="false">COUNTIFS(Данные!$B$2:$B$722,62,Данные!$C$2:$C$722,0,Данные!$A$2:$A$722,"&gt;="&amp;7183841400,Данные!$A$2:$A$722,"&lt;="&amp;7183841499)</f>
        <v>0</v>
      </c>
      <c r="BW101" s="40" t="n">
        <v>300</v>
      </c>
      <c r="BX101" s="64" t="n">
        <f aca="false">F101-BW101</f>
        <v>-300</v>
      </c>
    </row>
    <row r="102" s="15" customFormat="true" ht="12" hidden="false" customHeight="true" outlineLevel="0" collapsed="false">
      <c r="A102" s="38"/>
      <c r="B102" s="39"/>
      <c r="C102" s="41" t="n">
        <v>1</v>
      </c>
      <c r="D102" s="41" t="n">
        <v>621</v>
      </c>
      <c r="E102" s="42"/>
      <c r="F102" s="62" t="n">
        <f aca="false">COUNTIFS(Данные!$B$2:$B$722,62,Данные!$C$2:$C$722,1)</f>
        <v>0</v>
      </c>
      <c r="G102" s="62" t="n">
        <f aca="false">COUNTIFS(Данные!$B$2:$B$722,62,Данные!$C$2:$C$722,1,Данные!$A$2:$A$722,"&gt;="&amp;77232210840,Данные!$A$2:$A$722,"&lt;="&amp;77232216999)</f>
        <v>0</v>
      </c>
      <c r="H102" s="62" t="n">
        <f aca="false">COUNTIFS(Данные!$B$2:$B$722,62,Данные!$C$2:$C$722,1,Данные!$A$2:$A$722,"&gt;="&amp;77232510512,Данные!$A$2:$A$722,"&lt;="&amp;77232519487)</f>
        <v>0</v>
      </c>
      <c r="I102" s="62" t="n">
        <f aca="false">COUNTIFS(Данные!$B$2:$B$722,62,Данные!$C$2:$C$722,1,Данные!$A$2:$A$722,"&gt;="&amp;77232524160,Данные!$A$2:$A$722,"&lt;="&amp;77232529999)</f>
        <v>0</v>
      </c>
      <c r="J102" s="62" t="n">
        <f aca="false">COUNTIFS(Данные!$B$2:$B$722,62,Данные!$C$2:$C$722,1,Данные!$A$2:$A$722,"&gt;="&amp;77232544000,Данные!$A$2:$A$722,"&lt;="&amp;77232544999)</f>
        <v>0</v>
      </c>
      <c r="K102" s="62" t="n">
        <f aca="false">COUNTIFS(Данные!$B$2:$B$722,62,Данные!$C$2:$C$722,1,Данные!$A$2:$A$722,"&gt;="&amp;77232295504,Данные!$A$2:$A$722,"&lt;="&amp;77232296999)</f>
        <v>0</v>
      </c>
      <c r="L102" s="62" t="n">
        <f aca="false">COUNTIFS(Данные!$B$2:$B$722,62,Данные!$C$2:$C$722,1,Данные!$A$2:$A$722,"&gt;="&amp;77232785000,Данные!$A$2:$A$722,"&lt;="&amp;77232789999)</f>
        <v>0</v>
      </c>
      <c r="M102" s="62" t="n">
        <f aca="false">COUNTIFS(Данные!$B$2:$B$722,62,Данные!$C$2:$C$722,1,Данные!$A$2:$A$722,"&gt;="&amp;77233150000,Данные!$A$2:$A$722,"&lt;="&amp;77233155999)</f>
        <v>0</v>
      </c>
      <c r="N102" s="62" t="n">
        <f aca="false">COUNTIFS(Данные!$B$2:$B$722,62,Данные!$C$2:$C$722,1,Данные!$A$2:$A$722,"&gt;="&amp;77233235000,Данные!$A$2:$A$722,"&lt;="&amp;77233235999)</f>
        <v>0</v>
      </c>
      <c r="O102" s="62" t="n">
        <f aca="false">COUNTIFS(Данные!$B$2:$B$722,62,Данные!$C$2:$C$722,1,Данные!$A$2:$A$722,"&gt;="&amp;77233239000,Данные!$A$2:$A$722,"&lt;="&amp;77233239999)</f>
        <v>0</v>
      </c>
      <c r="P102" s="62" t="n">
        <f aca="false">COUNTIFS(Данные!$B$2:$B$722,62,Данные!$C$2:$C$722,1,Данные!$A$2:$A$722,"&gt;="&amp;77233272000,Данные!$A$2:$A$722,"&lt;="&amp;77233272999)</f>
        <v>0</v>
      </c>
      <c r="Q102" s="62" t="n">
        <f aca="false">COUNTIFS(Данные!$B$2:$B$722,62,Данные!$C$2:$C$722,1,Данные!$A$2:$A$722,"&gt;="&amp;77233291100,Данные!$A$2:$A$722,"&lt;="&amp;77233292999)</f>
        <v>0</v>
      </c>
      <c r="R102" s="62" t="n">
        <f aca="false">COUNTIFS(Данные!$B$2:$B$722,62,Данные!$C$2:$C$722,1,Данные!$A$2:$A$722,"&gt;="&amp;77233297000,Данные!$A$2:$A$722,"&lt;="&amp;77233298399)</f>
        <v>0</v>
      </c>
      <c r="S102" s="62" t="n">
        <f aca="false">COUNTIFS(Данные!$B$2:$B$722,62,Данные!$C$2:$C$722,1,Данные!$A$2:$A$722,"&gt;="&amp;77235124000,Данные!$A$2:$A$722,"&lt;="&amp;77235128499)</f>
        <v>0</v>
      </c>
      <c r="T102" s="62" t="n">
        <f aca="false">COUNTIFS(Данные!$B$2:$B$722,62,Данные!$C$2:$C$722,1,Данные!$A$2:$A$722,"&gt;="&amp;77235320000,Данные!$A$2:$A$722,"&lt;="&amp;77235320999)</f>
        <v>0</v>
      </c>
      <c r="U102" s="62" t="n">
        <f aca="false">COUNTIFS(Данные!$B$2:$B$722,62,Данные!$C$2:$C$722,1,Данные!$A$2:$A$722,"&gt;="&amp;77233620000,Данные!$A$2:$A$722,"&lt;="&amp;77233623339)</f>
        <v>0</v>
      </c>
      <c r="V102" s="62" t="n">
        <f aca="false">COUNTIFS(Данные!$B$2:$B$722,62,Данные!$C$2:$C$722,1,Данные!$A$2:$A$722,"&gt;="&amp;77233630000,Данные!$A$2:$A$722,"&lt;="&amp;77233630999)</f>
        <v>0</v>
      </c>
      <c r="W102" s="62" t="n">
        <f aca="false">COUNTIFS(Данные!$B$2:$B$722,62,Данные!$C$2:$C$722,1,Данные!$A$2:$A$722,"&gt;="&amp;77233637000,Данные!$A$2:$A$722,"&lt;="&amp;77233637599)</f>
        <v>0</v>
      </c>
      <c r="X102" s="62" t="n">
        <f aca="false">COUNTIFS(Данные!$B$2:$B$722,62,Данные!$C$2:$C$722,1,Данные!$A$2:$A$722,"&gt;="&amp;77233550000,Данные!$A$2:$A$722,"&lt;="&amp;77233550999)</f>
        <v>0</v>
      </c>
      <c r="Y102" s="62" t="n">
        <f aca="false">COUNTIFS(Данные!$B$2:$B$722,62,Данные!$C$2:$C$722,1,Данные!$A$2:$A$722,"&gt;="&amp;77233554000,Данные!$A$2:$A$722,"&lt;="&amp;77233554999)</f>
        <v>0</v>
      </c>
      <c r="Z102" s="62" t="n">
        <f aca="false">COUNTIFS(Данные!$B$2:$B$722,62,Данные!$C$2:$C$722,1,Данные!$A$2:$A$722,"&gt;="&amp;77233555000,Данные!$A$2:$A$722,"&lt;="&amp;77233556999)</f>
        <v>0</v>
      </c>
      <c r="AA102" s="62" t="n">
        <f aca="false">COUNTIFS(Данные!$B$2:$B$722,62,Данные!$C$2:$C$722,1,Данные!$A$2:$A$722,"&gt;="&amp;77233726000,Данные!$A$2:$A$722,"&lt;="&amp;77233726999)</f>
        <v>0</v>
      </c>
      <c r="AB102" s="62" t="n">
        <f aca="false">COUNTIFS(Данные!$B$2:$B$722,62,Данные!$C$2:$C$722,1,Данные!$A$2:$A$722,"&gt;="&amp;77233820000,Данные!$A$2:$A$722,"&lt;="&amp;77233820999)</f>
        <v>0</v>
      </c>
      <c r="AC102" s="62" t="n">
        <f aca="false">COUNTIFS(Данные!$B$2:$B$722,62,Данные!$C$2:$C$722,1,Данные!$A$2:$A$722,"&gt;="&amp;77233850000,Данные!$A$2:$A$722,"&lt;="&amp;77233850999)</f>
        <v>0</v>
      </c>
      <c r="AD102" s="62" t="n">
        <f aca="false">COUNTIFS(Данные!$B$2:$B$722,62,Данные!$C$2:$C$722,1,Данные!$A$2:$A$722,"&gt;="&amp;77233420000,Данные!$A$2:$A$722,"&lt;="&amp;77233420999)</f>
        <v>0</v>
      </c>
      <c r="AE102" s="62" t="n">
        <f aca="false">COUNTIFS(Данные!$B$2:$B$722,62,Данные!$C$2:$C$722,1,Данные!$A$2:$A$722,"&gt;="&amp;77234740000,Данные!$A$2:$A$722,"&lt;="&amp;77234742999)</f>
        <v>0</v>
      </c>
      <c r="AF102" s="62" t="n">
        <f aca="false">COUNTIFS(Данные!$B$2:$B$722,62,Данные!$C$2:$C$722,1,Данные!$A$2:$A$722,"&gt;="&amp;77234767000,Данные!$A$2:$A$722,"&lt;="&amp;77234767999)</f>
        <v>0</v>
      </c>
      <c r="AG102" s="62" t="n">
        <f aca="false">COUNTIFS(Данные!$B$2:$B$722,62,Данные!$C$2:$C$722,1,Данные!$A$2:$A$722,"&gt;="&amp;77234120000,Данные!$A$2:$A$722,"&lt;="&amp;77234120999)</f>
        <v>0</v>
      </c>
      <c r="AH102" s="62" t="n">
        <f aca="false">COUNTIFS(Данные!$B$2:$B$722,62,Данные!$C$2:$C$722,1,Данные!$A$2:$A$722,"&gt;="&amp;77234127000,Данные!$A$2:$A$722,"&lt;="&amp;77234127999)</f>
        <v>0</v>
      </c>
      <c r="AI102" s="62" t="n">
        <f aca="false">COUNTIFS(Данные!$B$2:$B$722,62,Данные!$C$2:$C$722,1,Данные!$A$2:$A$722,"&gt;="&amp;77234220000,Данные!$A$2:$A$722,"&lt;="&amp;77234220999)</f>
        <v>0</v>
      </c>
      <c r="AJ102" s="62" t="n">
        <f aca="false">COUNTIFS(Данные!$B$2:$B$722,62,Данные!$C$2:$C$722,1,Данные!$A$2:$A$722,"&gt;="&amp;77234250000,Данные!$A$2:$A$722,"&lt;="&amp;77234250999)</f>
        <v>0</v>
      </c>
      <c r="AK102" s="62" t="n">
        <f aca="false">COUNTIFS(Данные!$B$2:$B$722,62,Данные!$C$2:$C$722,1,Данные!$A$2:$A$722,"&gt;="&amp;77233922950,Данные!$A$2:$A$722,"&lt;="&amp;77233924999)</f>
        <v>0</v>
      </c>
      <c r="AL102" s="62" t="n">
        <f aca="false">COUNTIFS(Данные!$B$2:$B$722,62,Данные!$C$2:$C$722,1,Данные!$A$2:$A$722,"&gt;="&amp;77234320000,Данные!$A$2:$A$722,"&lt;="&amp;77234320999)</f>
        <v>0</v>
      </c>
      <c r="AM102" s="62" t="n">
        <f aca="false">COUNTIFS(Данные!$B$2:$B$722,62,Данные!$C$2:$C$722,1,Данные!$A$2:$A$722,"&gt;="&amp;77234350000,Данные!$A$2:$A$722,"&lt;="&amp;77234350999)</f>
        <v>0</v>
      </c>
      <c r="AN102" s="62" t="n">
        <f aca="false">COUNTIFS(Данные!$B$2:$B$722,62,Данные!$C$2:$C$722,1,Данные!$A$2:$A$722,"&gt;="&amp;77234020000,Данные!$A$2:$A$722,"&lt;="&amp;77234020999)</f>
        <v>0</v>
      </c>
      <c r="AO102" s="62" t="n">
        <f aca="false">COUNTIFS(Данные!$B$2:$B$722,62,Данные!$C$2:$C$722,1,Данные!$A$2:$A$722,"&gt;="&amp;77234029000,Данные!$A$2:$A$722,"&lt;="&amp;77234029999)</f>
        <v>0</v>
      </c>
      <c r="AP102" s="62" t="n">
        <f aca="false">COUNTIFS(Данные!$B$2:$B$722,62,Данные!$C$2:$C$722,1,Данные!$A$2:$A$722,"&gt;="&amp;77234050000,Данные!$A$2:$A$722,"&lt;="&amp;77234050999)</f>
        <v>0</v>
      </c>
      <c r="AQ102" s="62" t="n">
        <f aca="false">COUNTIFS(Данные!$B$2:$B$722,62,Данные!$C$2:$C$722,1,Данные!$A$2:$A$722,"&gt;="&amp;77234427000,Данные!$A$2:$A$722,"&lt;="&amp;77234428999)</f>
        <v>0</v>
      </c>
      <c r="AR102" s="62" t="n">
        <f aca="false">COUNTIFS(Данные!$B$2:$B$722,62,Данные!$C$2:$C$722,1,Данные!$A$2:$A$722,"&gt;="&amp;77234450000,Данные!$A$2:$A$722,"&lt;="&amp;77234450999)</f>
        <v>0</v>
      </c>
      <c r="AS102" s="62" t="n">
        <f aca="false">COUNTIFS(Данные!$B$2:$B$722,62,Данные!$C$2:$C$722,1,Данные!$A$2:$A$722,"&gt;="&amp;77234620000,Данные!$A$2:$A$722,"&lt;="&amp;77234620999)</f>
        <v>0</v>
      </c>
      <c r="AT102" s="62" t="n">
        <f aca="false">COUNTIFS(Данные!$B$2:$B$722,62,Данные!$C$2:$C$722,1,Данные!$A$2:$A$722,"&gt;="&amp;77234650000,Данные!$A$2:$A$722,"&lt;="&amp;77234650999)</f>
        <v>0</v>
      </c>
      <c r="AU102" s="62" t="n">
        <f aca="false">COUNTIFS(Данные!$B$2:$B$722,62,Данные!$C$2:$C$722,1,Данные!$A$2:$A$722,"&gt;="&amp;77234820000,Данные!$A$2:$A$722,"&lt;="&amp;77234820999)</f>
        <v>0</v>
      </c>
      <c r="AV102" s="62" t="n">
        <f aca="false">COUNTIFS(Данные!$B$2:$B$722,62,Данные!$C$2:$C$722,1,Данные!$A$2:$A$722,"&gt;="&amp;77234850000,Данные!$A$2:$A$722,"&lt;="&amp;77234850999)</f>
        <v>0</v>
      </c>
      <c r="AW102" s="62" t="n">
        <f aca="false">COUNTIFS(Данные!$B$2:$B$722,62,Данные!$C$2:$C$722,1,Данные!$A$2:$A$722,"&gt;="&amp;77233327000,Данные!$A$2:$A$722,"&lt;="&amp;77233327999)</f>
        <v>0</v>
      </c>
      <c r="AX102" s="62" t="n">
        <f aca="false">COUNTIFS(Данные!$B$2:$B$722,62,Данные!$C$2:$C$722,1,Данные!$A$2:$A$722,"&gt;="&amp;77233350000,Данные!$A$2:$A$722,"&lt;="&amp;77233350599)</f>
        <v>0</v>
      </c>
      <c r="AY102" s="62" t="n">
        <f aca="false">COUNTIFS(Данные!$B$2:$B$722,62,Данные!$C$2:$C$722,1,Данные!$A$2:$A$722,"&gt;="&amp;77233351000,Данные!$A$2:$A$722,"&lt;="&amp;77233351999)</f>
        <v>0</v>
      </c>
      <c r="AZ102" s="63" t="n">
        <f aca="false">COUNTIFS(Данные!$B$2:$B$722,62,Данные!$C$2:$C$722,1,Данные!$A$2:$A$722,"&gt;="&amp;7722440000,Данные!$A$2:$A$722,"&lt;="&amp;7722440999)</f>
        <v>0</v>
      </c>
      <c r="BA102" s="63" t="n">
        <f aca="false">COUNTIFS(Данные!$B$2:$B$722,62,Данные!$C$2:$C$722,1,Данные!$A$2:$A$722,"&gt;="&amp;7722442000,Данные!$A$2:$A$722,"&lt;="&amp;7722445659)</f>
        <v>0</v>
      </c>
      <c r="BB102" s="63" t="n">
        <f aca="false">COUNTIFS(Данные!$B$2:$B$722,62,Данные!$C$2:$C$722,1,Данные!$A$2:$A$722,"&gt;="&amp;7722450000,Данные!$A$2:$A$722,"&lt;="&amp;7722450199)</f>
        <v>0</v>
      </c>
      <c r="BC102" s="63" t="n">
        <f aca="false">COUNTIFS(Данные!$B$2:$B$722,62,Данные!$C$2:$C$722,1,Данные!$A$2:$A$722,"&gt;="&amp;7722451000,Данные!$A$2:$A$722,"&lt;="&amp;7722451374)</f>
        <v>0</v>
      </c>
      <c r="BD102" s="63" t="n">
        <f aca="false">COUNTIFS(Данные!$B$2:$B$722,62,Данные!$C$2:$C$722,1,Данные!$A$2:$A$722,"&gt;="&amp;7722452000,Данные!$A$2:$A$722,"&lt;="&amp;7722452299)</f>
        <v>0</v>
      </c>
      <c r="BE102" s="63" t="n">
        <f aca="false">COUNTIFS(Данные!$B$2:$B$722,62,Данные!$C$2:$C$722,1,Данные!$A$2:$A$722,"&gt;="&amp;7722453000,Данные!$A$2:$A$722,"&lt;="&amp;7722453816)</f>
        <v>0</v>
      </c>
      <c r="BF102" s="63" t="n">
        <f aca="false">COUNTIFS(Данные!$B$2:$B$722,62,Данные!$C$2:$C$722,1,Данные!$A$2:$A$722,"&gt;="&amp;7722454000,Данные!$A$2:$A$722,"&lt;="&amp;7722454099)</f>
        <v>0</v>
      </c>
      <c r="BG102" s="63" t="n">
        <f aca="false">COUNTIFS(Данные!$B$2:$B$722,62,Данные!$C$2:$C$722,1,Данные!$A$2:$A$722,"&gt;="&amp;7722458000,Данные!$A$2:$A$722,"&lt;="&amp;7722458999)</f>
        <v>0</v>
      </c>
      <c r="BH102" s="63" t="n">
        <f aca="false">COUNTIFS(Данные!$B$2:$B$722,62,Данные!$C$2:$C$722,1,Данные!$A$2:$A$722,"&gt;="&amp;7722630000,Данные!$A$2:$A$722,"&lt;="&amp;7722638549)</f>
        <v>0</v>
      </c>
      <c r="BI102" s="63" t="n">
        <f aca="false">COUNTIFS(Данные!$B$2:$B$722,62,Данные!$C$2:$C$722,1,Данные!$A$2:$A$722,"&gt;="&amp;7722639400,Данные!$A$2:$A$722,"&lt;="&amp;7722639899)</f>
        <v>0</v>
      </c>
      <c r="BJ102" s="63" t="n">
        <f aca="false">COUNTIFS(Данные!$B$2:$B$722,62,Данные!$C$2:$C$722,1,Данные!$A$2:$A$722,"&gt;="&amp;7725750000,Данные!$A$2:$A$722,"&lt;="&amp;7725750399)</f>
        <v>0</v>
      </c>
      <c r="BK102" s="63" t="n">
        <f aca="false">COUNTIFS(Данные!$B$2:$B$722,62,Данные!$C$2:$C$722,1,Данные!$A$2:$A$722,"&gt;="&amp;7723620000,Данные!$A$2:$A$722,"&lt;="&amp;7723621299)</f>
        <v>0</v>
      </c>
      <c r="BL102" s="63" t="n">
        <f aca="false">COUNTIFS(Данные!$B$2:$B$722,62,Данные!$C$2:$C$722,1,Данные!$A$2:$A$722,"&gt;="&amp;7723621600,Данные!$A$2:$A$722,"&lt;="&amp;7723623399)</f>
        <v>0</v>
      </c>
      <c r="BM102" s="63" t="n">
        <f aca="false">COUNTIFS(Данные!$B$2:$B$722,62,Данные!$C$2:$C$722,1,Данные!$A$2:$A$722,"&gt;="&amp;7725127000,Данные!$A$2:$A$722,"&lt;="&amp;7725127999)</f>
        <v>0</v>
      </c>
      <c r="BN102" s="63" t="n">
        <f aca="false">COUNTIFS(Данные!$B$2:$B$722,62,Данные!$C$2:$C$722,1,Данные!$A$2:$A$722,"&gt;="&amp;7723772000,Данные!$A$2:$A$722,"&lt;="&amp;7723724999)</f>
        <v>0</v>
      </c>
      <c r="BO102" s="62" t="n">
        <f aca="false">COUNTIFS(Данные!$B$2:$B$722,62,Данные!$C$2:$C$722,1,Данные!$A$2:$A$722,"&gt;="&amp;7723765000,Данные!$A$2:$A$722,"&lt;="&amp;7723765499)</f>
        <v>0</v>
      </c>
      <c r="BP102" s="63" t="n">
        <f aca="false">COUNTIFS(Данные!$B$2:$B$722,62,Данные!$C$2:$C$722,1,Данные!$A$2:$A$722,"&gt;="&amp;7723948000,Данные!$A$2:$A$722,"&lt;="&amp;7723948999)</f>
        <v>0</v>
      </c>
      <c r="BQ102" s="63" t="n">
        <f aca="false">COUNTIFS(Данные!$B$2:$B$722,62,Данные!$C$2:$C$722,1,Данные!$A$2:$A$722,"&gt;="&amp;7723950000,Данные!$A$2:$A$722,"&lt;="&amp;7723951099)</f>
        <v>0</v>
      </c>
      <c r="BR102" s="63" t="n">
        <f aca="false">COUNTIFS(Данные!$B$2:$B$722,62,Данные!$C$2:$C$722,1,Данные!$A$2:$A$722,"&gt;="&amp;7723020000,Данные!$A$2:$A$722,"&lt;="&amp;7723020999)</f>
        <v>0</v>
      </c>
      <c r="BS102" s="63" t="n">
        <f aca="false">COUNTIFS(Данные!$B$2:$B$722,62,Данные!$C$2:$C$722,1,Данные!$A$2:$A$722,"&gt;="&amp;7723029000,Данные!$A$2:$A$722,"&lt;="&amp;7723029999)</f>
        <v>0</v>
      </c>
      <c r="BT102" s="63" t="n">
        <f aca="false">COUNTIFS(Данные!$B$2:$B$722,62,Данные!$C$2:$C$722,1,Данные!$A$2:$A$722,"&gt;="&amp;7723055000,Данные!$A$2:$A$722,"&lt;="&amp;7723056549)</f>
        <v>0</v>
      </c>
      <c r="BU102" s="62" t="n">
        <f aca="false">COUNTIFS(Данные!$B$2:$B$722,62,Данные!$C$2:$C$722,1,Данные!$A$2:$A$722,"&gt;="&amp;7725250000,Данные!$A$2:$A$722,"&lt;="&amp;7725250499)</f>
        <v>0</v>
      </c>
      <c r="BV102" s="63" t="n">
        <f aca="false">COUNTIFS(Данные!$B$2:$B$722,62,Данные!$C$2:$C$722,1,Данные!$A$2:$A$722,"&gt;="&amp;7183841400,Данные!$A$2:$A$722,"&lt;="&amp;7183841499)</f>
        <v>0</v>
      </c>
      <c r="BW102" s="40" t="n">
        <v>300</v>
      </c>
      <c r="BX102" s="64" t="n">
        <f aca="false">F102-BW102</f>
        <v>-300</v>
      </c>
    </row>
    <row r="103" s="15" customFormat="true" ht="12" hidden="false" customHeight="true" outlineLevel="0" collapsed="false">
      <c r="A103" s="38"/>
      <c r="B103" s="39"/>
      <c r="C103" s="41" t="n">
        <v>2</v>
      </c>
      <c r="D103" s="41" t="n">
        <v>622</v>
      </c>
      <c r="E103" s="42"/>
      <c r="F103" s="62" t="n">
        <f aca="false">COUNTIFS(Данные!$B$2:$B$722,62,Данные!$C$2:$C$722,2)</f>
        <v>0</v>
      </c>
      <c r="G103" s="62" t="n">
        <f aca="false">COUNTIFS(Данные!$B$2:$B$722,62,Данные!$C$2:$C$722,2,Данные!$A$2:$A$722,"&gt;="&amp;77232210840,Данные!$A$2:$A$722,"&lt;="&amp;77232216999)</f>
        <v>0</v>
      </c>
      <c r="H103" s="62" t="n">
        <f aca="false">COUNTIFS(Данные!$B$2:$B$722,62,Данные!$C$2:$C$722,2,Данные!$A$2:$A$722,"&gt;="&amp;77232510512,Данные!$A$2:$A$722,"&lt;="&amp;77232519487)</f>
        <v>0</v>
      </c>
      <c r="I103" s="62" t="n">
        <f aca="false">COUNTIFS(Данные!$B$2:$B$722,62,Данные!$C$2:$C$722,2,Данные!$A$2:$A$722,"&gt;="&amp;77232524160,Данные!$A$2:$A$722,"&lt;="&amp;77232529999)</f>
        <v>0</v>
      </c>
      <c r="J103" s="62" t="n">
        <f aca="false">COUNTIFS(Данные!$B$2:$B$722,62,Данные!$C$2:$C$722,2,Данные!$A$2:$A$722,"&gt;="&amp;77232544000,Данные!$A$2:$A$722,"&lt;="&amp;77232544999)</f>
        <v>0</v>
      </c>
      <c r="K103" s="62" t="n">
        <f aca="false">COUNTIFS(Данные!$B$2:$B$722,62,Данные!$C$2:$C$722,2,Данные!$A$2:$A$722,"&gt;="&amp;77232295504,Данные!$A$2:$A$722,"&lt;="&amp;77232296999)</f>
        <v>0</v>
      </c>
      <c r="L103" s="62" t="n">
        <f aca="false">COUNTIFS(Данные!$B$2:$B$722,62,Данные!$C$2:$C$722,2,Данные!$A$2:$A$722,"&gt;="&amp;77232785000,Данные!$A$2:$A$722,"&lt;="&amp;77232789999)</f>
        <v>0</v>
      </c>
      <c r="M103" s="62" t="n">
        <f aca="false">COUNTIFS(Данные!$B$2:$B$722,62,Данные!$C$2:$C$722,2,Данные!$A$2:$A$722,"&gt;="&amp;77233150000,Данные!$A$2:$A$722,"&lt;="&amp;77233155999)</f>
        <v>0</v>
      </c>
      <c r="N103" s="62" t="n">
        <f aca="false">COUNTIFS(Данные!$B$2:$B$722,62,Данные!$C$2:$C$722,2,Данные!$A$2:$A$722,"&gt;="&amp;77233235000,Данные!$A$2:$A$722,"&lt;="&amp;77233235999)</f>
        <v>0</v>
      </c>
      <c r="O103" s="62" t="n">
        <f aca="false">COUNTIFS(Данные!$B$2:$B$722,62,Данные!$C$2:$C$722,2,Данные!$A$2:$A$722,"&gt;="&amp;77233239000,Данные!$A$2:$A$722,"&lt;="&amp;77233239999)</f>
        <v>0</v>
      </c>
      <c r="P103" s="62" t="n">
        <f aca="false">COUNTIFS(Данные!$B$2:$B$722,62,Данные!$C$2:$C$722,2,Данные!$A$2:$A$722,"&gt;="&amp;77233272000,Данные!$A$2:$A$722,"&lt;="&amp;77233272999)</f>
        <v>0</v>
      </c>
      <c r="Q103" s="62" t="n">
        <f aca="false">COUNTIFS(Данные!$B$2:$B$722,62,Данные!$C$2:$C$722,2,Данные!$A$2:$A$722,"&gt;="&amp;77233291100,Данные!$A$2:$A$722,"&lt;="&amp;77233292999)</f>
        <v>0</v>
      </c>
      <c r="R103" s="62" t="n">
        <f aca="false">COUNTIFS(Данные!$B$2:$B$722,62,Данные!$C$2:$C$722,2,Данные!$A$2:$A$722,"&gt;="&amp;77233297000,Данные!$A$2:$A$722,"&lt;="&amp;77233298399)</f>
        <v>0</v>
      </c>
      <c r="S103" s="62" t="n">
        <f aca="false">COUNTIFS(Данные!$B$2:$B$722,62,Данные!$C$2:$C$722,2,Данные!$A$2:$A$722,"&gt;="&amp;77235124000,Данные!$A$2:$A$722,"&lt;="&amp;77235128499)</f>
        <v>0</v>
      </c>
      <c r="T103" s="62" t="n">
        <f aca="false">COUNTIFS(Данные!$B$2:$B$722,62,Данные!$C$2:$C$722,2,Данные!$A$2:$A$722,"&gt;="&amp;77235320000,Данные!$A$2:$A$722,"&lt;="&amp;77235320999)</f>
        <v>0</v>
      </c>
      <c r="U103" s="62" t="n">
        <f aca="false">COUNTIFS(Данные!$B$2:$B$722,62,Данные!$C$2:$C$722,2,Данные!$A$2:$A$722,"&gt;="&amp;77233620000,Данные!$A$2:$A$722,"&lt;="&amp;77233623339)</f>
        <v>0</v>
      </c>
      <c r="V103" s="62" t="n">
        <f aca="false">COUNTIFS(Данные!$B$2:$B$722,62,Данные!$C$2:$C$722,2,Данные!$A$2:$A$722,"&gt;="&amp;77233630000,Данные!$A$2:$A$722,"&lt;="&amp;77233630999)</f>
        <v>0</v>
      </c>
      <c r="W103" s="62" t="n">
        <f aca="false">COUNTIFS(Данные!$B$2:$B$722,62,Данные!$C$2:$C$722,2,Данные!$A$2:$A$722,"&gt;="&amp;77233637000,Данные!$A$2:$A$722,"&lt;="&amp;77233637599)</f>
        <v>0</v>
      </c>
      <c r="X103" s="62" t="n">
        <f aca="false">COUNTIFS(Данные!$B$2:$B$722,62,Данные!$C$2:$C$722,2,Данные!$A$2:$A$722,"&gt;="&amp;77233550000,Данные!$A$2:$A$722,"&lt;="&amp;77233550999)</f>
        <v>0</v>
      </c>
      <c r="Y103" s="62" t="n">
        <f aca="false">COUNTIFS(Данные!$B$2:$B$722,62,Данные!$C$2:$C$722,2,Данные!$A$2:$A$722,"&gt;="&amp;77233554000,Данные!$A$2:$A$722,"&lt;="&amp;77233554999)</f>
        <v>0</v>
      </c>
      <c r="Z103" s="62" t="n">
        <f aca="false">COUNTIFS(Данные!$B$2:$B$722,62,Данные!$C$2:$C$722,2,Данные!$A$2:$A$722,"&gt;="&amp;77233555000,Данные!$A$2:$A$722,"&lt;="&amp;77233556999)</f>
        <v>0</v>
      </c>
      <c r="AA103" s="62" t="n">
        <f aca="false">COUNTIFS(Данные!$B$2:$B$722,62,Данные!$C$2:$C$722,2,Данные!$A$2:$A$722,"&gt;="&amp;77233726000,Данные!$A$2:$A$722,"&lt;="&amp;77233726999)</f>
        <v>0</v>
      </c>
      <c r="AB103" s="62" t="n">
        <f aca="false">COUNTIFS(Данные!$B$2:$B$722,62,Данные!$C$2:$C$722,2,Данные!$A$2:$A$722,"&gt;="&amp;77233820000,Данные!$A$2:$A$722,"&lt;="&amp;77233820999)</f>
        <v>0</v>
      </c>
      <c r="AC103" s="62" t="n">
        <f aca="false">COUNTIFS(Данные!$B$2:$B$722,62,Данные!$C$2:$C$722,2,Данные!$A$2:$A$722,"&gt;="&amp;77233850000,Данные!$A$2:$A$722,"&lt;="&amp;77233850999)</f>
        <v>0</v>
      </c>
      <c r="AD103" s="62" t="n">
        <f aca="false">COUNTIFS(Данные!$B$2:$B$722,62,Данные!$C$2:$C$722,2,Данные!$A$2:$A$722,"&gt;="&amp;77233420000,Данные!$A$2:$A$722,"&lt;="&amp;77233420999)</f>
        <v>0</v>
      </c>
      <c r="AE103" s="62" t="n">
        <f aca="false">COUNTIFS(Данные!$B$2:$B$722,62,Данные!$C$2:$C$722,2,Данные!$A$2:$A$722,"&gt;="&amp;77234740000,Данные!$A$2:$A$722,"&lt;="&amp;77234742999)</f>
        <v>0</v>
      </c>
      <c r="AF103" s="62" t="n">
        <f aca="false">COUNTIFS(Данные!$B$2:$B$722,62,Данные!$C$2:$C$722,2,Данные!$A$2:$A$722,"&gt;="&amp;77234767000,Данные!$A$2:$A$722,"&lt;="&amp;77234767999)</f>
        <v>0</v>
      </c>
      <c r="AG103" s="62" t="n">
        <f aca="false">COUNTIFS(Данные!$B$2:$B$722,62,Данные!$C$2:$C$722,2,Данные!$A$2:$A$722,"&gt;="&amp;77234120000,Данные!$A$2:$A$722,"&lt;="&amp;77234120999)</f>
        <v>0</v>
      </c>
      <c r="AH103" s="62" t="n">
        <f aca="false">COUNTIFS(Данные!$B$2:$B$722,62,Данные!$C$2:$C$722,2,Данные!$A$2:$A$722,"&gt;="&amp;77234127000,Данные!$A$2:$A$722,"&lt;="&amp;77234127999)</f>
        <v>0</v>
      </c>
      <c r="AI103" s="62" t="n">
        <f aca="false">COUNTIFS(Данные!$B$2:$B$722,62,Данные!$C$2:$C$722,2,Данные!$A$2:$A$722,"&gt;="&amp;77234220000,Данные!$A$2:$A$722,"&lt;="&amp;77234220999)</f>
        <v>0</v>
      </c>
      <c r="AJ103" s="62" t="n">
        <f aca="false">COUNTIFS(Данные!$B$2:$B$722,62,Данные!$C$2:$C$722,2,Данные!$A$2:$A$722,"&gt;="&amp;77234250000,Данные!$A$2:$A$722,"&lt;="&amp;77234250999)</f>
        <v>0</v>
      </c>
      <c r="AK103" s="62" t="n">
        <f aca="false">COUNTIFS(Данные!$B$2:$B$722,62,Данные!$C$2:$C$722,2,Данные!$A$2:$A$722,"&gt;="&amp;77233922950,Данные!$A$2:$A$722,"&lt;="&amp;77233924999)</f>
        <v>0</v>
      </c>
      <c r="AL103" s="62" t="n">
        <f aca="false">COUNTIFS(Данные!$B$2:$B$722,62,Данные!$C$2:$C$722,2,Данные!$A$2:$A$722,"&gt;="&amp;77234320000,Данные!$A$2:$A$722,"&lt;="&amp;77234320999)</f>
        <v>0</v>
      </c>
      <c r="AM103" s="62" t="n">
        <f aca="false">COUNTIFS(Данные!$B$2:$B$722,62,Данные!$C$2:$C$722,2,Данные!$A$2:$A$722,"&gt;="&amp;77234350000,Данные!$A$2:$A$722,"&lt;="&amp;77234350999)</f>
        <v>0</v>
      </c>
      <c r="AN103" s="62" t="n">
        <f aca="false">COUNTIFS(Данные!$B$2:$B$722,62,Данные!$C$2:$C$722,2,Данные!$A$2:$A$722,"&gt;="&amp;77234020000,Данные!$A$2:$A$722,"&lt;="&amp;77234020999)</f>
        <v>0</v>
      </c>
      <c r="AO103" s="62" t="n">
        <f aca="false">COUNTIFS(Данные!$B$2:$B$722,62,Данные!$C$2:$C$722,2,Данные!$A$2:$A$722,"&gt;="&amp;77234029000,Данные!$A$2:$A$722,"&lt;="&amp;77234029999)</f>
        <v>0</v>
      </c>
      <c r="AP103" s="62" t="n">
        <f aca="false">COUNTIFS(Данные!$B$2:$B$722,62,Данные!$C$2:$C$722,2,Данные!$A$2:$A$722,"&gt;="&amp;77234050000,Данные!$A$2:$A$722,"&lt;="&amp;77234050999)</f>
        <v>0</v>
      </c>
      <c r="AQ103" s="62" t="n">
        <f aca="false">COUNTIFS(Данные!$B$2:$B$722,62,Данные!$C$2:$C$722,2,Данные!$A$2:$A$722,"&gt;="&amp;77234427000,Данные!$A$2:$A$722,"&lt;="&amp;77234428999)</f>
        <v>0</v>
      </c>
      <c r="AR103" s="62" t="n">
        <f aca="false">COUNTIFS(Данные!$B$2:$B$722,62,Данные!$C$2:$C$722,2,Данные!$A$2:$A$722,"&gt;="&amp;77234450000,Данные!$A$2:$A$722,"&lt;="&amp;77234450999)</f>
        <v>0</v>
      </c>
      <c r="AS103" s="62" t="n">
        <f aca="false">COUNTIFS(Данные!$B$2:$B$722,62,Данные!$C$2:$C$722,2,Данные!$A$2:$A$722,"&gt;="&amp;77234620000,Данные!$A$2:$A$722,"&lt;="&amp;77234620999)</f>
        <v>0</v>
      </c>
      <c r="AT103" s="62" t="n">
        <f aca="false">COUNTIFS(Данные!$B$2:$B$722,62,Данные!$C$2:$C$722,2,Данные!$A$2:$A$722,"&gt;="&amp;77234650000,Данные!$A$2:$A$722,"&lt;="&amp;77234650999)</f>
        <v>0</v>
      </c>
      <c r="AU103" s="62" t="n">
        <f aca="false">COUNTIFS(Данные!$B$2:$B$722,62,Данные!$C$2:$C$722,2,Данные!$A$2:$A$722,"&gt;="&amp;77234820000,Данные!$A$2:$A$722,"&lt;="&amp;77234820999)</f>
        <v>0</v>
      </c>
      <c r="AV103" s="62" t="n">
        <f aca="false">COUNTIFS(Данные!$B$2:$B$722,62,Данные!$C$2:$C$722,2,Данные!$A$2:$A$722,"&gt;="&amp;77234850000,Данные!$A$2:$A$722,"&lt;="&amp;77234850999)</f>
        <v>0</v>
      </c>
      <c r="AW103" s="62" t="n">
        <f aca="false">COUNTIFS(Данные!$B$2:$B$722,62,Данные!$C$2:$C$722,2,Данные!$A$2:$A$722,"&gt;="&amp;77233327000,Данные!$A$2:$A$722,"&lt;="&amp;77233327999)</f>
        <v>0</v>
      </c>
      <c r="AX103" s="62" t="n">
        <f aca="false">COUNTIFS(Данные!$B$2:$B$722,62,Данные!$C$2:$C$722,2,Данные!$A$2:$A$722,"&gt;="&amp;77233350000,Данные!$A$2:$A$722,"&lt;="&amp;77233350599)</f>
        <v>0</v>
      </c>
      <c r="AY103" s="62" t="n">
        <f aca="false">COUNTIFS(Данные!$B$2:$B$722,62,Данные!$C$2:$C$722,2,Данные!$A$2:$A$722,"&gt;="&amp;77233351000,Данные!$A$2:$A$722,"&lt;="&amp;77233351999)</f>
        <v>0</v>
      </c>
      <c r="AZ103" s="63" t="n">
        <f aca="false">COUNTIFS(Данные!$B$2:$B$722,62,Данные!$C$2:$C$722,2,Данные!$A$2:$A$722,"&gt;="&amp;7722440000,Данные!$A$2:$A$722,"&lt;="&amp;7722440999)</f>
        <v>0</v>
      </c>
      <c r="BA103" s="63" t="n">
        <f aca="false">COUNTIFS(Данные!$B$2:$B$722,62,Данные!$C$2:$C$722,2,Данные!$A$2:$A$722,"&gt;="&amp;7722442000,Данные!$A$2:$A$722,"&lt;="&amp;7722445659)</f>
        <v>0</v>
      </c>
      <c r="BB103" s="63" t="n">
        <f aca="false">COUNTIFS(Данные!$B$2:$B$722,62,Данные!$C$2:$C$722,2,Данные!$A$2:$A$722,"&gt;="&amp;7722450000,Данные!$A$2:$A$722,"&lt;="&amp;7722450199)</f>
        <v>0</v>
      </c>
      <c r="BC103" s="63" t="n">
        <f aca="false">COUNTIFS(Данные!$B$2:$B$722,62,Данные!$C$2:$C$722,2,Данные!$A$2:$A$722,"&gt;="&amp;7722451000,Данные!$A$2:$A$722,"&lt;="&amp;7722451374)</f>
        <v>0</v>
      </c>
      <c r="BD103" s="63" t="n">
        <f aca="false">COUNTIFS(Данные!$B$2:$B$722,62,Данные!$C$2:$C$722,2,Данные!$A$2:$A$722,"&gt;="&amp;7722452000,Данные!$A$2:$A$722,"&lt;="&amp;7722452299)</f>
        <v>0</v>
      </c>
      <c r="BE103" s="63" t="n">
        <f aca="false">COUNTIFS(Данные!$B$2:$B$722,62,Данные!$C$2:$C$722,2,Данные!$A$2:$A$722,"&gt;="&amp;7722453000,Данные!$A$2:$A$722,"&lt;="&amp;7722453816)</f>
        <v>0</v>
      </c>
      <c r="BF103" s="63" t="n">
        <f aca="false">COUNTIFS(Данные!$B$2:$B$722,62,Данные!$C$2:$C$722,2,Данные!$A$2:$A$722,"&gt;="&amp;7722454000,Данные!$A$2:$A$722,"&lt;="&amp;7722454099)</f>
        <v>0</v>
      </c>
      <c r="BG103" s="63" t="n">
        <f aca="false">COUNTIFS(Данные!$B$2:$B$722,62,Данные!$C$2:$C$722,2,Данные!$A$2:$A$722,"&gt;="&amp;7722458000,Данные!$A$2:$A$722,"&lt;="&amp;7722458999)</f>
        <v>0</v>
      </c>
      <c r="BH103" s="63" t="n">
        <f aca="false">COUNTIFS(Данные!$B$2:$B$722,62,Данные!$C$2:$C$722,2,Данные!$A$2:$A$722,"&gt;="&amp;7722630000,Данные!$A$2:$A$722,"&lt;="&amp;7722638549)</f>
        <v>0</v>
      </c>
      <c r="BI103" s="63" t="n">
        <f aca="false">COUNTIFS(Данные!$B$2:$B$722,62,Данные!$C$2:$C$722,2,Данные!$A$2:$A$722,"&gt;="&amp;7722639400,Данные!$A$2:$A$722,"&lt;="&amp;7722639899)</f>
        <v>0</v>
      </c>
      <c r="BJ103" s="63" t="n">
        <f aca="false">COUNTIFS(Данные!$B$2:$B$722,62,Данные!$C$2:$C$722,2,Данные!$A$2:$A$722,"&gt;="&amp;7725750000,Данные!$A$2:$A$722,"&lt;="&amp;7725750399)</f>
        <v>0</v>
      </c>
      <c r="BK103" s="63" t="n">
        <f aca="false">COUNTIFS(Данные!$B$2:$B$722,62,Данные!$C$2:$C$722,2,Данные!$A$2:$A$722,"&gt;="&amp;7723620000,Данные!$A$2:$A$722,"&lt;="&amp;7723621299)</f>
        <v>0</v>
      </c>
      <c r="BL103" s="63" t="n">
        <f aca="false">COUNTIFS(Данные!$B$2:$B$722,62,Данные!$C$2:$C$722,2,Данные!$A$2:$A$722,"&gt;="&amp;7723621600,Данные!$A$2:$A$722,"&lt;="&amp;7723623399)</f>
        <v>0</v>
      </c>
      <c r="BM103" s="63" t="n">
        <f aca="false">COUNTIFS(Данные!$B$2:$B$722,62,Данные!$C$2:$C$722,2,Данные!$A$2:$A$722,"&gt;="&amp;7725127000,Данные!$A$2:$A$722,"&lt;="&amp;7725127999)</f>
        <v>0</v>
      </c>
      <c r="BN103" s="63" t="n">
        <f aca="false">COUNTIFS(Данные!$B$2:$B$722,62,Данные!$C$2:$C$722,2,Данные!$A$2:$A$722,"&gt;="&amp;7723772000,Данные!$A$2:$A$722,"&lt;="&amp;7723724999)</f>
        <v>0</v>
      </c>
      <c r="BO103" s="62" t="n">
        <f aca="false">COUNTIFS(Данные!$B$2:$B$722,62,Данные!$C$2:$C$722,2,Данные!$A$2:$A$722,"&gt;="&amp;7723765000,Данные!$A$2:$A$722,"&lt;="&amp;7723765499)</f>
        <v>0</v>
      </c>
      <c r="BP103" s="63" t="n">
        <f aca="false">COUNTIFS(Данные!$B$2:$B$722,62,Данные!$C$2:$C$722,2,Данные!$A$2:$A$722,"&gt;="&amp;7723948000,Данные!$A$2:$A$722,"&lt;="&amp;7723948999)</f>
        <v>0</v>
      </c>
      <c r="BQ103" s="63" t="n">
        <f aca="false">COUNTIFS(Данные!$B$2:$B$722,62,Данные!$C$2:$C$722,2,Данные!$A$2:$A$722,"&gt;="&amp;7723950000,Данные!$A$2:$A$722,"&lt;="&amp;7723951099)</f>
        <v>0</v>
      </c>
      <c r="BR103" s="63" t="n">
        <f aca="false">COUNTIFS(Данные!$B$2:$B$722,62,Данные!$C$2:$C$722,2,Данные!$A$2:$A$722,"&gt;="&amp;7723020000,Данные!$A$2:$A$722,"&lt;="&amp;7723020999)</f>
        <v>0</v>
      </c>
      <c r="BS103" s="63" t="n">
        <f aca="false">COUNTIFS(Данные!$B$2:$B$722,62,Данные!$C$2:$C$722,2,Данные!$A$2:$A$722,"&gt;="&amp;7723029000,Данные!$A$2:$A$722,"&lt;="&amp;7723029999)</f>
        <v>0</v>
      </c>
      <c r="BT103" s="63" t="n">
        <f aca="false">COUNTIFS(Данные!$B$2:$B$722,62,Данные!$C$2:$C$722,2,Данные!$A$2:$A$722,"&gt;="&amp;7723055000,Данные!$A$2:$A$722,"&lt;="&amp;7723056549)</f>
        <v>0</v>
      </c>
      <c r="BU103" s="62" t="n">
        <f aca="false">COUNTIFS(Данные!$B$2:$B$722,62,Данные!$C$2:$C$722,2,Данные!$A$2:$A$722,"&gt;="&amp;7725250000,Данные!$A$2:$A$722,"&lt;="&amp;7725250499)</f>
        <v>0</v>
      </c>
      <c r="BV103" s="63" t="n">
        <f aca="false">COUNTIFS(Данные!$B$2:$B$722,62,Данные!$C$2:$C$722,2,Данные!$A$2:$A$722,"&gt;="&amp;7183841400,Данные!$A$2:$A$722,"&lt;="&amp;7183841499)</f>
        <v>0</v>
      </c>
      <c r="BW103" s="40" t="n">
        <v>300</v>
      </c>
      <c r="BX103" s="64" t="n">
        <f aca="false">F103-BW103</f>
        <v>-300</v>
      </c>
    </row>
    <row r="104" s="15" customFormat="true" ht="12" hidden="false" customHeight="true" outlineLevel="0" collapsed="false">
      <c r="A104" s="47" t="n">
        <v>63</v>
      </c>
      <c r="B104" s="48" t="s">
        <v>94</v>
      </c>
      <c r="C104" s="50" t="n">
        <v>0</v>
      </c>
      <c r="D104" s="50" t="n">
        <v>630</v>
      </c>
      <c r="E104" s="51" t="n">
        <f aca="false">SUM(F104:F106)</f>
        <v>3</v>
      </c>
      <c r="F104" s="65" t="n">
        <f aca="false">COUNTIFS(Данные!$B$2:$B$722,63,Данные!$C$2:$C$722,0)</f>
        <v>0</v>
      </c>
      <c r="G104" s="65" t="n">
        <f aca="false">COUNTIFS(Данные!$B$2:$B$722,63,Данные!$C$2:$C$722,0,Данные!$A$2:$A$722,"&gt;="&amp;77232210840,Данные!$A$2:$A$722,"&lt;="&amp;77232216999)</f>
        <v>0</v>
      </c>
      <c r="H104" s="65" t="n">
        <f aca="false">COUNTIFS(Данные!$B$2:$B$722,63,Данные!$C$2:$C$722,0,Данные!$A$2:$A$722,"&gt;="&amp;77232510512,Данные!$A$2:$A$722,"&lt;="&amp;77232519487)</f>
        <v>0</v>
      </c>
      <c r="I104" s="65" t="n">
        <f aca="false">COUNTIFS(Данные!$B$2:$B$722,63,Данные!$C$2:$C$722,0,Данные!$A$2:$A$722,"&gt;="&amp;77232524160,Данные!$A$2:$A$722,"&lt;="&amp;77232529999)</f>
        <v>0</v>
      </c>
      <c r="J104" s="65" t="n">
        <f aca="false">COUNTIFS(Данные!$B$2:$B$722,63,Данные!$C$2:$C$722,0,Данные!$A$2:$A$722,"&gt;="&amp;77232544000,Данные!$A$2:$A$722,"&lt;="&amp;77232544999)</f>
        <v>0</v>
      </c>
      <c r="K104" s="65" t="n">
        <f aca="false">COUNTIFS(Данные!$B$2:$B$722,63,Данные!$C$2:$C$722,0,Данные!$A$2:$A$722,"&gt;="&amp;77232295504,Данные!$A$2:$A$722,"&lt;="&amp;77232296999)</f>
        <v>0</v>
      </c>
      <c r="L104" s="65" t="n">
        <f aca="false">COUNTIFS(Данные!$B$2:$B$722,63,Данные!$C$2:$C$722,0,Данные!$A$2:$A$722,"&gt;="&amp;77232785000,Данные!$A$2:$A$722,"&lt;="&amp;77232789999)</f>
        <v>0</v>
      </c>
      <c r="M104" s="65" t="n">
        <f aca="false">COUNTIFS(Данные!$B$2:$B$722,63,Данные!$C$2:$C$722,0,Данные!$A$2:$A$722,"&gt;="&amp;77233150000,Данные!$A$2:$A$722,"&lt;="&amp;77233155999)</f>
        <v>0</v>
      </c>
      <c r="N104" s="65" t="n">
        <f aca="false">COUNTIFS(Данные!$B$2:$B$722,63,Данные!$C$2:$C$722,0,Данные!$A$2:$A$722,"&gt;="&amp;77233235000,Данные!$A$2:$A$722,"&lt;="&amp;77233235999)</f>
        <v>0</v>
      </c>
      <c r="O104" s="65" t="n">
        <f aca="false">COUNTIFS(Данные!$B$2:$B$722,63,Данные!$C$2:$C$722,0,Данные!$A$2:$A$722,"&gt;="&amp;77233239000,Данные!$A$2:$A$722,"&lt;="&amp;77233239999)</f>
        <v>0</v>
      </c>
      <c r="P104" s="65" t="n">
        <f aca="false">COUNTIFS(Данные!$B$2:$B$722,63,Данные!$C$2:$C$722,0,Данные!$A$2:$A$722,"&gt;="&amp;77233272000,Данные!$A$2:$A$722,"&lt;="&amp;77233272999)</f>
        <v>0</v>
      </c>
      <c r="Q104" s="65" t="n">
        <f aca="false">COUNTIFS(Данные!$B$2:$B$722,63,Данные!$C$2:$C$722,0,Данные!$A$2:$A$722,"&gt;="&amp;77233291100,Данные!$A$2:$A$722,"&lt;="&amp;77233292999)</f>
        <v>0</v>
      </c>
      <c r="R104" s="65" t="n">
        <f aca="false">COUNTIFS(Данные!$B$2:$B$722,63,Данные!$C$2:$C$722,0,Данные!$A$2:$A$722,"&gt;="&amp;77233297000,Данные!$A$2:$A$722,"&lt;="&amp;77233298399)</f>
        <v>0</v>
      </c>
      <c r="S104" s="65" t="n">
        <f aca="false">COUNTIFS(Данные!$B$2:$B$722,63,Данные!$C$2:$C$722,0,Данные!$A$2:$A$722,"&gt;="&amp;77235124000,Данные!$A$2:$A$722,"&lt;="&amp;77235128499)</f>
        <v>0</v>
      </c>
      <c r="T104" s="65" t="n">
        <f aca="false">COUNTIFS(Данные!$B$2:$B$722,63,Данные!$C$2:$C$722,0,Данные!$A$2:$A$722,"&gt;="&amp;77235320000,Данные!$A$2:$A$722,"&lt;="&amp;77235320999)</f>
        <v>0</v>
      </c>
      <c r="U104" s="65" t="n">
        <f aca="false">COUNTIFS(Данные!$B$2:$B$722,63,Данные!$C$2:$C$722,0,Данные!$A$2:$A$722,"&gt;="&amp;77233620000,Данные!$A$2:$A$722,"&lt;="&amp;77233623339)</f>
        <v>0</v>
      </c>
      <c r="V104" s="65" t="n">
        <f aca="false">COUNTIFS(Данные!$B$2:$B$722,63,Данные!$C$2:$C$722,0,Данные!$A$2:$A$722,"&gt;="&amp;77233630000,Данные!$A$2:$A$722,"&lt;="&amp;77233630999)</f>
        <v>0</v>
      </c>
      <c r="W104" s="65" t="n">
        <f aca="false">COUNTIFS(Данные!$B$2:$B$722,63,Данные!$C$2:$C$722,0,Данные!$A$2:$A$722,"&gt;="&amp;77233637000,Данные!$A$2:$A$722,"&lt;="&amp;77233637599)</f>
        <v>0</v>
      </c>
      <c r="X104" s="65" t="n">
        <f aca="false">COUNTIFS(Данные!$B$2:$B$722,63,Данные!$C$2:$C$722,0,Данные!$A$2:$A$722,"&gt;="&amp;77233550000,Данные!$A$2:$A$722,"&lt;="&amp;77233550999)</f>
        <v>0</v>
      </c>
      <c r="Y104" s="65" t="n">
        <f aca="false">COUNTIFS(Данные!$B$2:$B$722,63,Данные!$C$2:$C$722,0,Данные!$A$2:$A$722,"&gt;="&amp;77233554000,Данные!$A$2:$A$722,"&lt;="&amp;77233554999)</f>
        <v>0</v>
      </c>
      <c r="Z104" s="65" t="n">
        <f aca="false">COUNTIFS(Данные!$B$2:$B$722,63,Данные!$C$2:$C$722,0,Данные!$A$2:$A$722,"&gt;="&amp;77233555000,Данные!$A$2:$A$722,"&lt;="&amp;77233556999)</f>
        <v>0</v>
      </c>
      <c r="AA104" s="65" t="n">
        <f aca="false">COUNTIFS(Данные!$B$2:$B$722,63,Данные!$C$2:$C$722,0,Данные!$A$2:$A$722,"&gt;="&amp;77233726000,Данные!$A$2:$A$722,"&lt;="&amp;77233726999)</f>
        <v>0</v>
      </c>
      <c r="AB104" s="65" t="n">
        <f aca="false">COUNTIFS(Данные!$B$2:$B$722,63,Данные!$C$2:$C$722,0,Данные!$A$2:$A$722,"&gt;="&amp;77233820000,Данные!$A$2:$A$722,"&lt;="&amp;77233820999)</f>
        <v>0</v>
      </c>
      <c r="AC104" s="65" t="n">
        <f aca="false">COUNTIFS(Данные!$B$2:$B$722,63,Данные!$C$2:$C$722,0,Данные!$A$2:$A$722,"&gt;="&amp;77233850000,Данные!$A$2:$A$722,"&lt;="&amp;77233850999)</f>
        <v>0</v>
      </c>
      <c r="AD104" s="65" t="n">
        <f aca="false">COUNTIFS(Данные!$B$2:$B$722,63,Данные!$C$2:$C$722,0,Данные!$A$2:$A$722,"&gt;="&amp;77233420000,Данные!$A$2:$A$722,"&lt;="&amp;77233420999)</f>
        <v>0</v>
      </c>
      <c r="AE104" s="65" t="n">
        <f aca="false">COUNTIFS(Данные!$B$2:$B$722,63,Данные!$C$2:$C$722,0,Данные!$A$2:$A$722,"&gt;="&amp;77234740000,Данные!$A$2:$A$722,"&lt;="&amp;77234742999)</f>
        <v>0</v>
      </c>
      <c r="AF104" s="65" t="n">
        <f aca="false">COUNTIFS(Данные!$B$2:$B$722,63,Данные!$C$2:$C$722,0,Данные!$A$2:$A$722,"&gt;="&amp;77234767000,Данные!$A$2:$A$722,"&lt;="&amp;77234767999)</f>
        <v>0</v>
      </c>
      <c r="AG104" s="65" t="n">
        <f aca="false">COUNTIFS(Данные!$B$2:$B$722,63,Данные!$C$2:$C$722,0,Данные!$A$2:$A$722,"&gt;="&amp;77234120000,Данные!$A$2:$A$722,"&lt;="&amp;77234120999)</f>
        <v>0</v>
      </c>
      <c r="AH104" s="65" t="n">
        <f aca="false">COUNTIFS(Данные!$B$2:$B$722,63,Данные!$C$2:$C$722,0,Данные!$A$2:$A$722,"&gt;="&amp;77234127000,Данные!$A$2:$A$722,"&lt;="&amp;77234127999)</f>
        <v>0</v>
      </c>
      <c r="AI104" s="65" t="n">
        <f aca="false">COUNTIFS(Данные!$B$2:$B$722,63,Данные!$C$2:$C$722,0,Данные!$A$2:$A$722,"&gt;="&amp;77234220000,Данные!$A$2:$A$722,"&lt;="&amp;77234220999)</f>
        <v>0</v>
      </c>
      <c r="AJ104" s="65" t="n">
        <f aca="false">COUNTIFS(Данные!$B$2:$B$722,63,Данные!$C$2:$C$722,0,Данные!$A$2:$A$722,"&gt;="&amp;77234250000,Данные!$A$2:$A$722,"&lt;="&amp;77234250999)</f>
        <v>0</v>
      </c>
      <c r="AK104" s="65" t="n">
        <f aca="false">COUNTIFS(Данные!$B$2:$B$722,63,Данные!$C$2:$C$722,0,Данные!$A$2:$A$722,"&gt;="&amp;77233922950,Данные!$A$2:$A$722,"&lt;="&amp;77233924999)</f>
        <v>0</v>
      </c>
      <c r="AL104" s="65" t="n">
        <f aca="false">COUNTIFS(Данные!$B$2:$B$722,63,Данные!$C$2:$C$722,0,Данные!$A$2:$A$722,"&gt;="&amp;77234320000,Данные!$A$2:$A$722,"&lt;="&amp;77234320999)</f>
        <v>0</v>
      </c>
      <c r="AM104" s="65" t="n">
        <f aca="false">COUNTIFS(Данные!$B$2:$B$722,63,Данные!$C$2:$C$722,0,Данные!$A$2:$A$722,"&gt;="&amp;77234350000,Данные!$A$2:$A$722,"&lt;="&amp;77234350999)</f>
        <v>0</v>
      </c>
      <c r="AN104" s="65" t="n">
        <f aca="false">COUNTIFS(Данные!$B$2:$B$722,63,Данные!$C$2:$C$722,0,Данные!$A$2:$A$722,"&gt;="&amp;77234020000,Данные!$A$2:$A$722,"&lt;="&amp;77234020999)</f>
        <v>0</v>
      </c>
      <c r="AO104" s="65" t="n">
        <f aca="false">COUNTIFS(Данные!$B$2:$B$722,63,Данные!$C$2:$C$722,0,Данные!$A$2:$A$722,"&gt;="&amp;77234029000,Данные!$A$2:$A$722,"&lt;="&amp;77234029999)</f>
        <v>0</v>
      </c>
      <c r="AP104" s="65" t="n">
        <f aca="false">COUNTIFS(Данные!$B$2:$B$722,63,Данные!$C$2:$C$722,0,Данные!$A$2:$A$722,"&gt;="&amp;77234050000,Данные!$A$2:$A$722,"&lt;="&amp;77234050999)</f>
        <v>0</v>
      </c>
      <c r="AQ104" s="65" t="n">
        <f aca="false">COUNTIFS(Данные!$B$2:$B$722,63,Данные!$C$2:$C$722,0,Данные!$A$2:$A$722,"&gt;="&amp;77234427000,Данные!$A$2:$A$722,"&lt;="&amp;77234428999)</f>
        <v>0</v>
      </c>
      <c r="AR104" s="65" t="n">
        <f aca="false">COUNTIFS(Данные!$B$2:$B$722,63,Данные!$C$2:$C$722,0,Данные!$A$2:$A$722,"&gt;="&amp;77234450000,Данные!$A$2:$A$722,"&lt;="&amp;77234450999)</f>
        <v>0</v>
      </c>
      <c r="AS104" s="65" t="n">
        <f aca="false">COUNTIFS(Данные!$B$2:$B$722,63,Данные!$C$2:$C$722,0,Данные!$A$2:$A$722,"&gt;="&amp;77234620000,Данные!$A$2:$A$722,"&lt;="&amp;77234620999)</f>
        <v>0</v>
      </c>
      <c r="AT104" s="65" t="n">
        <f aca="false">COUNTIFS(Данные!$B$2:$B$722,63,Данные!$C$2:$C$722,0,Данные!$A$2:$A$722,"&gt;="&amp;77234650000,Данные!$A$2:$A$722,"&lt;="&amp;77234650999)</f>
        <v>0</v>
      </c>
      <c r="AU104" s="65" t="n">
        <f aca="false">COUNTIFS(Данные!$B$2:$B$722,63,Данные!$C$2:$C$722,0,Данные!$A$2:$A$722,"&gt;="&amp;77234820000,Данные!$A$2:$A$722,"&lt;="&amp;77234820999)</f>
        <v>0</v>
      </c>
      <c r="AV104" s="65" t="n">
        <f aca="false">COUNTIFS(Данные!$B$2:$B$722,63,Данные!$C$2:$C$722,0,Данные!$A$2:$A$722,"&gt;="&amp;77234850000,Данные!$A$2:$A$722,"&lt;="&amp;77234850999)</f>
        <v>0</v>
      </c>
      <c r="AW104" s="65" t="n">
        <f aca="false">COUNTIFS(Данные!$B$2:$B$722,63,Данные!$C$2:$C$722,0,Данные!$A$2:$A$722,"&gt;="&amp;77233327000,Данные!$A$2:$A$722,"&lt;="&amp;77233327999)</f>
        <v>0</v>
      </c>
      <c r="AX104" s="65" t="n">
        <f aca="false">COUNTIFS(Данные!$B$2:$B$722,63,Данные!$C$2:$C$722,0,Данные!$A$2:$A$722,"&gt;="&amp;77233350000,Данные!$A$2:$A$722,"&lt;="&amp;77233350599)</f>
        <v>0</v>
      </c>
      <c r="AY104" s="65" t="n">
        <f aca="false">COUNTIFS(Данные!$B$2:$B$722,63,Данные!$C$2:$C$722,0,Данные!$A$2:$A$722,"&gt;="&amp;77233351000,Данные!$A$2:$A$722,"&lt;="&amp;77233351999)</f>
        <v>0</v>
      </c>
      <c r="AZ104" s="66" t="n">
        <f aca="false">COUNTIFS(Данные!$B$2:$B$722,63,Данные!$C$2:$C$722,0,Данные!$A$2:$A$722,"&gt;="&amp;7722440000,Данные!$A$2:$A$722,"&lt;="&amp;7722440999)</f>
        <v>0</v>
      </c>
      <c r="BA104" s="66" t="n">
        <f aca="false">COUNTIFS(Данные!$B$2:$B$722,63,Данные!$C$2:$C$722,0,Данные!$A$2:$A$722,"&gt;="&amp;7722442000,Данные!$A$2:$A$722,"&lt;="&amp;7722445659)</f>
        <v>0</v>
      </c>
      <c r="BB104" s="66" t="n">
        <f aca="false">COUNTIFS(Данные!$B$2:$B$722,63,Данные!$C$2:$C$722,0,Данные!$A$2:$A$722,"&gt;="&amp;7722450000,Данные!$A$2:$A$722,"&lt;="&amp;7722450199)</f>
        <v>0</v>
      </c>
      <c r="BC104" s="66" t="n">
        <f aca="false">COUNTIFS(Данные!$B$2:$B$722,63,Данные!$C$2:$C$722,0,Данные!$A$2:$A$722,"&gt;="&amp;7722451000,Данные!$A$2:$A$722,"&lt;="&amp;7722451374)</f>
        <v>0</v>
      </c>
      <c r="BD104" s="66" t="n">
        <f aca="false">COUNTIFS(Данные!$B$2:$B$722,63,Данные!$C$2:$C$722,0,Данные!$A$2:$A$722,"&gt;="&amp;7722452000,Данные!$A$2:$A$722,"&lt;="&amp;7722452299)</f>
        <v>0</v>
      </c>
      <c r="BE104" s="66" t="n">
        <f aca="false">COUNTIFS(Данные!$B$2:$B$722,63,Данные!$C$2:$C$722,0,Данные!$A$2:$A$722,"&gt;="&amp;7722453000,Данные!$A$2:$A$722,"&lt;="&amp;7722453816)</f>
        <v>0</v>
      </c>
      <c r="BF104" s="66" t="n">
        <f aca="false">COUNTIFS(Данные!$B$2:$B$722,63,Данные!$C$2:$C$722,0,Данные!$A$2:$A$722,"&gt;="&amp;7722454000,Данные!$A$2:$A$722,"&lt;="&amp;7722454099)</f>
        <v>0</v>
      </c>
      <c r="BG104" s="66" t="n">
        <f aca="false">COUNTIFS(Данные!$B$2:$B$722,63,Данные!$C$2:$C$722,0,Данные!$A$2:$A$722,"&gt;="&amp;7722458000,Данные!$A$2:$A$722,"&lt;="&amp;7722458999)</f>
        <v>0</v>
      </c>
      <c r="BH104" s="66" t="n">
        <f aca="false">COUNTIFS(Данные!$B$2:$B$722,63,Данные!$C$2:$C$722,0,Данные!$A$2:$A$722,"&gt;="&amp;7722630000,Данные!$A$2:$A$722,"&lt;="&amp;7722638549)</f>
        <v>0</v>
      </c>
      <c r="BI104" s="66" t="n">
        <f aca="false">COUNTIFS(Данные!$B$2:$B$722,63,Данные!$C$2:$C$722,0,Данные!$A$2:$A$722,"&gt;="&amp;7722639400,Данные!$A$2:$A$722,"&lt;="&amp;7722639899)</f>
        <v>0</v>
      </c>
      <c r="BJ104" s="66" t="n">
        <f aca="false">COUNTIFS(Данные!$B$2:$B$722,63,Данные!$C$2:$C$722,0,Данные!$A$2:$A$722,"&gt;="&amp;7725750000,Данные!$A$2:$A$722,"&lt;="&amp;7725750399)</f>
        <v>0</v>
      </c>
      <c r="BK104" s="66" t="n">
        <f aca="false">COUNTIFS(Данные!$B$2:$B$722,63,Данные!$C$2:$C$722,0,Данные!$A$2:$A$722,"&gt;="&amp;7723620000,Данные!$A$2:$A$722,"&lt;="&amp;7723621299)</f>
        <v>0</v>
      </c>
      <c r="BL104" s="66" t="n">
        <f aca="false">COUNTIFS(Данные!$B$2:$B$722,63,Данные!$C$2:$C$722,0,Данные!$A$2:$A$722,"&gt;="&amp;7723621600,Данные!$A$2:$A$722,"&lt;="&amp;7723623399)</f>
        <v>0</v>
      </c>
      <c r="BM104" s="66" t="n">
        <f aca="false">COUNTIFS(Данные!$B$2:$B$722,63,Данные!$C$2:$C$722,0,Данные!$A$2:$A$722,"&gt;="&amp;7725127000,Данные!$A$2:$A$722,"&lt;="&amp;7725127999)</f>
        <v>0</v>
      </c>
      <c r="BN104" s="66" t="n">
        <f aca="false">COUNTIFS(Данные!$B$2:$B$722,63,Данные!$C$2:$C$722,0,Данные!$A$2:$A$722,"&gt;="&amp;7723772000,Данные!$A$2:$A$722,"&lt;="&amp;7723724999)</f>
        <v>0</v>
      </c>
      <c r="BO104" s="65" t="n">
        <f aca="false">COUNTIFS(Данные!$B$2:$B$722,63,Данные!$C$2:$C$722,0,Данные!$A$2:$A$722,"&gt;="&amp;7723765000,Данные!$A$2:$A$722,"&lt;="&amp;7723765499)</f>
        <v>0</v>
      </c>
      <c r="BP104" s="66" t="n">
        <f aca="false">COUNTIFS(Данные!$B$2:$B$722,63,Данные!$C$2:$C$722,0,Данные!$A$2:$A$722,"&gt;="&amp;7723948000,Данные!$A$2:$A$722,"&lt;="&amp;7723948999)</f>
        <v>0</v>
      </c>
      <c r="BQ104" s="66" t="n">
        <f aca="false">COUNTIFS(Данные!$B$2:$B$722,63,Данные!$C$2:$C$722,0,Данные!$A$2:$A$722,"&gt;="&amp;7723950000,Данные!$A$2:$A$722,"&lt;="&amp;7723951099)</f>
        <v>0</v>
      </c>
      <c r="BR104" s="66" t="n">
        <f aca="false">COUNTIFS(Данные!$B$2:$B$722,63,Данные!$C$2:$C$722,0,Данные!$A$2:$A$722,"&gt;="&amp;7723020000,Данные!$A$2:$A$722,"&lt;="&amp;7723020999)</f>
        <v>0</v>
      </c>
      <c r="BS104" s="66" t="n">
        <f aca="false">COUNTIFS(Данные!$B$2:$B$722,63,Данные!$C$2:$C$722,0,Данные!$A$2:$A$722,"&gt;="&amp;7723029000,Данные!$A$2:$A$722,"&lt;="&amp;7723029999)</f>
        <v>0</v>
      </c>
      <c r="BT104" s="66" t="n">
        <f aca="false">COUNTIFS(Данные!$B$2:$B$722,63,Данные!$C$2:$C$722,0,Данные!$A$2:$A$722,"&gt;="&amp;7723055000,Данные!$A$2:$A$722,"&lt;="&amp;7723056549)</f>
        <v>0</v>
      </c>
      <c r="BU104" s="65" t="n">
        <f aca="false">COUNTIFS(Данные!$B$2:$B$722,63,Данные!$C$2:$C$722,0,Данные!$A$2:$A$722,"&gt;="&amp;7725250000,Данные!$A$2:$A$722,"&lt;="&amp;7725250499)</f>
        <v>0</v>
      </c>
      <c r="BV104" s="66" t="n">
        <f aca="false">COUNTIFS(Данные!$B$2:$B$722,63,Данные!$C$2:$C$722,0,Данные!$A$2:$A$722,"&gt;="&amp;7183841400,Данные!$A$2:$A$722,"&lt;="&amp;7183841499)</f>
        <v>0</v>
      </c>
      <c r="BW104" s="49" t="n">
        <v>300</v>
      </c>
      <c r="BX104" s="67" t="n">
        <f aca="false">F104-BW104</f>
        <v>-300</v>
      </c>
    </row>
    <row r="105" s="15" customFormat="true" ht="12" hidden="false" customHeight="true" outlineLevel="0" collapsed="false">
      <c r="A105" s="47"/>
      <c r="B105" s="48"/>
      <c r="C105" s="50" t="n">
        <v>1</v>
      </c>
      <c r="D105" s="50" t="n">
        <v>631</v>
      </c>
      <c r="E105" s="51"/>
      <c r="F105" s="65" t="n">
        <f aca="false">COUNTIFS(Данные!$B$2:$B$722,63,Данные!$C$2:$C$722,1)</f>
        <v>0</v>
      </c>
      <c r="G105" s="65" t="n">
        <f aca="false">COUNTIFS(Данные!$B$2:$B$722,63,Данные!$C$2:$C$722,1,Данные!$A$2:$A$722,"&gt;="&amp;77232210840,Данные!$A$2:$A$722,"&lt;="&amp;77232216999)</f>
        <v>0</v>
      </c>
      <c r="H105" s="65" t="n">
        <f aca="false">COUNTIFS(Данные!$B$2:$B$722,63,Данные!$C$2:$C$722,1,Данные!$A$2:$A$722,"&gt;="&amp;77232510512,Данные!$A$2:$A$722,"&lt;="&amp;77232519487)</f>
        <v>0</v>
      </c>
      <c r="I105" s="65" t="n">
        <f aca="false">COUNTIFS(Данные!$B$2:$B$722,63,Данные!$C$2:$C$722,1,Данные!$A$2:$A$722,"&gt;="&amp;77232524160,Данные!$A$2:$A$722,"&lt;="&amp;77232529999)</f>
        <v>0</v>
      </c>
      <c r="J105" s="65" t="n">
        <f aca="false">COUNTIFS(Данные!$B$2:$B$722,63,Данные!$C$2:$C$722,1,Данные!$A$2:$A$722,"&gt;="&amp;77232544000,Данные!$A$2:$A$722,"&lt;="&amp;77232544999)</f>
        <v>0</v>
      </c>
      <c r="K105" s="65" t="n">
        <f aca="false">COUNTIFS(Данные!$B$2:$B$722,63,Данные!$C$2:$C$722,1,Данные!$A$2:$A$722,"&gt;="&amp;77232295504,Данные!$A$2:$A$722,"&lt;="&amp;77232296999)</f>
        <v>0</v>
      </c>
      <c r="L105" s="65" t="n">
        <f aca="false">COUNTIFS(Данные!$B$2:$B$722,63,Данные!$C$2:$C$722,1,Данные!$A$2:$A$722,"&gt;="&amp;77232785000,Данные!$A$2:$A$722,"&lt;="&amp;77232789999)</f>
        <v>0</v>
      </c>
      <c r="M105" s="65" t="n">
        <f aca="false">COUNTIFS(Данные!$B$2:$B$722,63,Данные!$C$2:$C$722,1,Данные!$A$2:$A$722,"&gt;="&amp;77233150000,Данные!$A$2:$A$722,"&lt;="&amp;77233155999)</f>
        <v>0</v>
      </c>
      <c r="N105" s="65" t="n">
        <f aca="false">COUNTIFS(Данные!$B$2:$B$722,63,Данные!$C$2:$C$722,1,Данные!$A$2:$A$722,"&gt;="&amp;77233235000,Данные!$A$2:$A$722,"&lt;="&amp;77233235999)</f>
        <v>0</v>
      </c>
      <c r="O105" s="65" t="n">
        <f aca="false">COUNTIFS(Данные!$B$2:$B$722,63,Данные!$C$2:$C$722,1,Данные!$A$2:$A$722,"&gt;="&amp;77233239000,Данные!$A$2:$A$722,"&lt;="&amp;77233239999)</f>
        <v>0</v>
      </c>
      <c r="P105" s="65" t="n">
        <f aca="false">COUNTIFS(Данные!$B$2:$B$722,63,Данные!$C$2:$C$722,1,Данные!$A$2:$A$722,"&gt;="&amp;77233272000,Данные!$A$2:$A$722,"&lt;="&amp;77233272999)</f>
        <v>0</v>
      </c>
      <c r="Q105" s="65" t="n">
        <f aca="false">COUNTIFS(Данные!$B$2:$B$722,63,Данные!$C$2:$C$722,1,Данные!$A$2:$A$722,"&gt;="&amp;77233291100,Данные!$A$2:$A$722,"&lt;="&amp;77233292999)</f>
        <v>0</v>
      </c>
      <c r="R105" s="65" t="n">
        <f aca="false">COUNTIFS(Данные!$B$2:$B$722,63,Данные!$C$2:$C$722,1,Данные!$A$2:$A$722,"&gt;="&amp;77233297000,Данные!$A$2:$A$722,"&lt;="&amp;77233298399)</f>
        <v>0</v>
      </c>
      <c r="S105" s="65" t="n">
        <f aca="false">COUNTIFS(Данные!$B$2:$B$722,63,Данные!$C$2:$C$722,1,Данные!$A$2:$A$722,"&gt;="&amp;77235124000,Данные!$A$2:$A$722,"&lt;="&amp;77235128499)</f>
        <v>0</v>
      </c>
      <c r="T105" s="65" t="n">
        <f aca="false">COUNTIFS(Данные!$B$2:$B$722,63,Данные!$C$2:$C$722,1,Данные!$A$2:$A$722,"&gt;="&amp;77235320000,Данные!$A$2:$A$722,"&lt;="&amp;77235320999)</f>
        <v>0</v>
      </c>
      <c r="U105" s="65" t="n">
        <f aca="false">COUNTIFS(Данные!$B$2:$B$722,63,Данные!$C$2:$C$722,1,Данные!$A$2:$A$722,"&gt;="&amp;77233620000,Данные!$A$2:$A$722,"&lt;="&amp;77233623339)</f>
        <v>0</v>
      </c>
      <c r="V105" s="65" t="n">
        <f aca="false">COUNTIFS(Данные!$B$2:$B$722,63,Данные!$C$2:$C$722,1,Данные!$A$2:$A$722,"&gt;="&amp;77233630000,Данные!$A$2:$A$722,"&lt;="&amp;77233630999)</f>
        <v>0</v>
      </c>
      <c r="W105" s="65" t="n">
        <f aca="false">COUNTIFS(Данные!$B$2:$B$722,63,Данные!$C$2:$C$722,1,Данные!$A$2:$A$722,"&gt;="&amp;77233637000,Данные!$A$2:$A$722,"&lt;="&amp;77233637599)</f>
        <v>0</v>
      </c>
      <c r="X105" s="65" t="n">
        <f aca="false">COUNTIFS(Данные!$B$2:$B$722,63,Данные!$C$2:$C$722,1,Данные!$A$2:$A$722,"&gt;="&amp;77233550000,Данные!$A$2:$A$722,"&lt;="&amp;77233550999)</f>
        <v>0</v>
      </c>
      <c r="Y105" s="65" t="n">
        <f aca="false">COUNTIFS(Данные!$B$2:$B$722,63,Данные!$C$2:$C$722,1,Данные!$A$2:$A$722,"&gt;="&amp;77233554000,Данные!$A$2:$A$722,"&lt;="&amp;77233554999)</f>
        <v>0</v>
      </c>
      <c r="Z105" s="65" t="n">
        <f aca="false">COUNTIFS(Данные!$B$2:$B$722,63,Данные!$C$2:$C$722,1,Данные!$A$2:$A$722,"&gt;="&amp;77233555000,Данные!$A$2:$A$722,"&lt;="&amp;77233556999)</f>
        <v>0</v>
      </c>
      <c r="AA105" s="65" t="n">
        <f aca="false">COUNTIFS(Данные!$B$2:$B$722,63,Данные!$C$2:$C$722,1,Данные!$A$2:$A$722,"&gt;="&amp;77233726000,Данные!$A$2:$A$722,"&lt;="&amp;77233726999)</f>
        <v>0</v>
      </c>
      <c r="AB105" s="65" t="n">
        <f aca="false">COUNTIFS(Данные!$B$2:$B$722,63,Данные!$C$2:$C$722,1,Данные!$A$2:$A$722,"&gt;="&amp;77233820000,Данные!$A$2:$A$722,"&lt;="&amp;77233820999)</f>
        <v>0</v>
      </c>
      <c r="AC105" s="65" t="n">
        <f aca="false">COUNTIFS(Данные!$B$2:$B$722,63,Данные!$C$2:$C$722,1,Данные!$A$2:$A$722,"&gt;="&amp;77233850000,Данные!$A$2:$A$722,"&lt;="&amp;77233850999)</f>
        <v>0</v>
      </c>
      <c r="AD105" s="65" t="n">
        <f aca="false">COUNTIFS(Данные!$B$2:$B$722,63,Данные!$C$2:$C$722,1,Данные!$A$2:$A$722,"&gt;="&amp;77233420000,Данные!$A$2:$A$722,"&lt;="&amp;77233420999)</f>
        <v>0</v>
      </c>
      <c r="AE105" s="65" t="n">
        <f aca="false">COUNTIFS(Данные!$B$2:$B$722,63,Данные!$C$2:$C$722,1,Данные!$A$2:$A$722,"&gt;="&amp;77234740000,Данные!$A$2:$A$722,"&lt;="&amp;77234742999)</f>
        <v>0</v>
      </c>
      <c r="AF105" s="65" t="n">
        <f aca="false">COUNTIFS(Данные!$B$2:$B$722,63,Данные!$C$2:$C$722,1,Данные!$A$2:$A$722,"&gt;="&amp;77234767000,Данные!$A$2:$A$722,"&lt;="&amp;77234767999)</f>
        <v>0</v>
      </c>
      <c r="AG105" s="65" t="n">
        <f aca="false">COUNTIFS(Данные!$B$2:$B$722,63,Данные!$C$2:$C$722,1,Данные!$A$2:$A$722,"&gt;="&amp;77234120000,Данные!$A$2:$A$722,"&lt;="&amp;77234120999)</f>
        <v>0</v>
      </c>
      <c r="AH105" s="65" t="n">
        <f aca="false">COUNTIFS(Данные!$B$2:$B$722,63,Данные!$C$2:$C$722,1,Данные!$A$2:$A$722,"&gt;="&amp;77234127000,Данные!$A$2:$A$722,"&lt;="&amp;77234127999)</f>
        <v>0</v>
      </c>
      <c r="AI105" s="65" t="n">
        <f aca="false">COUNTIFS(Данные!$B$2:$B$722,63,Данные!$C$2:$C$722,1,Данные!$A$2:$A$722,"&gt;="&amp;77234220000,Данные!$A$2:$A$722,"&lt;="&amp;77234220999)</f>
        <v>0</v>
      </c>
      <c r="AJ105" s="65" t="n">
        <f aca="false">COUNTIFS(Данные!$B$2:$B$722,63,Данные!$C$2:$C$722,1,Данные!$A$2:$A$722,"&gt;="&amp;77234250000,Данные!$A$2:$A$722,"&lt;="&amp;77234250999)</f>
        <v>0</v>
      </c>
      <c r="AK105" s="65" t="n">
        <f aca="false">COUNTIFS(Данные!$B$2:$B$722,63,Данные!$C$2:$C$722,1,Данные!$A$2:$A$722,"&gt;="&amp;77233922950,Данные!$A$2:$A$722,"&lt;="&amp;77233924999)</f>
        <v>0</v>
      </c>
      <c r="AL105" s="65" t="n">
        <f aca="false">COUNTIFS(Данные!$B$2:$B$722,63,Данные!$C$2:$C$722,1,Данные!$A$2:$A$722,"&gt;="&amp;77234320000,Данные!$A$2:$A$722,"&lt;="&amp;77234320999)</f>
        <v>0</v>
      </c>
      <c r="AM105" s="65" t="n">
        <f aca="false">COUNTIFS(Данные!$B$2:$B$722,63,Данные!$C$2:$C$722,1,Данные!$A$2:$A$722,"&gt;="&amp;77234350000,Данные!$A$2:$A$722,"&lt;="&amp;77234350999)</f>
        <v>0</v>
      </c>
      <c r="AN105" s="65" t="n">
        <f aca="false">COUNTIFS(Данные!$B$2:$B$722,63,Данные!$C$2:$C$722,1,Данные!$A$2:$A$722,"&gt;="&amp;77234020000,Данные!$A$2:$A$722,"&lt;="&amp;77234020999)</f>
        <v>0</v>
      </c>
      <c r="AO105" s="65" t="n">
        <f aca="false">COUNTIFS(Данные!$B$2:$B$722,63,Данные!$C$2:$C$722,1,Данные!$A$2:$A$722,"&gt;="&amp;77234029000,Данные!$A$2:$A$722,"&lt;="&amp;77234029999)</f>
        <v>0</v>
      </c>
      <c r="AP105" s="65" t="n">
        <f aca="false">COUNTIFS(Данные!$B$2:$B$722,63,Данные!$C$2:$C$722,1,Данные!$A$2:$A$722,"&gt;="&amp;77234050000,Данные!$A$2:$A$722,"&lt;="&amp;77234050999)</f>
        <v>0</v>
      </c>
      <c r="AQ105" s="65" t="n">
        <f aca="false">COUNTIFS(Данные!$B$2:$B$722,63,Данные!$C$2:$C$722,1,Данные!$A$2:$A$722,"&gt;="&amp;77234427000,Данные!$A$2:$A$722,"&lt;="&amp;77234428999)</f>
        <v>0</v>
      </c>
      <c r="AR105" s="65" t="n">
        <f aca="false">COUNTIFS(Данные!$B$2:$B$722,63,Данные!$C$2:$C$722,1,Данные!$A$2:$A$722,"&gt;="&amp;77234450000,Данные!$A$2:$A$722,"&lt;="&amp;77234450999)</f>
        <v>0</v>
      </c>
      <c r="AS105" s="65" t="n">
        <f aca="false">COUNTIFS(Данные!$B$2:$B$722,63,Данные!$C$2:$C$722,1,Данные!$A$2:$A$722,"&gt;="&amp;77234620000,Данные!$A$2:$A$722,"&lt;="&amp;77234620999)</f>
        <v>0</v>
      </c>
      <c r="AT105" s="65" t="n">
        <f aca="false">COUNTIFS(Данные!$B$2:$B$722,63,Данные!$C$2:$C$722,1,Данные!$A$2:$A$722,"&gt;="&amp;77234650000,Данные!$A$2:$A$722,"&lt;="&amp;77234650999)</f>
        <v>0</v>
      </c>
      <c r="AU105" s="65" t="n">
        <f aca="false">COUNTIFS(Данные!$B$2:$B$722,63,Данные!$C$2:$C$722,1,Данные!$A$2:$A$722,"&gt;="&amp;77234820000,Данные!$A$2:$A$722,"&lt;="&amp;77234820999)</f>
        <v>0</v>
      </c>
      <c r="AV105" s="65" t="n">
        <f aca="false">COUNTIFS(Данные!$B$2:$B$722,63,Данные!$C$2:$C$722,1,Данные!$A$2:$A$722,"&gt;="&amp;77234850000,Данные!$A$2:$A$722,"&lt;="&amp;77234850999)</f>
        <v>0</v>
      </c>
      <c r="AW105" s="65" t="n">
        <f aca="false">COUNTIFS(Данные!$B$2:$B$722,63,Данные!$C$2:$C$722,1,Данные!$A$2:$A$722,"&gt;="&amp;77233327000,Данные!$A$2:$A$722,"&lt;="&amp;77233327999)</f>
        <v>0</v>
      </c>
      <c r="AX105" s="65" t="n">
        <f aca="false">COUNTIFS(Данные!$B$2:$B$722,63,Данные!$C$2:$C$722,1,Данные!$A$2:$A$722,"&gt;="&amp;77233350000,Данные!$A$2:$A$722,"&lt;="&amp;77233350599)</f>
        <v>0</v>
      </c>
      <c r="AY105" s="65" t="n">
        <f aca="false">COUNTIFS(Данные!$B$2:$B$722,63,Данные!$C$2:$C$722,1,Данные!$A$2:$A$722,"&gt;="&amp;77233351000,Данные!$A$2:$A$722,"&lt;="&amp;77233351999)</f>
        <v>0</v>
      </c>
      <c r="AZ105" s="66" t="n">
        <f aca="false">COUNTIFS(Данные!$B$2:$B$722,63,Данные!$C$2:$C$722,1,Данные!$A$2:$A$722,"&gt;="&amp;7722440000,Данные!$A$2:$A$722,"&lt;="&amp;7722440999)</f>
        <v>0</v>
      </c>
      <c r="BA105" s="66" t="n">
        <f aca="false">COUNTIFS(Данные!$B$2:$B$722,63,Данные!$C$2:$C$722,1,Данные!$A$2:$A$722,"&gt;="&amp;7722442000,Данные!$A$2:$A$722,"&lt;="&amp;7722445659)</f>
        <v>0</v>
      </c>
      <c r="BB105" s="66" t="n">
        <f aca="false">COUNTIFS(Данные!$B$2:$B$722,63,Данные!$C$2:$C$722,1,Данные!$A$2:$A$722,"&gt;="&amp;7722450000,Данные!$A$2:$A$722,"&lt;="&amp;7722450199)</f>
        <v>0</v>
      </c>
      <c r="BC105" s="66" t="n">
        <f aca="false">COUNTIFS(Данные!$B$2:$B$722,63,Данные!$C$2:$C$722,1,Данные!$A$2:$A$722,"&gt;="&amp;7722451000,Данные!$A$2:$A$722,"&lt;="&amp;7722451374)</f>
        <v>0</v>
      </c>
      <c r="BD105" s="66" t="n">
        <f aca="false">COUNTIFS(Данные!$B$2:$B$722,63,Данные!$C$2:$C$722,1,Данные!$A$2:$A$722,"&gt;="&amp;7722452000,Данные!$A$2:$A$722,"&lt;="&amp;7722452299)</f>
        <v>0</v>
      </c>
      <c r="BE105" s="66" t="n">
        <f aca="false">COUNTIFS(Данные!$B$2:$B$722,63,Данные!$C$2:$C$722,1,Данные!$A$2:$A$722,"&gt;="&amp;7722453000,Данные!$A$2:$A$722,"&lt;="&amp;7722453816)</f>
        <v>0</v>
      </c>
      <c r="BF105" s="66" t="n">
        <f aca="false">COUNTIFS(Данные!$B$2:$B$722,63,Данные!$C$2:$C$722,1,Данные!$A$2:$A$722,"&gt;="&amp;7722454000,Данные!$A$2:$A$722,"&lt;="&amp;7722454099)</f>
        <v>0</v>
      </c>
      <c r="BG105" s="66" t="n">
        <f aca="false">COUNTIFS(Данные!$B$2:$B$722,63,Данные!$C$2:$C$722,1,Данные!$A$2:$A$722,"&gt;="&amp;7722458000,Данные!$A$2:$A$722,"&lt;="&amp;7722458999)</f>
        <v>0</v>
      </c>
      <c r="BH105" s="66" t="n">
        <f aca="false">COUNTIFS(Данные!$B$2:$B$722,63,Данные!$C$2:$C$722,1,Данные!$A$2:$A$722,"&gt;="&amp;7722630000,Данные!$A$2:$A$722,"&lt;="&amp;7722638549)</f>
        <v>0</v>
      </c>
      <c r="BI105" s="66" t="n">
        <f aca="false">COUNTIFS(Данные!$B$2:$B$722,63,Данные!$C$2:$C$722,1,Данные!$A$2:$A$722,"&gt;="&amp;7722639400,Данные!$A$2:$A$722,"&lt;="&amp;7722639899)</f>
        <v>0</v>
      </c>
      <c r="BJ105" s="66" t="n">
        <f aca="false">COUNTIFS(Данные!$B$2:$B$722,63,Данные!$C$2:$C$722,1,Данные!$A$2:$A$722,"&gt;="&amp;7725750000,Данные!$A$2:$A$722,"&lt;="&amp;7725750399)</f>
        <v>0</v>
      </c>
      <c r="BK105" s="66" t="n">
        <f aca="false">COUNTIFS(Данные!$B$2:$B$722,63,Данные!$C$2:$C$722,1,Данные!$A$2:$A$722,"&gt;="&amp;7723620000,Данные!$A$2:$A$722,"&lt;="&amp;7723621299)</f>
        <v>0</v>
      </c>
      <c r="BL105" s="66" t="n">
        <f aca="false">COUNTIFS(Данные!$B$2:$B$722,63,Данные!$C$2:$C$722,1,Данные!$A$2:$A$722,"&gt;="&amp;7723621600,Данные!$A$2:$A$722,"&lt;="&amp;7723623399)</f>
        <v>0</v>
      </c>
      <c r="BM105" s="66" t="n">
        <f aca="false">COUNTIFS(Данные!$B$2:$B$722,63,Данные!$C$2:$C$722,1,Данные!$A$2:$A$722,"&gt;="&amp;7725127000,Данные!$A$2:$A$722,"&lt;="&amp;7725127999)</f>
        <v>0</v>
      </c>
      <c r="BN105" s="66" t="n">
        <f aca="false">COUNTIFS(Данные!$B$2:$B$722,63,Данные!$C$2:$C$722,1,Данные!$A$2:$A$722,"&gt;="&amp;7723772000,Данные!$A$2:$A$722,"&lt;="&amp;7723724999)</f>
        <v>0</v>
      </c>
      <c r="BO105" s="65" t="n">
        <f aca="false">COUNTIFS(Данные!$B$2:$B$722,63,Данные!$C$2:$C$722,1,Данные!$A$2:$A$722,"&gt;="&amp;7723765000,Данные!$A$2:$A$722,"&lt;="&amp;7723765499)</f>
        <v>0</v>
      </c>
      <c r="BP105" s="66" t="n">
        <f aca="false">COUNTIFS(Данные!$B$2:$B$722,63,Данные!$C$2:$C$722,1,Данные!$A$2:$A$722,"&gt;="&amp;7723948000,Данные!$A$2:$A$722,"&lt;="&amp;7723948999)</f>
        <v>0</v>
      </c>
      <c r="BQ105" s="66" t="n">
        <f aca="false">COUNTIFS(Данные!$B$2:$B$722,63,Данные!$C$2:$C$722,1,Данные!$A$2:$A$722,"&gt;="&amp;7723950000,Данные!$A$2:$A$722,"&lt;="&amp;7723951099)</f>
        <v>0</v>
      </c>
      <c r="BR105" s="66" t="n">
        <f aca="false">COUNTIFS(Данные!$B$2:$B$722,63,Данные!$C$2:$C$722,1,Данные!$A$2:$A$722,"&gt;="&amp;7723020000,Данные!$A$2:$A$722,"&lt;="&amp;7723020999)</f>
        <v>0</v>
      </c>
      <c r="BS105" s="66" t="n">
        <f aca="false">COUNTIFS(Данные!$B$2:$B$722,63,Данные!$C$2:$C$722,1,Данные!$A$2:$A$722,"&gt;="&amp;7723029000,Данные!$A$2:$A$722,"&lt;="&amp;7723029999)</f>
        <v>0</v>
      </c>
      <c r="BT105" s="66" t="n">
        <f aca="false">COUNTIFS(Данные!$B$2:$B$722,63,Данные!$C$2:$C$722,1,Данные!$A$2:$A$722,"&gt;="&amp;7723055000,Данные!$A$2:$A$722,"&lt;="&amp;7723056549)</f>
        <v>0</v>
      </c>
      <c r="BU105" s="65" t="n">
        <f aca="false">COUNTIFS(Данные!$B$2:$B$722,63,Данные!$C$2:$C$722,1,Данные!$A$2:$A$722,"&gt;="&amp;7725250000,Данные!$A$2:$A$722,"&lt;="&amp;7725250499)</f>
        <v>0</v>
      </c>
      <c r="BV105" s="66" t="n">
        <f aca="false">COUNTIFS(Данные!$B$2:$B$722,63,Данные!$C$2:$C$722,1,Данные!$A$2:$A$722,"&gt;="&amp;7183841400,Данные!$A$2:$A$722,"&lt;="&amp;7183841499)</f>
        <v>0</v>
      </c>
      <c r="BW105" s="49" t="n">
        <v>300</v>
      </c>
      <c r="BX105" s="67" t="n">
        <f aca="false">F105-BW105</f>
        <v>-300</v>
      </c>
    </row>
    <row r="106" s="15" customFormat="true" ht="12" hidden="false" customHeight="true" outlineLevel="0" collapsed="false">
      <c r="A106" s="47"/>
      <c r="B106" s="48"/>
      <c r="C106" s="50" t="n">
        <v>2</v>
      </c>
      <c r="D106" s="50" t="n">
        <v>632</v>
      </c>
      <c r="E106" s="51"/>
      <c r="F106" s="65" t="n">
        <f aca="false">COUNTIFS(Данные!$B$2:$B$722,63,Данные!$C$2:$C$722,2)</f>
        <v>3</v>
      </c>
      <c r="G106" s="65" t="n">
        <f aca="false">COUNTIFS(Данные!$B$2:$B$722,63,Данные!$C$2:$C$722,2,Данные!$A$2:$A$722,"&gt;="&amp;77232210840,Данные!$A$2:$A$722,"&lt;="&amp;77232216999)</f>
        <v>0</v>
      </c>
      <c r="H106" s="65" t="n">
        <f aca="false">COUNTIFS(Данные!$B$2:$B$722,63,Данные!$C$2:$C$722,2,Данные!$A$2:$A$722,"&gt;="&amp;77232510512,Данные!$A$2:$A$722,"&lt;="&amp;77232519487)</f>
        <v>0</v>
      </c>
      <c r="I106" s="65" t="n">
        <f aca="false">COUNTIFS(Данные!$B$2:$B$722,63,Данные!$C$2:$C$722,2,Данные!$A$2:$A$722,"&gt;="&amp;77232524160,Данные!$A$2:$A$722,"&lt;="&amp;77232529999)</f>
        <v>0</v>
      </c>
      <c r="J106" s="65" t="n">
        <f aca="false">COUNTIFS(Данные!$B$2:$B$722,63,Данные!$C$2:$C$722,2,Данные!$A$2:$A$722,"&gt;="&amp;77232544000,Данные!$A$2:$A$722,"&lt;="&amp;77232544999)</f>
        <v>0</v>
      </c>
      <c r="K106" s="65" t="n">
        <f aca="false">COUNTIFS(Данные!$B$2:$B$722,63,Данные!$C$2:$C$722,2,Данные!$A$2:$A$722,"&gt;="&amp;77232295504,Данные!$A$2:$A$722,"&lt;="&amp;77232296999)</f>
        <v>0</v>
      </c>
      <c r="L106" s="65" t="n">
        <f aca="false">COUNTIFS(Данные!$B$2:$B$722,63,Данные!$C$2:$C$722,2,Данные!$A$2:$A$722,"&gt;="&amp;77232785000,Данные!$A$2:$A$722,"&lt;="&amp;77232789999)</f>
        <v>0</v>
      </c>
      <c r="M106" s="65" t="n">
        <f aca="false">COUNTIFS(Данные!$B$2:$B$722,63,Данные!$C$2:$C$722,2,Данные!$A$2:$A$722,"&gt;="&amp;77233150000,Данные!$A$2:$A$722,"&lt;="&amp;77233155999)</f>
        <v>0</v>
      </c>
      <c r="N106" s="65" t="n">
        <f aca="false">COUNTIFS(Данные!$B$2:$B$722,63,Данные!$C$2:$C$722,2,Данные!$A$2:$A$722,"&gt;="&amp;77233235000,Данные!$A$2:$A$722,"&lt;="&amp;77233235999)</f>
        <v>0</v>
      </c>
      <c r="O106" s="65" t="n">
        <f aca="false">COUNTIFS(Данные!$B$2:$B$722,63,Данные!$C$2:$C$722,2,Данные!$A$2:$A$722,"&gt;="&amp;77233239000,Данные!$A$2:$A$722,"&lt;="&amp;77233239999)</f>
        <v>0</v>
      </c>
      <c r="P106" s="65" t="n">
        <f aca="false">COUNTIFS(Данные!$B$2:$B$722,63,Данные!$C$2:$C$722,2,Данные!$A$2:$A$722,"&gt;="&amp;77233272000,Данные!$A$2:$A$722,"&lt;="&amp;77233272999)</f>
        <v>0</v>
      </c>
      <c r="Q106" s="65" t="n">
        <f aca="false">COUNTIFS(Данные!$B$2:$B$722,63,Данные!$C$2:$C$722,2,Данные!$A$2:$A$722,"&gt;="&amp;77233291100,Данные!$A$2:$A$722,"&lt;="&amp;77233292999)</f>
        <v>0</v>
      </c>
      <c r="R106" s="65" t="n">
        <f aca="false">COUNTIFS(Данные!$B$2:$B$722,63,Данные!$C$2:$C$722,2,Данные!$A$2:$A$722,"&gt;="&amp;77233297000,Данные!$A$2:$A$722,"&lt;="&amp;77233298399)</f>
        <v>0</v>
      </c>
      <c r="S106" s="65" t="n">
        <f aca="false">COUNTIFS(Данные!$B$2:$B$722,63,Данные!$C$2:$C$722,2,Данные!$A$2:$A$722,"&gt;="&amp;77235124000,Данные!$A$2:$A$722,"&lt;="&amp;77235128499)</f>
        <v>0</v>
      </c>
      <c r="T106" s="65" t="n">
        <f aca="false">COUNTIFS(Данные!$B$2:$B$722,63,Данные!$C$2:$C$722,2,Данные!$A$2:$A$722,"&gt;="&amp;77235320000,Данные!$A$2:$A$722,"&lt;="&amp;77235320999)</f>
        <v>3</v>
      </c>
      <c r="U106" s="65" t="n">
        <f aca="false">COUNTIFS(Данные!$B$2:$B$722,63,Данные!$C$2:$C$722,2,Данные!$A$2:$A$722,"&gt;="&amp;77233620000,Данные!$A$2:$A$722,"&lt;="&amp;77233623339)</f>
        <v>0</v>
      </c>
      <c r="V106" s="65" t="n">
        <f aca="false">COUNTIFS(Данные!$B$2:$B$722,63,Данные!$C$2:$C$722,2,Данные!$A$2:$A$722,"&gt;="&amp;77233630000,Данные!$A$2:$A$722,"&lt;="&amp;77233630999)</f>
        <v>0</v>
      </c>
      <c r="W106" s="65" t="n">
        <f aca="false">COUNTIFS(Данные!$B$2:$B$722,63,Данные!$C$2:$C$722,2,Данные!$A$2:$A$722,"&gt;="&amp;77233637000,Данные!$A$2:$A$722,"&lt;="&amp;77233637599)</f>
        <v>0</v>
      </c>
      <c r="X106" s="65" t="n">
        <f aca="false">COUNTIFS(Данные!$B$2:$B$722,63,Данные!$C$2:$C$722,2,Данные!$A$2:$A$722,"&gt;="&amp;77233550000,Данные!$A$2:$A$722,"&lt;="&amp;77233550999)</f>
        <v>0</v>
      </c>
      <c r="Y106" s="65" t="n">
        <f aca="false">COUNTIFS(Данные!$B$2:$B$722,63,Данные!$C$2:$C$722,2,Данные!$A$2:$A$722,"&gt;="&amp;77233554000,Данные!$A$2:$A$722,"&lt;="&amp;77233554999)</f>
        <v>0</v>
      </c>
      <c r="Z106" s="65" t="n">
        <f aca="false">COUNTIFS(Данные!$B$2:$B$722,63,Данные!$C$2:$C$722,2,Данные!$A$2:$A$722,"&gt;="&amp;77233555000,Данные!$A$2:$A$722,"&lt;="&amp;77233556999)</f>
        <v>0</v>
      </c>
      <c r="AA106" s="65" t="n">
        <f aca="false">COUNTIFS(Данные!$B$2:$B$722,63,Данные!$C$2:$C$722,2,Данные!$A$2:$A$722,"&gt;="&amp;77233726000,Данные!$A$2:$A$722,"&lt;="&amp;77233726999)</f>
        <v>0</v>
      </c>
      <c r="AB106" s="65" t="n">
        <f aca="false">COUNTIFS(Данные!$B$2:$B$722,63,Данные!$C$2:$C$722,2,Данные!$A$2:$A$722,"&gt;="&amp;77233820000,Данные!$A$2:$A$722,"&lt;="&amp;77233820999)</f>
        <v>0</v>
      </c>
      <c r="AC106" s="65" t="n">
        <f aca="false">COUNTIFS(Данные!$B$2:$B$722,63,Данные!$C$2:$C$722,2,Данные!$A$2:$A$722,"&gt;="&amp;77233850000,Данные!$A$2:$A$722,"&lt;="&amp;77233850999)</f>
        <v>0</v>
      </c>
      <c r="AD106" s="65" t="n">
        <f aca="false">COUNTIFS(Данные!$B$2:$B$722,63,Данные!$C$2:$C$722,2,Данные!$A$2:$A$722,"&gt;="&amp;77233420000,Данные!$A$2:$A$722,"&lt;="&amp;77233420999)</f>
        <v>0</v>
      </c>
      <c r="AE106" s="65" t="n">
        <f aca="false">COUNTIFS(Данные!$B$2:$B$722,63,Данные!$C$2:$C$722,2,Данные!$A$2:$A$722,"&gt;="&amp;77234740000,Данные!$A$2:$A$722,"&lt;="&amp;77234742999)</f>
        <v>0</v>
      </c>
      <c r="AF106" s="65" t="n">
        <f aca="false">COUNTIFS(Данные!$B$2:$B$722,63,Данные!$C$2:$C$722,2,Данные!$A$2:$A$722,"&gt;="&amp;77234767000,Данные!$A$2:$A$722,"&lt;="&amp;77234767999)</f>
        <v>0</v>
      </c>
      <c r="AG106" s="65" t="n">
        <f aca="false">COUNTIFS(Данные!$B$2:$B$722,63,Данные!$C$2:$C$722,2,Данные!$A$2:$A$722,"&gt;="&amp;77234120000,Данные!$A$2:$A$722,"&lt;="&amp;77234120999)</f>
        <v>0</v>
      </c>
      <c r="AH106" s="65" t="n">
        <f aca="false">COUNTIFS(Данные!$B$2:$B$722,63,Данные!$C$2:$C$722,2,Данные!$A$2:$A$722,"&gt;="&amp;77234127000,Данные!$A$2:$A$722,"&lt;="&amp;77234127999)</f>
        <v>0</v>
      </c>
      <c r="AI106" s="65" t="n">
        <f aca="false">COUNTIFS(Данные!$B$2:$B$722,63,Данные!$C$2:$C$722,2,Данные!$A$2:$A$722,"&gt;="&amp;77234220000,Данные!$A$2:$A$722,"&lt;="&amp;77234220999)</f>
        <v>0</v>
      </c>
      <c r="AJ106" s="65" t="n">
        <f aca="false">COUNTIFS(Данные!$B$2:$B$722,63,Данные!$C$2:$C$722,2,Данные!$A$2:$A$722,"&gt;="&amp;77234250000,Данные!$A$2:$A$722,"&lt;="&amp;77234250999)</f>
        <v>0</v>
      </c>
      <c r="AK106" s="65" t="n">
        <f aca="false">COUNTIFS(Данные!$B$2:$B$722,63,Данные!$C$2:$C$722,2,Данные!$A$2:$A$722,"&gt;="&amp;77233922950,Данные!$A$2:$A$722,"&lt;="&amp;77233924999)</f>
        <v>0</v>
      </c>
      <c r="AL106" s="65" t="n">
        <f aca="false">COUNTIFS(Данные!$B$2:$B$722,63,Данные!$C$2:$C$722,2,Данные!$A$2:$A$722,"&gt;="&amp;77234320000,Данные!$A$2:$A$722,"&lt;="&amp;77234320999)</f>
        <v>0</v>
      </c>
      <c r="AM106" s="65" t="n">
        <f aca="false">COUNTIFS(Данные!$B$2:$B$722,63,Данные!$C$2:$C$722,2,Данные!$A$2:$A$722,"&gt;="&amp;77234350000,Данные!$A$2:$A$722,"&lt;="&amp;77234350999)</f>
        <v>0</v>
      </c>
      <c r="AN106" s="65" t="n">
        <f aca="false">COUNTIFS(Данные!$B$2:$B$722,63,Данные!$C$2:$C$722,2,Данные!$A$2:$A$722,"&gt;="&amp;77234020000,Данные!$A$2:$A$722,"&lt;="&amp;77234020999)</f>
        <v>0</v>
      </c>
      <c r="AO106" s="65" t="n">
        <f aca="false">COUNTIFS(Данные!$B$2:$B$722,63,Данные!$C$2:$C$722,2,Данные!$A$2:$A$722,"&gt;="&amp;77234029000,Данные!$A$2:$A$722,"&lt;="&amp;77234029999)</f>
        <v>0</v>
      </c>
      <c r="AP106" s="65" t="n">
        <f aca="false">COUNTIFS(Данные!$B$2:$B$722,63,Данные!$C$2:$C$722,2,Данные!$A$2:$A$722,"&gt;="&amp;77234050000,Данные!$A$2:$A$722,"&lt;="&amp;77234050999)</f>
        <v>0</v>
      </c>
      <c r="AQ106" s="65" t="n">
        <f aca="false">COUNTIFS(Данные!$B$2:$B$722,63,Данные!$C$2:$C$722,2,Данные!$A$2:$A$722,"&gt;="&amp;77234427000,Данные!$A$2:$A$722,"&lt;="&amp;77234428999)</f>
        <v>0</v>
      </c>
      <c r="AR106" s="65" t="n">
        <f aca="false">COUNTIFS(Данные!$B$2:$B$722,63,Данные!$C$2:$C$722,2,Данные!$A$2:$A$722,"&gt;="&amp;77234450000,Данные!$A$2:$A$722,"&lt;="&amp;77234450999)</f>
        <v>0</v>
      </c>
      <c r="AS106" s="65" t="n">
        <f aca="false">COUNTIFS(Данные!$B$2:$B$722,63,Данные!$C$2:$C$722,2,Данные!$A$2:$A$722,"&gt;="&amp;77234620000,Данные!$A$2:$A$722,"&lt;="&amp;77234620999)</f>
        <v>0</v>
      </c>
      <c r="AT106" s="65" t="n">
        <f aca="false">COUNTIFS(Данные!$B$2:$B$722,63,Данные!$C$2:$C$722,2,Данные!$A$2:$A$722,"&gt;="&amp;77234650000,Данные!$A$2:$A$722,"&lt;="&amp;77234650999)</f>
        <v>0</v>
      </c>
      <c r="AU106" s="65" t="n">
        <f aca="false">COUNTIFS(Данные!$B$2:$B$722,63,Данные!$C$2:$C$722,2,Данные!$A$2:$A$722,"&gt;="&amp;77234820000,Данные!$A$2:$A$722,"&lt;="&amp;77234820999)</f>
        <v>0</v>
      </c>
      <c r="AV106" s="65" t="n">
        <f aca="false">COUNTIFS(Данные!$B$2:$B$722,63,Данные!$C$2:$C$722,2,Данные!$A$2:$A$722,"&gt;="&amp;77234850000,Данные!$A$2:$A$722,"&lt;="&amp;77234850999)</f>
        <v>0</v>
      </c>
      <c r="AW106" s="65" t="n">
        <f aca="false">COUNTIFS(Данные!$B$2:$B$722,63,Данные!$C$2:$C$722,2,Данные!$A$2:$A$722,"&gt;="&amp;77233327000,Данные!$A$2:$A$722,"&lt;="&amp;77233327999)</f>
        <v>0</v>
      </c>
      <c r="AX106" s="65" t="n">
        <f aca="false">COUNTIFS(Данные!$B$2:$B$722,63,Данные!$C$2:$C$722,2,Данные!$A$2:$A$722,"&gt;="&amp;77233350000,Данные!$A$2:$A$722,"&lt;="&amp;77233350599)</f>
        <v>0</v>
      </c>
      <c r="AY106" s="65" t="n">
        <f aca="false">COUNTIFS(Данные!$B$2:$B$722,63,Данные!$C$2:$C$722,2,Данные!$A$2:$A$722,"&gt;="&amp;77233351000,Данные!$A$2:$A$722,"&lt;="&amp;77233351999)</f>
        <v>0</v>
      </c>
      <c r="AZ106" s="66" t="n">
        <f aca="false">COUNTIFS(Данные!$B$2:$B$722,63,Данные!$C$2:$C$722,2,Данные!$A$2:$A$722,"&gt;="&amp;7722440000,Данные!$A$2:$A$722,"&lt;="&amp;7722440999)</f>
        <v>0</v>
      </c>
      <c r="BA106" s="66" t="n">
        <f aca="false">COUNTIFS(Данные!$B$2:$B$722,63,Данные!$C$2:$C$722,2,Данные!$A$2:$A$722,"&gt;="&amp;7722442000,Данные!$A$2:$A$722,"&lt;="&amp;7722445659)</f>
        <v>0</v>
      </c>
      <c r="BB106" s="66" t="n">
        <f aca="false">COUNTIFS(Данные!$B$2:$B$722,63,Данные!$C$2:$C$722,2,Данные!$A$2:$A$722,"&gt;="&amp;7722450000,Данные!$A$2:$A$722,"&lt;="&amp;7722450199)</f>
        <v>0</v>
      </c>
      <c r="BC106" s="66" t="n">
        <f aca="false">COUNTIFS(Данные!$B$2:$B$722,63,Данные!$C$2:$C$722,2,Данные!$A$2:$A$722,"&gt;="&amp;7722451000,Данные!$A$2:$A$722,"&lt;="&amp;7722451374)</f>
        <v>0</v>
      </c>
      <c r="BD106" s="66" t="n">
        <f aca="false">COUNTIFS(Данные!$B$2:$B$722,63,Данные!$C$2:$C$722,2,Данные!$A$2:$A$722,"&gt;="&amp;7722452000,Данные!$A$2:$A$722,"&lt;="&amp;7722452299)</f>
        <v>0</v>
      </c>
      <c r="BE106" s="66" t="n">
        <f aca="false">COUNTIFS(Данные!$B$2:$B$722,63,Данные!$C$2:$C$722,2,Данные!$A$2:$A$722,"&gt;="&amp;7722453000,Данные!$A$2:$A$722,"&lt;="&amp;7722453816)</f>
        <v>0</v>
      </c>
      <c r="BF106" s="66" t="n">
        <f aca="false">COUNTIFS(Данные!$B$2:$B$722,63,Данные!$C$2:$C$722,2,Данные!$A$2:$A$722,"&gt;="&amp;7722454000,Данные!$A$2:$A$722,"&lt;="&amp;7722454099)</f>
        <v>0</v>
      </c>
      <c r="BG106" s="66" t="n">
        <f aca="false">COUNTIFS(Данные!$B$2:$B$722,63,Данные!$C$2:$C$722,2,Данные!$A$2:$A$722,"&gt;="&amp;7722458000,Данные!$A$2:$A$722,"&lt;="&amp;7722458999)</f>
        <v>0</v>
      </c>
      <c r="BH106" s="66" t="n">
        <f aca="false">COUNTIFS(Данные!$B$2:$B$722,63,Данные!$C$2:$C$722,2,Данные!$A$2:$A$722,"&gt;="&amp;7722630000,Данные!$A$2:$A$722,"&lt;="&amp;7722638549)</f>
        <v>0</v>
      </c>
      <c r="BI106" s="66" t="n">
        <f aca="false">COUNTIFS(Данные!$B$2:$B$722,63,Данные!$C$2:$C$722,2,Данные!$A$2:$A$722,"&gt;="&amp;7722639400,Данные!$A$2:$A$722,"&lt;="&amp;7722639899)</f>
        <v>0</v>
      </c>
      <c r="BJ106" s="66" t="n">
        <f aca="false">COUNTIFS(Данные!$B$2:$B$722,63,Данные!$C$2:$C$722,2,Данные!$A$2:$A$722,"&gt;="&amp;7725750000,Данные!$A$2:$A$722,"&lt;="&amp;7725750399)</f>
        <v>0</v>
      </c>
      <c r="BK106" s="66" t="n">
        <f aca="false">COUNTIFS(Данные!$B$2:$B$722,63,Данные!$C$2:$C$722,2,Данные!$A$2:$A$722,"&gt;="&amp;7723620000,Данные!$A$2:$A$722,"&lt;="&amp;7723621299)</f>
        <v>0</v>
      </c>
      <c r="BL106" s="66" t="n">
        <f aca="false">COUNTIFS(Данные!$B$2:$B$722,63,Данные!$C$2:$C$722,2,Данные!$A$2:$A$722,"&gt;="&amp;7723621600,Данные!$A$2:$A$722,"&lt;="&amp;7723623399)</f>
        <v>0</v>
      </c>
      <c r="BM106" s="66" t="n">
        <f aca="false">COUNTIFS(Данные!$B$2:$B$722,63,Данные!$C$2:$C$722,2,Данные!$A$2:$A$722,"&gt;="&amp;7725127000,Данные!$A$2:$A$722,"&lt;="&amp;7725127999)</f>
        <v>0</v>
      </c>
      <c r="BN106" s="66" t="n">
        <f aca="false">COUNTIFS(Данные!$B$2:$B$722,63,Данные!$C$2:$C$722,2,Данные!$A$2:$A$722,"&gt;="&amp;7723772000,Данные!$A$2:$A$722,"&lt;="&amp;7723724999)</f>
        <v>0</v>
      </c>
      <c r="BO106" s="65" t="n">
        <f aca="false">COUNTIFS(Данные!$B$2:$B$722,63,Данные!$C$2:$C$722,2,Данные!$A$2:$A$722,"&gt;="&amp;7723765000,Данные!$A$2:$A$722,"&lt;="&amp;7723765499)</f>
        <v>0</v>
      </c>
      <c r="BP106" s="66" t="n">
        <f aca="false">COUNTIFS(Данные!$B$2:$B$722,63,Данные!$C$2:$C$722,2,Данные!$A$2:$A$722,"&gt;="&amp;7723948000,Данные!$A$2:$A$722,"&lt;="&amp;7723948999)</f>
        <v>0</v>
      </c>
      <c r="BQ106" s="66" t="n">
        <f aca="false">COUNTIFS(Данные!$B$2:$B$722,63,Данные!$C$2:$C$722,2,Данные!$A$2:$A$722,"&gt;="&amp;7723950000,Данные!$A$2:$A$722,"&lt;="&amp;7723951099)</f>
        <v>0</v>
      </c>
      <c r="BR106" s="66" t="n">
        <f aca="false">COUNTIFS(Данные!$B$2:$B$722,63,Данные!$C$2:$C$722,2,Данные!$A$2:$A$722,"&gt;="&amp;7723020000,Данные!$A$2:$A$722,"&lt;="&amp;7723020999)</f>
        <v>0</v>
      </c>
      <c r="BS106" s="66" t="n">
        <f aca="false">COUNTIFS(Данные!$B$2:$B$722,63,Данные!$C$2:$C$722,2,Данные!$A$2:$A$722,"&gt;="&amp;7723029000,Данные!$A$2:$A$722,"&lt;="&amp;7723029999)</f>
        <v>0</v>
      </c>
      <c r="BT106" s="66" t="n">
        <f aca="false">COUNTIFS(Данные!$B$2:$B$722,63,Данные!$C$2:$C$722,2,Данные!$A$2:$A$722,"&gt;="&amp;7723055000,Данные!$A$2:$A$722,"&lt;="&amp;7723056549)</f>
        <v>0</v>
      </c>
      <c r="BU106" s="65" t="n">
        <f aca="false">COUNTIFS(Данные!$B$2:$B$722,63,Данные!$C$2:$C$722,2,Данные!$A$2:$A$722,"&gt;="&amp;7725250000,Данные!$A$2:$A$722,"&lt;="&amp;7725250499)</f>
        <v>0</v>
      </c>
      <c r="BV106" s="66" t="n">
        <f aca="false">COUNTIFS(Данные!$B$2:$B$722,63,Данные!$C$2:$C$722,2,Данные!$A$2:$A$722,"&gt;="&amp;7183841400,Данные!$A$2:$A$722,"&lt;="&amp;7183841499)</f>
        <v>0</v>
      </c>
      <c r="BW106" s="49" t="n">
        <v>300</v>
      </c>
      <c r="BX106" s="67" t="n">
        <f aca="false">F106-BW106</f>
        <v>-297</v>
      </c>
    </row>
    <row r="107" s="15" customFormat="true" ht="12" hidden="false" customHeight="true" outlineLevel="0" collapsed="false">
      <c r="A107" s="38" t="n">
        <v>70</v>
      </c>
      <c r="B107" s="39" t="s">
        <v>95</v>
      </c>
      <c r="C107" s="41" t="n">
        <v>0</v>
      </c>
      <c r="D107" s="41" t="n">
        <v>700</v>
      </c>
      <c r="E107" s="51" t="n">
        <f aca="false">SUM(F107:F109)</f>
        <v>5</v>
      </c>
      <c r="F107" s="62" t="n">
        <f aca="false">COUNTIFS(Данные!$B$2:$B$722,70,Данные!$C$2:$C$722,0)</f>
        <v>0</v>
      </c>
      <c r="G107" s="62" t="n">
        <f aca="false">COUNTIFS(Данные!$B$2:$B$722,70,Данные!$C$2:$C$722,0,Данные!$A$2:$A$722,"&gt;="&amp;77232210840,Данные!$A$2:$A$722,"&lt;="&amp;77232216999)</f>
        <v>0</v>
      </c>
      <c r="H107" s="62" t="n">
        <f aca="false">COUNTIFS(Данные!$B$2:$B$722,70,Данные!$C$2:$C$722,0,Данные!$A$2:$A$722,"&gt;="&amp;77232510512,Данные!$A$2:$A$722,"&lt;="&amp;77232519487)</f>
        <v>0</v>
      </c>
      <c r="I107" s="62" t="n">
        <f aca="false">COUNTIFS(Данные!$B$2:$B$722,70,Данные!$C$2:$C$722,0,Данные!$A$2:$A$722,"&gt;="&amp;77232524160,Данные!$A$2:$A$722,"&lt;="&amp;77232529999)</f>
        <v>0</v>
      </c>
      <c r="J107" s="62" t="n">
        <f aca="false">COUNTIFS(Данные!$B$2:$B$722,70,Данные!$C$2:$C$722,0,Данные!$A$2:$A$722,"&gt;="&amp;77232544000,Данные!$A$2:$A$722,"&lt;="&amp;77232544999)</f>
        <v>0</v>
      </c>
      <c r="K107" s="62" t="n">
        <f aca="false">COUNTIFS(Данные!$B$2:$B$722,70,Данные!$C$2:$C$722,0,Данные!$A$2:$A$722,"&gt;="&amp;77232295504,Данные!$A$2:$A$722,"&lt;="&amp;77232296999)</f>
        <v>0</v>
      </c>
      <c r="L107" s="62" t="n">
        <f aca="false">COUNTIFS(Данные!$B$2:$B$722,70,Данные!$C$2:$C$722,0,Данные!$A$2:$A$722,"&gt;="&amp;77232785000,Данные!$A$2:$A$722,"&lt;="&amp;77232789999)</f>
        <v>0</v>
      </c>
      <c r="M107" s="62" t="n">
        <f aca="false">COUNTIFS(Данные!$B$2:$B$722,70,Данные!$C$2:$C$722,0,Данные!$A$2:$A$722,"&gt;="&amp;77233150000,Данные!$A$2:$A$722,"&lt;="&amp;77233155999)</f>
        <v>0</v>
      </c>
      <c r="N107" s="62" t="n">
        <f aca="false">COUNTIFS(Данные!$B$2:$B$722,70,Данные!$C$2:$C$722,0,Данные!$A$2:$A$722,"&gt;="&amp;77233235000,Данные!$A$2:$A$722,"&lt;="&amp;77233235999)</f>
        <v>0</v>
      </c>
      <c r="O107" s="62" t="n">
        <f aca="false">COUNTIFS(Данные!$B$2:$B$722,70,Данные!$C$2:$C$722,0,Данные!$A$2:$A$722,"&gt;="&amp;77233239000,Данные!$A$2:$A$722,"&lt;="&amp;77233239999)</f>
        <v>0</v>
      </c>
      <c r="P107" s="62" t="n">
        <f aca="false">COUNTIFS(Данные!$B$2:$B$722,70,Данные!$C$2:$C$722,0,Данные!$A$2:$A$722,"&gt;="&amp;77233272000,Данные!$A$2:$A$722,"&lt;="&amp;77233272999)</f>
        <v>0</v>
      </c>
      <c r="Q107" s="62" t="n">
        <f aca="false">COUNTIFS(Данные!$B$2:$B$722,70,Данные!$C$2:$C$722,0,Данные!$A$2:$A$722,"&gt;="&amp;77233291100,Данные!$A$2:$A$722,"&lt;="&amp;77233292999)</f>
        <v>0</v>
      </c>
      <c r="R107" s="62" t="n">
        <f aca="false">COUNTIFS(Данные!$B$2:$B$722,70,Данные!$C$2:$C$722,0,Данные!$A$2:$A$722,"&gt;="&amp;77233297000,Данные!$A$2:$A$722,"&lt;="&amp;77233298399)</f>
        <v>0</v>
      </c>
      <c r="S107" s="62" t="n">
        <f aca="false">COUNTIFS(Данные!$B$2:$B$722,70,Данные!$C$2:$C$722,0,Данные!$A$2:$A$722,"&gt;="&amp;77235124000,Данные!$A$2:$A$722,"&lt;="&amp;77235128499)</f>
        <v>0</v>
      </c>
      <c r="T107" s="62" t="n">
        <f aca="false">COUNTIFS(Данные!$B$2:$B$722,70,Данные!$C$2:$C$722,0,Данные!$A$2:$A$722,"&gt;="&amp;77235320000,Данные!$A$2:$A$722,"&lt;="&amp;77235320999)</f>
        <v>0</v>
      </c>
      <c r="U107" s="62" t="n">
        <f aca="false">COUNTIFS(Данные!$B$2:$B$722,70,Данные!$C$2:$C$722,0,Данные!$A$2:$A$722,"&gt;="&amp;77233620000,Данные!$A$2:$A$722,"&lt;="&amp;77233623339)</f>
        <v>0</v>
      </c>
      <c r="V107" s="62" t="n">
        <f aca="false">COUNTIFS(Данные!$B$2:$B$722,70,Данные!$C$2:$C$722,0,Данные!$A$2:$A$722,"&gt;="&amp;77233630000,Данные!$A$2:$A$722,"&lt;="&amp;77233630999)</f>
        <v>0</v>
      </c>
      <c r="W107" s="62" t="n">
        <f aca="false">COUNTIFS(Данные!$B$2:$B$722,70,Данные!$C$2:$C$722,0,Данные!$A$2:$A$722,"&gt;="&amp;77233637000,Данные!$A$2:$A$722,"&lt;="&amp;77233637599)</f>
        <v>0</v>
      </c>
      <c r="X107" s="62" t="n">
        <f aca="false">COUNTIFS(Данные!$B$2:$B$722,70,Данные!$C$2:$C$722,0,Данные!$A$2:$A$722,"&gt;="&amp;77233550000,Данные!$A$2:$A$722,"&lt;="&amp;77233550999)</f>
        <v>0</v>
      </c>
      <c r="Y107" s="62" t="n">
        <f aca="false">COUNTIFS(Данные!$B$2:$B$722,70,Данные!$C$2:$C$722,0,Данные!$A$2:$A$722,"&gt;="&amp;77233554000,Данные!$A$2:$A$722,"&lt;="&amp;77233554999)</f>
        <v>0</v>
      </c>
      <c r="Z107" s="62" t="n">
        <f aca="false">COUNTIFS(Данные!$B$2:$B$722,70,Данные!$C$2:$C$722,0,Данные!$A$2:$A$722,"&gt;="&amp;77233555000,Данные!$A$2:$A$722,"&lt;="&amp;77233556999)</f>
        <v>0</v>
      </c>
      <c r="AA107" s="62" t="n">
        <f aca="false">COUNTIFS(Данные!$B$2:$B$722,70,Данные!$C$2:$C$722,0,Данные!$A$2:$A$722,"&gt;="&amp;77233726000,Данные!$A$2:$A$722,"&lt;="&amp;77233726999)</f>
        <v>0</v>
      </c>
      <c r="AB107" s="62" t="n">
        <f aca="false">COUNTIFS(Данные!$B$2:$B$722,70,Данные!$C$2:$C$722,0,Данные!$A$2:$A$722,"&gt;="&amp;77233820000,Данные!$A$2:$A$722,"&lt;="&amp;77233820999)</f>
        <v>0</v>
      </c>
      <c r="AC107" s="62" t="n">
        <f aca="false">COUNTIFS(Данные!$B$2:$B$722,70,Данные!$C$2:$C$722,0,Данные!$A$2:$A$722,"&gt;="&amp;77233850000,Данные!$A$2:$A$722,"&lt;="&amp;77233850999)</f>
        <v>0</v>
      </c>
      <c r="AD107" s="62" t="n">
        <f aca="false">COUNTIFS(Данные!$B$2:$B$722,70,Данные!$C$2:$C$722,0,Данные!$A$2:$A$722,"&gt;="&amp;77233420000,Данные!$A$2:$A$722,"&lt;="&amp;77233420999)</f>
        <v>0</v>
      </c>
      <c r="AE107" s="62" t="n">
        <f aca="false">COUNTIFS(Данные!$B$2:$B$722,70,Данные!$C$2:$C$722,0,Данные!$A$2:$A$722,"&gt;="&amp;77234740000,Данные!$A$2:$A$722,"&lt;="&amp;77234742999)</f>
        <v>0</v>
      </c>
      <c r="AF107" s="62" t="n">
        <f aca="false">COUNTIFS(Данные!$B$2:$B$722,70,Данные!$C$2:$C$722,0,Данные!$A$2:$A$722,"&gt;="&amp;77234767000,Данные!$A$2:$A$722,"&lt;="&amp;77234767999)</f>
        <v>0</v>
      </c>
      <c r="AG107" s="62" t="n">
        <f aca="false">COUNTIFS(Данные!$B$2:$B$722,70,Данные!$C$2:$C$722,0,Данные!$A$2:$A$722,"&gt;="&amp;77234120000,Данные!$A$2:$A$722,"&lt;="&amp;77234120999)</f>
        <v>0</v>
      </c>
      <c r="AH107" s="62" t="n">
        <f aca="false">COUNTIFS(Данные!$B$2:$B$722,70,Данные!$C$2:$C$722,0,Данные!$A$2:$A$722,"&gt;="&amp;77234127000,Данные!$A$2:$A$722,"&lt;="&amp;77234127999)</f>
        <v>0</v>
      </c>
      <c r="AI107" s="62" t="n">
        <f aca="false">COUNTIFS(Данные!$B$2:$B$722,70,Данные!$C$2:$C$722,0,Данные!$A$2:$A$722,"&gt;="&amp;77234220000,Данные!$A$2:$A$722,"&lt;="&amp;77234220999)</f>
        <v>0</v>
      </c>
      <c r="AJ107" s="62" t="n">
        <f aca="false">COUNTIFS(Данные!$B$2:$B$722,70,Данные!$C$2:$C$722,0,Данные!$A$2:$A$722,"&gt;="&amp;77234250000,Данные!$A$2:$A$722,"&lt;="&amp;77234250999)</f>
        <v>0</v>
      </c>
      <c r="AK107" s="62" t="n">
        <f aca="false">COUNTIFS(Данные!$B$2:$B$722,70,Данные!$C$2:$C$722,0,Данные!$A$2:$A$722,"&gt;="&amp;77233922950,Данные!$A$2:$A$722,"&lt;="&amp;77233924999)</f>
        <v>0</v>
      </c>
      <c r="AL107" s="62" t="n">
        <f aca="false">COUNTIFS(Данные!$B$2:$B$722,70,Данные!$C$2:$C$722,0,Данные!$A$2:$A$722,"&gt;="&amp;77234320000,Данные!$A$2:$A$722,"&lt;="&amp;77234320999)</f>
        <v>0</v>
      </c>
      <c r="AM107" s="62" t="n">
        <f aca="false">COUNTIFS(Данные!$B$2:$B$722,70,Данные!$C$2:$C$722,0,Данные!$A$2:$A$722,"&gt;="&amp;77234350000,Данные!$A$2:$A$722,"&lt;="&amp;77234350999)</f>
        <v>0</v>
      </c>
      <c r="AN107" s="62" t="n">
        <f aca="false">COUNTIFS(Данные!$B$2:$B$722,70,Данные!$C$2:$C$722,0,Данные!$A$2:$A$722,"&gt;="&amp;77234020000,Данные!$A$2:$A$722,"&lt;="&amp;77234020999)</f>
        <v>0</v>
      </c>
      <c r="AO107" s="62" t="n">
        <f aca="false">COUNTIFS(Данные!$B$2:$B$722,70,Данные!$C$2:$C$722,0,Данные!$A$2:$A$722,"&gt;="&amp;77234029000,Данные!$A$2:$A$722,"&lt;="&amp;77234029999)</f>
        <v>0</v>
      </c>
      <c r="AP107" s="62" t="n">
        <f aca="false">COUNTIFS(Данные!$B$2:$B$722,70,Данные!$C$2:$C$722,0,Данные!$A$2:$A$722,"&gt;="&amp;77234050000,Данные!$A$2:$A$722,"&lt;="&amp;77234050999)</f>
        <v>0</v>
      </c>
      <c r="AQ107" s="62" t="n">
        <f aca="false">COUNTIFS(Данные!$B$2:$B$722,70,Данные!$C$2:$C$722,0,Данные!$A$2:$A$722,"&gt;="&amp;77234427000,Данные!$A$2:$A$722,"&lt;="&amp;77234428999)</f>
        <v>0</v>
      </c>
      <c r="AR107" s="62" t="n">
        <f aca="false">COUNTIFS(Данные!$B$2:$B$722,70,Данные!$C$2:$C$722,0,Данные!$A$2:$A$722,"&gt;="&amp;77234450000,Данные!$A$2:$A$722,"&lt;="&amp;77234450999)</f>
        <v>0</v>
      </c>
      <c r="AS107" s="62" t="n">
        <f aca="false">COUNTIFS(Данные!$B$2:$B$722,70,Данные!$C$2:$C$722,0,Данные!$A$2:$A$722,"&gt;="&amp;77234620000,Данные!$A$2:$A$722,"&lt;="&amp;77234620999)</f>
        <v>0</v>
      </c>
      <c r="AT107" s="62" t="n">
        <f aca="false">COUNTIFS(Данные!$B$2:$B$722,70,Данные!$C$2:$C$722,0,Данные!$A$2:$A$722,"&gt;="&amp;77234650000,Данные!$A$2:$A$722,"&lt;="&amp;77234650999)</f>
        <v>0</v>
      </c>
      <c r="AU107" s="62" t="n">
        <f aca="false">COUNTIFS(Данные!$B$2:$B$722,70,Данные!$C$2:$C$722,0,Данные!$A$2:$A$722,"&gt;="&amp;77234820000,Данные!$A$2:$A$722,"&lt;="&amp;77234820999)</f>
        <v>0</v>
      </c>
      <c r="AV107" s="62" t="n">
        <f aca="false">COUNTIFS(Данные!$B$2:$B$722,70,Данные!$C$2:$C$722,0,Данные!$A$2:$A$722,"&gt;="&amp;77234850000,Данные!$A$2:$A$722,"&lt;="&amp;77234850999)</f>
        <v>0</v>
      </c>
      <c r="AW107" s="62" t="n">
        <f aca="false">COUNTIFS(Данные!$B$2:$B$722,70,Данные!$C$2:$C$722,0,Данные!$A$2:$A$722,"&gt;="&amp;77233327000,Данные!$A$2:$A$722,"&lt;="&amp;77233327999)</f>
        <v>0</v>
      </c>
      <c r="AX107" s="62" t="n">
        <f aca="false">COUNTIFS(Данные!$B$2:$B$722,70,Данные!$C$2:$C$722,0,Данные!$A$2:$A$722,"&gt;="&amp;77233350000,Данные!$A$2:$A$722,"&lt;="&amp;77233350599)</f>
        <v>0</v>
      </c>
      <c r="AY107" s="62" t="n">
        <f aca="false">COUNTIFS(Данные!$B$2:$B$722,70,Данные!$C$2:$C$722,0,Данные!$A$2:$A$722,"&gt;="&amp;77233351000,Данные!$A$2:$A$722,"&lt;="&amp;77233351999)</f>
        <v>0</v>
      </c>
      <c r="AZ107" s="62" t="n">
        <f aca="false">COUNTIFS(Данные!$B$2:$B$722,70,Данные!$C$2:$C$722,0,Данные!$A$2:$A$722,"&gt;="&amp;7722440000,Данные!$A$2:$A$722,"&lt;="&amp;7722440999)</f>
        <v>0</v>
      </c>
      <c r="BA107" s="63" t="n">
        <f aca="false">COUNTIFS(Данные!$B$2:$B$722,70,Данные!$C$2:$C$722,0,Данные!$A$2:$A$722,"&gt;="&amp;7722442000,Данные!$A$2:$A$722,"&lt;="&amp;7722445659)</f>
        <v>0</v>
      </c>
      <c r="BB107" s="63" t="n">
        <f aca="false">COUNTIFS(Данные!$B$2:$B$722,70,Данные!$C$2:$C$722,0,Данные!$A$2:$A$722,"&gt;="&amp;7722450000,Данные!$A$2:$A$722,"&lt;="&amp;7722450199)</f>
        <v>0</v>
      </c>
      <c r="BC107" s="63" t="n">
        <f aca="false">COUNTIFS(Данные!$B$2:$B$722,70,Данные!$C$2:$C$722,0,Данные!$A$2:$A$722,"&gt;="&amp;7722451000,Данные!$A$2:$A$722,"&lt;="&amp;7722451374)</f>
        <v>0</v>
      </c>
      <c r="BD107" s="63" t="n">
        <f aca="false">COUNTIFS(Данные!$B$2:$B$722,70,Данные!$C$2:$C$722,0,Данные!$A$2:$A$722,"&gt;="&amp;7722452000,Данные!$A$2:$A$722,"&lt;="&amp;7722452299)</f>
        <v>0</v>
      </c>
      <c r="BE107" s="63" t="n">
        <f aca="false">COUNTIFS(Данные!$B$2:$B$722,70,Данные!$C$2:$C$722,0,Данные!$A$2:$A$722,"&gt;="&amp;7722453000,Данные!$A$2:$A$722,"&lt;="&amp;7722453816)</f>
        <v>0</v>
      </c>
      <c r="BF107" s="63" t="n">
        <f aca="false">COUNTIFS(Данные!$B$2:$B$722,70,Данные!$C$2:$C$722,0,Данные!$A$2:$A$722,"&gt;="&amp;7722454000,Данные!$A$2:$A$722,"&lt;="&amp;7722454099)</f>
        <v>0</v>
      </c>
      <c r="BG107" s="63" t="n">
        <f aca="false">COUNTIFS(Данные!$B$2:$B$722,70,Данные!$C$2:$C$722,0,Данные!$A$2:$A$722,"&gt;="&amp;7722458000,Данные!$A$2:$A$722,"&lt;="&amp;7722458999)</f>
        <v>0</v>
      </c>
      <c r="BH107" s="63" t="n">
        <f aca="false">COUNTIFS(Данные!$B$2:$B$722,70,Данные!$C$2:$C$722,0,Данные!$A$2:$A$722,"&gt;="&amp;7722630000,Данные!$A$2:$A$722,"&lt;="&amp;7722638549)</f>
        <v>0</v>
      </c>
      <c r="BI107" s="63" t="n">
        <f aca="false">COUNTIFS(Данные!$B$2:$B$722,70,Данные!$C$2:$C$722,0,Данные!$A$2:$A$722,"&gt;="&amp;7722639400,Данные!$A$2:$A$722,"&lt;="&amp;7722639899)</f>
        <v>0</v>
      </c>
      <c r="BJ107" s="63" t="n">
        <f aca="false">COUNTIFS(Данные!$B$2:$B$722,70,Данные!$C$2:$C$722,0,Данные!$A$2:$A$722,"&gt;="&amp;7725750000,Данные!$A$2:$A$722,"&lt;="&amp;7725750399)</f>
        <v>0</v>
      </c>
      <c r="BK107" s="63" t="n">
        <f aca="false">COUNTIFS(Данные!$B$2:$B$722,70,Данные!$C$2:$C$722,0,Данные!$A$2:$A$722,"&gt;="&amp;7723620000,Данные!$A$2:$A$722,"&lt;="&amp;7723621299)</f>
        <v>0</v>
      </c>
      <c r="BL107" s="63" t="n">
        <f aca="false">COUNTIFS(Данные!$B$2:$B$722,70,Данные!$C$2:$C$722,0,Данные!$A$2:$A$722,"&gt;="&amp;7723621600,Данные!$A$2:$A$722,"&lt;="&amp;7723623399)</f>
        <v>0</v>
      </c>
      <c r="BM107" s="63" t="n">
        <f aca="false">COUNTIFS(Данные!$B$2:$B$722,70,Данные!$C$2:$C$722,0,Данные!$A$2:$A$722,"&gt;="&amp;7725127000,Данные!$A$2:$A$722,"&lt;="&amp;7725127999)</f>
        <v>0</v>
      </c>
      <c r="BN107" s="63" t="n">
        <f aca="false">COUNTIFS(Данные!$B$2:$B$722,70,Данные!$C$2:$C$722,0,Данные!$A$2:$A$722,"&gt;="&amp;7723772000,Данные!$A$2:$A$722,"&lt;="&amp;7723724999)</f>
        <v>0</v>
      </c>
      <c r="BO107" s="62" t="n">
        <f aca="false">COUNTIFS(Данные!$B$2:$B$722,70,Данные!$C$2:$C$722,0,Данные!$A$2:$A$722,"&gt;="&amp;7723765000,Данные!$A$2:$A$722,"&lt;="&amp;7723765499)</f>
        <v>0</v>
      </c>
      <c r="BP107" s="63" t="n">
        <f aca="false">COUNTIFS(Данные!$B$2:$B$722,70,Данные!$C$2:$C$722,0,Данные!$A$2:$A$722,"&gt;="&amp;7723948000,Данные!$A$2:$A$722,"&lt;="&amp;7723948999)</f>
        <v>0</v>
      </c>
      <c r="BQ107" s="63" t="n">
        <f aca="false">COUNTIFS(Данные!$B$2:$B$722,70,Данные!$C$2:$C$722,0,Данные!$A$2:$A$722,"&gt;="&amp;7723950000,Данные!$A$2:$A$722,"&lt;="&amp;7723951099)</f>
        <v>0</v>
      </c>
      <c r="BR107" s="63" t="n">
        <f aca="false">COUNTIFS(Данные!$B$2:$B$722,70,Данные!$C$2:$C$722,0,Данные!$A$2:$A$722,"&gt;="&amp;7723020000,Данные!$A$2:$A$722,"&lt;="&amp;7723020999)</f>
        <v>0</v>
      </c>
      <c r="BS107" s="63" t="n">
        <f aca="false">COUNTIFS(Данные!$B$2:$B$722,70,Данные!$C$2:$C$722,0,Данные!$A$2:$A$722,"&gt;="&amp;7723029000,Данные!$A$2:$A$722,"&lt;="&amp;7723029999)</f>
        <v>0</v>
      </c>
      <c r="BT107" s="63" t="n">
        <f aca="false">COUNTIFS(Данные!$B$2:$B$722,70,Данные!$C$2:$C$722,0,Данные!$A$2:$A$722,"&gt;="&amp;7723055000,Данные!$A$2:$A$722,"&lt;="&amp;7723056549)</f>
        <v>0</v>
      </c>
      <c r="BU107" s="62" t="n">
        <f aca="false">COUNTIFS(Данные!$B$2:$B$722,70,Данные!$C$2:$C$722,0,Данные!$A$2:$A$722,"&gt;="&amp;7725250000,Данные!$A$2:$A$722,"&lt;="&amp;7725250499)</f>
        <v>0</v>
      </c>
      <c r="BV107" s="63" t="n">
        <f aca="false">COUNTIFS(Данные!$B$2:$B$722,70,Данные!$C$2:$C$722,0,Данные!$A$2:$A$722,"&gt;="&amp;7183841400,Данные!$A$2:$A$722,"&lt;="&amp;7183841499)</f>
        <v>0</v>
      </c>
      <c r="BW107" s="40" t="n">
        <v>300</v>
      </c>
      <c r="BX107" s="64" t="n">
        <f aca="false">F107-BW107</f>
        <v>-300</v>
      </c>
    </row>
    <row r="108" s="15" customFormat="true" ht="12" hidden="false" customHeight="true" outlineLevel="0" collapsed="false">
      <c r="A108" s="38"/>
      <c r="B108" s="39"/>
      <c r="C108" s="41" t="n">
        <v>1</v>
      </c>
      <c r="D108" s="41" t="n">
        <v>701</v>
      </c>
      <c r="E108" s="51"/>
      <c r="F108" s="62" t="n">
        <f aca="false">COUNTIFS(Данные!$B$2:$B$722,70,Данные!$C$2:$C$722,1)</f>
        <v>0</v>
      </c>
      <c r="G108" s="62" t="n">
        <f aca="false">COUNTIFS(Данные!$B$2:$B$722,70,Данные!$C$2:$C$722,1,Данные!$A$2:$A$722,"&gt;="&amp;77232210840,Данные!$A$2:$A$722,"&lt;="&amp;77232216999)</f>
        <v>0</v>
      </c>
      <c r="H108" s="62" t="n">
        <f aca="false">COUNTIFS(Данные!$B$2:$B$722,70,Данные!$C$2:$C$722,1,Данные!$A$2:$A$722,"&gt;="&amp;77232510512,Данные!$A$2:$A$722,"&lt;="&amp;77232519487)</f>
        <v>0</v>
      </c>
      <c r="I108" s="62" t="n">
        <f aca="false">COUNTIFS(Данные!$B$2:$B$722,70,Данные!$C$2:$C$722,1,Данные!$A$2:$A$722,"&gt;="&amp;77232524160,Данные!$A$2:$A$722,"&lt;="&amp;77232529999)</f>
        <v>0</v>
      </c>
      <c r="J108" s="62" t="n">
        <f aca="false">COUNTIFS(Данные!$B$2:$B$722,70,Данные!$C$2:$C$722,1,Данные!$A$2:$A$722,"&gt;="&amp;77232544000,Данные!$A$2:$A$722,"&lt;="&amp;77232544999)</f>
        <v>0</v>
      </c>
      <c r="K108" s="62" t="n">
        <f aca="false">COUNTIFS(Данные!$B$2:$B$722,70,Данные!$C$2:$C$722,1,Данные!$A$2:$A$722,"&gt;="&amp;77232295504,Данные!$A$2:$A$722,"&lt;="&amp;77232296999)</f>
        <v>0</v>
      </c>
      <c r="L108" s="62" t="n">
        <f aca="false">COUNTIFS(Данные!$B$2:$B$722,70,Данные!$C$2:$C$722,1,Данные!$A$2:$A$722,"&gt;="&amp;77232785000,Данные!$A$2:$A$722,"&lt;="&amp;77232789999)</f>
        <v>0</v>
      </c>
      <c r="M108" s="62" t="n">
        <f aca="false">COUNTIFS(Данные!$B$2:$B$722,70,Данные!$C$2:$C$722,1,Данные!$A$2:$A$722,"&gt;="&amp;77233150000,Данные!$A$2:$A$722,"&lt;="&amp;77233155999)</f>
        <v>0</v>
      </c>
      <c r="N108" s="62" t="n">
        <f aca="false">COUNTIFS(Данные!$B$2:$B$722,70,Данные!$C$2:$C$722,1,Данные!$A$2:$A$722,"&gt;="&amp;77233235000,Данные!$A$2:$A$722,"&lt;="&amp;77233235999)</f>
        <v>0</v>
      </c>
      <c r="O108" s="62" t="n">
        <f aca="false">COUNTIFS(Данные!$B$2:$B$722,70,Данные!$C$2:$C$722,1,Данные!$A$2:$A$722,"&gt;="&amp;77233239000,Данные!$A$2:$A$722,"&lt;="&amp;77233239999)</f>
        <v>0</v>
      </c>
      <c r="P108" s="62" t="n">
        <f aca="false">COUNTIFS(Данные!$B$2:$B$722,70,Данные!$C$2:$C$722,1,Данные!$A$2:$A$722,"&gt;="&amp;77233272000,Данные!$A$2:$A$722,"&lt;="&amp;77233272999)</f>
        <v>0</v>
      </c>
      <c r="Q108" s="62" t="n">
        <f aca="false">COUNTIFS(Данные!$B$2:$B$722,70,Данные!$C$2:$C$722,1,Данные!$A$2:$A$722,"&gt;="&amp;77233291100,Данные!$A$2:$A$722,"&lt;="&amp;77233292999)</f>
        <v>0</v>
      </c>
      <c r="R108" s="62" t="n">
        <f aca="false">COUNTIFS(Данные!$B$2:$B$722,70,Данные!$C$2:$C$722,1,Данные!$A$2:$A$722,"&gt;="&amp;77233297000,Данные!$A$2:$A$722,"&lt;="&amp;77233298399)</f>
        <v>0</v>
      </c>
      <c r="S108" s="62" t="n">
        <f aca="false">COUNTIFS(Данные!$B$2:$B$722,70,Данные!$C$2:$C$722,1,Данные!$A$2:$A$722,"&gt;="&amp;77235124000,Данные!$A$2:$A$722,"&lt;="&amp;77235128499)</f>
        <v>0</v>
      </c>
      <c r="T108" s="62" t="n">
        <f aca="false">COUNTIFS(Данные!$B$2:$B$722,70,Данные!$C$2:$C$722,1,Данные!$A$2:$A$722,"&gt;="&amp;77235320000,Данные!$A$2:$A$722,"&lt;="&amp;77235320999)</f>
        <v>0</v>
      </c>
      <c r="U108" s="62" t="n">
        <f aca="false">COUNTIFS(Данные!$B$2:$B$722,70,Данные!$C$2:$C$722,1,Данные!$A$2:$A$722,"&gt;="&amp;77233620000,Данные!$A$2:$A$722,"&lt;="&amp;77233623339)</f>
        <v>0</v>
      </c>
      <c r="V108" s="62" t="n">
        <f aca="false">COUNTIFS(Данные!$B$2:$B$722,70,Данные!$C$2:$C$722,1,Данные!$A$2:$A$722,"&gt;="&amp;77233630000,Данные!$A$2:$A$722,"&lt;="&amp;77233630999)</f>
        <v>0</v>
      </c>
      <c r="W108" s="62" t="n">
        <f aca="false">COUNTIFS(Данные!$B$2:$B$722,70,Данные!$C$2:$C$722,1,Данные!$A$2:$A$722,"&gt;="&amp;77233637000,Данные!$A$2:$A$722,"&lt;="&amp;77233637599)</f>
        <v>0</v>
      </c>
      <c r="X108" s="62" t="n">
        <f aca="false">COUNTIFS(Данные!$B$2:$B$722,70,Данные!$C$2:$C$722,1,Данные!$A$2:$A$722,"&gt;="&amp;77233550000,Данные!$A$2:$A$722,"&lt;="&amp;77233550999)</f>
        <v>0</v>
      </c>
      <c r="Y108" s="62" t="n">
        <f aca="false">COUNTIFS(Данные!$B$2:$B$722,70,Данные!$C$2:$C$722,1,Данные!$A$2:$A$722,"&gt;="&amp;77233554000,Данные!$A$2:$A$722,"&lt;="&amp;77233554999)</f>
        <v>0</v>
      </c>
      <c r="Z108" s="62" t="n">
        <f aca="false">COUNTIFS(Данные!$B$2:$B$722,70,Данные!$C$2:$C$722,1,Данные!$A$2:$A$722,"&gt;="&amp;77233555000,Данные!$A$2:$A$722,"&lt;="&amp;77233556999)</f>
        <v>0</v>
      </c>
      <c r="AA108" s="62" t="n">
        <f aca="false">COUNTIFS(Данные!$B$2:$B$722,70,Данные!$C$2:$C$722,1,Данные!$A$2:$A$722,"&gt;="&amp;77233726000,Данные!$A$2:$A$722,"&lt;="&amp;77233726999)</f>
        <v>0</v>
      </c>
      <c r="AB108" s="62" t="n">
        <f aca="false">COUNTIFS(Данные!$B$2:$B$722,70,Данные!$C$2:$C$722,1,Данные!$A$2:$A$722,"&gt;="&amp;77233820000,Данные!$A$2:$A$722,"&lt;="&amp;77233820999)</f>
        <v>0</v>
      </c>
      <c r="AC108" s="62" t="n">
        <f aca="false">COUNTIFS(Данные!$B$2:$B$722,70,Данные!$C$2:$C$722,1,Данные!$A$2:$A$722,"&gt;="&amp;77233850000,Данные!$A$2:$A$722,"&lt;="&amp;77233850999)</f>
        <v>0</v>
      </c>
      <c r="AD108" s="62" t="n">
        <f aca="false">COUNTIFS(Данные!$B$2:$B$722,70,Данные!$C$2:$C$722,1,Данные!$A$2:$A$722,"&gt;="&amp;77233420000,Данные!$A$2:$A$722,"&lt;="&amp;77233420999)</f>
        <v>0</v>
      </c>
      <c r="AE108" s="62" t="n">
        <f aca="false">COUNTIFS(Данные!$B$2:$B$722,70,Данные!$C$2:$C$722,1,Данные!$A$2:$A$722,"&gt;="&amp;77234740000,Данные!$A$2:$A$722,"&lt;="&amp;77234742999)</f>
        <v>0</v>
      </c>
      <c r="AF108" s="62" t="n">
        <f aca="false">COUNTIFS(Данные!$B$2:$B$722,70,Данные!$C$2:$C$722,1,Данные!$A$2:$A$722,"&gt;="&amp;77234767000,Данные!$A$2:$A$722,"&lt;="&amp;77234767999)</f>
        <v>0</v>
      </c>
      <c r="AG108" s="62" t="n">
        <f aca="false">COUNTIFS(Данные!$B$2:$B$722,70,Данные!$C$2:$C$722,1,Данные!$A$2:$A$722,"&gt;="&amp;77234120000,Данные!$A$2:$A$722,"&lt;="&amp;77234120999)</f>
        <v>0</v>
      </c>
      <c r="AH108" s="62" t="n">
        <f aca="false">COUNTIFS(Данные!$B$2:$B$722,70,Данные!$C$2:$C$722,1,Данные!$A$2:$A$722,"&gt;="&amp;77234127000,Данные!$A$2:$A$722,"&lt;="&amp;77234127999)</f>
        <v>0</v>
      </c>
      <c r="AI108" s="62" t="n">
        <f aca="false">COUNTIFS(Данные!$B$2:$B$722,70,Данные!$C$2:$C$722,1,Данные!$A$2:$A$722,"&gt;="&amp;77234220000,Данные!$A$2:$A$722,"&lt;="&amp;77234220999)</f>
        <v>0</v>
      </c>
      <c r="AJ108" s="62" t="n">
        <f aca="false">COUNTIFS(Данные!$B$2:$B$722,70,Данные!$C$2:$C$722,1,Данные!$A$2:$A$722,"&gt;="&amp;77234250000,Данные!$A$2:$A$722,"&lt;="&amp;77234250999)</f>
        <v>0</v>
      </c>
      <c r="AK108" s="62" t="n">
        <f aca="false">COUNTIFS(Данные!$B$2:$B$722,70,Данные!$C$2:$C$722,1,Данные!$A$2:$A$722,"&gt;="&amp;77233922950,Данные!$A$2:$A$722,"&lt;="&amp;77233924999)</f>
        <v>0</v>
      </c>
      <c r="AL108" s="62" t="n">
        <f aca="false">COUNTIFS(Данные!$B$2:$B$722,70,Данные!$C$2:$C$722,1,Данные!$A$2:$A$722,"&gt;="&amp;77234320000,Данные!$A$2:$A$722,"&lt;="&amp;77234320999)</f>
        <v>0</v>
      </c>
      <c r="AM108" s="62" t="n">
        <f aca="false">COUNTIFS(Данные!$B$2:$B$722,70,Данные!$C$2:$C$722,1,Данные!$A$2:$A$722,"&gt;="&amp;77234350000,Данные!$A$2:$A$722,"&lt;="&amp;77234350999)</f>
        <v>0</v>
      </c>
      <c r="AN108" s="62" t="n">
        <f aca="false">COUNTIFS(Данные!$B$2:$B$722,70,Данные!$C$2:$C$722,1,Данные!$A$2:$A$722,"&gt;="&amp;77234020000,Данные!$A$2:$A$722,"&lt;="&amp;77234020999)</f>
        <v>0</v>
      </c>
      <c r="AO108" s="62" t="n">
        <f aca="false">COUNTIFS(Данные!$B$2:$B$722,70,Данные!$C$2:$C$722,1,Данные!$A$2:$A$722,"&gt;="&amp;77234029000,Данные!$A$2:$A$722,"&lt;="&amp;77234029999)</f>
        <v>0</v>
      </c>
      <c r="AP108" s="62" t="n">
        <f aca="false">COUNTIFS(Данные!$B$2:$B$722,70,Данные!$C$2:$C$722,1,Данные!$A$2:$A$722,"&gt;="&amp;77234050000,Данные!$A$2:$A$722,"&lt;="&amp;77234050999)</f>
        <v>0</v>
      </c>
      <c r="AQ108" s="62" t="n">
        <f aca="false">COUNTIFS(Данные!$B$2:$B$722,70,Данные!$C$2:$C$722,1,Данные!$A$2:$A$722,"&gt;="&amp;77234427000,Данные!$A$2:$A$722,"&lt;="&amp;77234428999)</f>
        <v>0</v>
      </c>
      <c r="AR108" s="62" t="n">
        <f aca="false">COUNTIFS(Данные!$B$2:$B$722,70,Данные!$C$2:$C$722,1,Данные!$A$2:$A$722,"&gt;="&amp;77234450000,Данные!$A$2:$A$722,"&lt;="&amp;77234450999)</f>
        <v>0</v>
      </c>
      <c r="AS108" s="62" t="n">
        <f aca="false">COUNTIFS(Данные!$B$2:$B$722,70,Данные!$C$2:$C$722,1,Данные!$A$2:$A$722,"&gt;="&amp;77234620000,Данные!$A$2:$A$722,"&lt;="&amp;77234620999)</f>
        <v>0</v>
      </c>
      <c r="AT108" s="62" t="n">
        <f aca="false">COUNTIFS(Данные!$B$2:$B$722,70,Данные!$C$2:$C$722,1,Данные!$A$2:$A$722,"&gt;="&amp;77234650000,Данные!$A$2:$A$722,"&lt;="&amp;77234650999)</f>
        <v>0</v>
      </c>
      <c r="AU108" s="62" t="n">
        <f aca="false">COUNTIFS(Данные!$B$2:$B$722,70,Данные!$C$2:$C$722,1,Данные!$A$2:$A$722,"&gt;="&amp;77234820000,Данные!$A$2:$A$722,"&lt;="&amp;77234820999)</f>
        <v>0</v>
      </c>
      <c r="AV108" s="62" t="n">
        <f aca="false">COUNTIFS(Данные!$B$2:$B$722,70,Данные!$C$2:$C$722,1,Данные!$A$2:$A$722,"&gt;="&amp;77234850000,Данные!$A$2:$A$722,"&lt;="&amp;77234850999)</f>
        <v>0</v>
      </c>
      <c r="AW108" s="62" t="n">
        <f aca="false">COUNTIFS(Данные!$B$2:$B$722,70,Данные!$C$2:$C$722,1,Данные!$A$2:$A$722,"&gt;="&amp;77233327000,Данные!$A$2:$A$722,"&lt;="&amp;77233327999)</f>
        <v>0</v>
      </c>
      <c r="AX108" s="62" t="n">
        <f aca="false">COUNTIFS(Данные!$B$2:$B$722,70,Данные!$C$2:$C$722,1,Данные!$A$2:$A$722,"&gt;="&amp;77233350000,Данные!$A$2:$A$722,"&lt;="&amp;77233350599)</f>
        <v>0</v>
      </c>
      <c r="AY108" s="62" t="n">
        <f aca="false">COUNTIFS(Данные!$B$2:$B$722,70,Данные!$C$2:$C$722,1,Данные!$A$2:$A$722,"&gt;="&amp;77233351000,Данные!$A$2:$A$722,"&lt;="&amp;77233351999)</f>
        <v>0</v>
      </c>
      <c r="AZ108" s="63" t="n">
        <f aca="false">COUNTIFS(Данные!$B$2:$B$722,70,Данные!$C$2:$C$722,1,Данные!$A$2:$A$722,"&gt;="&amp;7722440000,Данные!$A$2:$A$722,"&lt;="&amp;7722440999)</f>
        <v>0</v>
      </c>
      <c r="BA108" s="63" t="n">
        <f aca="false">COUNTIFS(Данные!$B$2:$B$722,70,Данные!$C$2:$C$722,1,Данные!$A$2:$A$722,"&gt;="&amp;7722442000,Данные!$A$2:$A$722,"&lt;="&amp;7722445659)</f>
        <v>0</v>
      </c>
      <c r="BB108" s="63" t="n">
        <f aca="false">COUNTIFS(Данные!$B$2:$B$722,70,Данные!$C$2:$C$722,1,Данные!$A$2:$A$722,"&gt;="&amp;7722450000,Данные!$A$2:$A$722,"&lt;="&amp;7722450199)</f>
        <v>0</v>
      </c>
      <c r="BC108" s="63" t="n">
        <f aca="false">COUNTIFS(Данные!$B$2:$B$722,70,Данные!$C$2:$C$722,1,Данные!$A$2:$A$722,"&gt;="&amp;7722451000,Данные!$A$2:$A$722,"&lt;="&amp;7722451374)</f>
        <v>0</v>
      </c>
      <c r="BD108" s="63" t="n">
        <f aca="false">COUNTIFS(Данные!$B$2:$B$722,70,Данные!$C$2:$C$722,1,Данные!$A$2:$A$722,"&gt;="&amp;7722452000,Данные!$A$2:$A$722,"&lt;="&amp;7722452299)</f>
        <v>0</v>
      </c>
      <c r="BE108" s="63" t="n">
        <f aca="false">COUNTIFS(Данные!$B$2:$B$722,70,Данные!$C$2:$C$722,1,Данные!$A$2:$A$722,"&gt;="&amp;7722453000,Данные!$A$2:$A$722,"&lt;="&amp;7722453816)</f>
        <v>0</v>
      </c>
      <c r="BF108" s="63" t="n">
        <f aca="false">COUNTIFS(Данные!$B$2:$B$722,70,Данные!$C$2:$C$722,1,Данные!$A$2:$A$722,"&gt;="&amp;7722454000,Данные!$A$2:$A$722,"&lt;="&amp;7722454099)</f>
        <v>0</v>
      </c>
      <c r="BG108" s="63" t="n">
        <f aca="false">COUNTIFS(Данные!$B$2:$B$722,70,Данные!$C$2:$C$722,1,Данные!$A$2:$A$722,"&gt;="&amp;7722458000,Данные!$A$2:$A$722,"&lt;="&amp;7722458999)</f>
        <v>0</v>
      </c>
      <c r="BH108" s="63" t="n">
        <f aca="false">COUNTIFS(Данные!$B$2:$B$722,70,Данные!$C$2:$C$722,1,Данные!$A$2:$A$722,"&gt;="&amp;7722630000,Данные!$A$2:$A$722,"&lt;="&amp;7722638549)</f>
        <v>0</v>
      </c>
      <c r="BI108" s="63" t="n">
        <f aca="false">COUNTIFS(Данные!$B$2:$B$722,70,Данные!$C$2:$C$722,1,Данные!$A$2:$A$722,"&gt;="&amp;7722639400,Данные!$A$2:$A$722,"&lt;="&amp;7722639899)</f>
        <v>0</v>
      </c>
      <c r="BJ108" s="63" t="n">
        <f aca="false">COUNTIFS(Данные!$B$2:$B$722,70,Данные!$C$2:$C$722,1,Данные!$A$2:$A$722,"&gt;="&amp;7725750000,Данные!$A$2:$A$722,"&lt;="&amp;7725750399)</f>
        <v>0</v>
      </c>
      <c r="BK108" s="63" t="n">
        <f aca="false">COUNTIFS(Данные!$B$2:$B$722,70,Данные!$C$2:$C$722,1,Данные!$A$2:$A$722,"&gt;="&amp;7723620000,Данные!$A$2:$A$722,"&lt;="&amp;7723621299)</f>
        <v>0</v>
      </c>
      <c r="BL108" s="63" t="n">
        <f aca="false">COUNTIFS(Данные!$B$2:$B$722,70,Данные!$C$2:$C$722,1,Данные!$A$2:$A$722,"&gt;="&amp;7723621600,Данные!$A$2:$A$722,"&lt;="&amp;7723623399)</f>
        <v>0</v>
      </c>
      <c r="BM108" s="63" t="n">
        <f aca="false">COUNTIFS(Данные!$B$2:$B$722,70,Данные!$C$2:$C$722,1,Данные!$A$2:$A$722,"&gt;="&amp;7725127000,Данные!$A$2:$A$722,"&lt;="&amp;7725127999)</f>
        <v>0</v>
      </c>
      <c r="BN108" s="63" t="n">
        <f aca="false">COUNTIFS(Данные!$B$2:$B$722,70,Данные!$C$2:$C$722,1,Данные!$A$2:$A$722,"&gt;="&amp;7723772000,Данные!$A$2:$A$722,"&lt;="&amp;7723724999)</f>
        <v>0</v>
      </c>
      <c r="BO108" s="62" t="n">
        <f aca="false">COUNTIFS(Данные!$B$2:$B$722,70,Данные!$C$2:$C$722,1,Данные!$A$2:$A$722,"&gt;="&amp;7723765000,Данные!$A$2:$A$722,"&lt;="&amp;7723765499)</f>
        <v>0</v>
      </c>
      <c r="BP108" s="63" t="n">
        <f aca="false">COUNTIFS(Данные!$B$2:$B$722,70,Данные!$C$2:$C$722,1,Данные!$A$2:$A$722,"&gt;="&amp;7723948000,Данные!$A$2:$A$722,"&lt;="&amp;7723948999)</f>
        <v>0</v>
      </c>
      <c r="BQ108" s="63" t="n">
        <f aca="false">COUNTIFS(Данные!$B$2:$B$722,70,Данные!$C$2:$C$722,1,Данные!$A$2:$A$722,"&gt;="&amp;7723950000,Данные!$A$2:$A$722,"&lt;="&amp;7723951099)</f>
        <v>0</v>
      </c>
      <c r="BR108" s="63" t="n">
        <f aca="false">COUNTIFS(Данные!$B$2:$B$722,70,Данные!$C$2:$C$722,1,Данные!$A$2:$A$722,"&gt;="&amp;7723020000,Данные!$A$2:$A$722,"&lt;="&amp;7723020999)</f>
        <v>0</v>
      </c>
      <c r="BS108" s="63" t="n">
        <f aca="false">COUNTIFS(Данные!$B$2:$B$722,70,Данные!$C$2:$C$722,1,Данные!$A$2:$A$722,"&gt;="&amp;7723029000,Данные!$A$2:$A$722,"&lt;="&amp;7723029999)</f>
        <v>0</v>
      </c>
      <c r="BT108" s="63" t="n">
        <f aca="false">COUNTIFS(Данные!$B$2:$B$722,70,Данные!$C$2:$C$722,1,Данные!$A$2:$A$722,"&gt;="&amp;7723055000,Данные!$A$2:$A$722,"&lt;="&amp;7723056549)</f>
        <v>0</v>
      </c>
      <c r="BU108" s="62" t="n">
        <f aca="false">COUNTIFS(Данные!$B$2:$B$722,70,Данные!$C$2:$C$722,1,Данные!$A$2:$A$722,"&gt;="&amp;7725250000,Данные!$A$2:$A$722,"&lt;="&amp;7725250499)</f>
        <v>0</v>
      </c>
      <c r="BV108" s="63" t="n">
        <f aca="false">COUNTIFS(Данные!$B$2:$B$722,70,Данные!$C$2:$C$722,1,Данные!$A$2:$A$722,"&gt;="&amp;7183841400,Данные!$A$2:$A$722,"&lt;="&amp;7183841499)</f>
        <v>0</v>
      </c>
      <c r="BW108" s="40" t="n">
        <v>300</v>
      </c>
      <c r="BX108" s="64" t="n">
        <f aca="false">F108-BW108</f>
        <v>-300</v>
      </c>
    </row>
    <row r="109" s="15" customFormat="true" ht="12" hidden="false" customHeight="true" outlineLevel="0" collapsed="false">
      <c r="A109" s="38"/>
      <c r="B109" s="39"/>
      <c r="C109" s="41" t="n">
        <v>2</v>
      </c>
      <c r="D109" s="41" t="n">
        <v>702</v>
      </c>
      <c r="E109" s="51"/>
      <c r="F109" s="62" t="n">
        <f aca="false">COUNTIFS(Данные!$B$2:$B$722,70,Данные!$C$2:$C$722,2)</f>
        <v>5</v>
      </c>
      <c r="G109" s="62" t="n">
        <f aca="false">COUNTIFS(Данные!$B$2:$B$722,70,Данные!$C$2:$C$722,2,Данные!$A$2:$A$722,"&gt;="&amp;77232210840,Данные!$A$2:$A$722,"&lt;="&amp;77232216999)</f>
        <v>0</v>
      </c>
      <c r="H109" s="62" t="n">
        <f aca="false">COUNTIFS(Данные!$B$2:$B$722,70,Данные!$C$2:$C$722,2,Данные!$A$2:$A$722,"&gt;="&amp;77232510512,Данные!$A$2:$A$722,"&lt;="&amp;77232519487)</f>
        <v>0</v>
      </c>
      <c r="I109" s="62" t="n">
        <f aca="false">COUNTIFS(Данные!$B$2:$B$722,70,Данные!$C$2:$C$722,2,Данные!$A$2:$A$722,"&gt;="&amp;77232524160,Данные!$A$2:$A$722,"&lt;="&amp;77232529999)</f>
        <v>0</v>
      </c>
      <c r="J109" s="62" t="n">
        <f aca="false">COUNTIFS(Данные!$B$2:$B$722,70,Данные!$C$2:$C$722,2,Данные!$A$2:$A$722,"&gt;="&amp;77232544000,Данные!$A$2:$A$722,"&lt;="&amp;77232544999)</f>
        <v>0</v>
      </c>
      <c r="K109" s="62" t="n">
        <f aca="false">COUNTIFS(Данные!$B$2:$B$722,70,Данные!$C$2:$C$722,2,Данные!$A$2:$A$722,"&gt;="&amp;77232295504,Данные!$A$2:$A$722,"&lt;="&amp;77232296999)</f>
        <v>0</v>
      </c>
      <c r="L109" s="62" t="n">
        <f aca="false">COUNTIFS(Данные!$B$2:$B$722,70,Данные!$C$2:$C$722,2,Данные!$A$2:$A$722,"&gt;="&amp;77232785000,Данные!$A$2:$A$722,"&lt;="&amp;77232789999)</f>
        <v>0</v>
      </c>
      <c r="M109" s="62" t="n">
        <f aca="false">COUNTIFS(Данные!$B$2:$B$722,70,Данные!$C$2:$C$722,2,Данные!$A$2:$A$722,"&gt;="&amp;77233150000,Данные!$A$2:$A$722,"&lt;="&amp;77233155999)</f>
        <v>0</v>
      </c>
      <c r="N109" s="62" t="n">
        <f aca="false">COUNTIFS(Данные!$B$2:$B$722,70,Данные!$C$2:$C$722,2,Данные!$A$2:$A$722,"&gt;="&amp;77233235000,Данные!$A$2:$A$722,"&lt;="&amp;77233235999)</f>
        <v>0</v>
      </c>
      <c r="O109" s="62" t="n">
        <f aca="false">COUNTIFS(Данные!$B$2:$B$722,70,Данные!$C$2:$C$722,2,Данные!$A$2:$A$722,"&gt;="&amp;77233239000,Данные!$A$2:$A$722,"&lt;="&amp;77233239999)</f>
        <v>0</v>
      </c>
      <c r="P109" s="62" t="n">
        <f aca="false">COUNTIFS(Данные!$B$2:$B$722,70,Данные!$C$2:$C$722,2,Данные!$A$2:$A$722,"&gt;="&amp;77233272000,Данные!$A$2:$A$722,"&lt;="&amp;77233272999)</f>
        <v>0</v>
      </c>
      <c r="Q109" s="62" t="n">
        <f aca="false">COUNTIFS(Данные!$B$2:$B$722,70,Данные!$C$2:$C$722,2,Данные!$A$2:$A$722,"&gt;="&amp;77233291100,Данные!$A$2:$A$722,"&lt;="&amp;77233292999)</f>
        <v>0</v>
      </c>
      <c r="R109" s="62" t="n">
        <f aca="false">COUNTIFS(Данные!$B$2:$B$722,70,Данные!$C$2:$C$722,2,Данные!$A$2:$A$722,"&gt;="&amp;77233297000,Данные!$A$2:$A$722,"&lt;="&amp;77233298399)</f>
        <v>0</v>
      </c>
      <c r="S109" s="62" t="n">
        <f aca="false">COUNTIFS(Данные!$B$2:$B$722,70,Данные!$C$2:$C$722,2,Данные!$A$2:$A$722,"&gt;="&amp;77235124000,Данные!$A$2:$A$722,"&lt;="&amp;77235128499)</f>
        <v>0</v>
      </c>
      <c r="T109" s="62" t="n">
        <f aca="false">COUNTIFS(Данные!$B$2:$B$722,70,Данные!$C$2:$C$722,2,Данные!$A$2:$A$722,"&gt;="&amp;77235320000,Данные!$A$2:$A$722,"&lt;="&amp;77235320999)</f>
        <v>0</v>
      </c>
      <c r="U109" s="62" t="n">
        <f aca="false">COUNTIFS(Данные!$B$2:$B$722,70,Данные!$C$2:$C$722,2,Данные!$A$2:$A$722,"&gt;="&amp;77233620000,Данные!$A$2:$A$722,"&lt;="&amp;77233623339)</f>
        <v>0</v>
      </c>
      <c r="V109" s="62" t="n">
        <f aca="false">COUNTIFS(Данные!$B$2:$B$722,70,Данные!$C$2:$C$722,2,Данные!$A$2:$A$722,"&gt;="&amp;77233630000,Данные!$A$2:$A$722,"&lt;="&amp;77233630999)</f>
        <v>0</v>
      </c>
      <c r="W109" s="62" t="n">
        <f aca="false">COUNTIFS(Данные!$B$2:$B$722,70,Данные!$C$2:$C$722,2,Данные!$A$2:$A$722,"&gt;="&amp;77233637000,Данные!$A$2:$A$722,"&lt;="&amp;77233637599)</f>
        <v>0</v>
      </c>
      <c r="X109" s="62" t="n">
        <f aca="false">COUNTIFS(Данные!$B$2:$B$722,70,Данные!$C$2:$C$722,2,Данные!$A$2:$A$722,"&gt;="&amp;77233550000,Данные!$A$2:$A$722,"&lt;="&amp;77233550999)</f>
        <v>0</v>
      </c>
      <c r="Y109" s="62" t="n">
        <f aca="false">COUNTIFS(Данные!$B$2:$B$722,70,Данные!$C$2:$C$722,2,Данные!$A$2:$A$722,"&gt;="&amp;77233554000,Данные!$A$2:$A$722,"&lt;="&amp;77233554999)</f>
        <v>0</v>
      </c>
      <c r="Z109" s="62" t="n">
        <f aca="false">COUNTIFS(Данные!$B$2:$B$722,70,Данные!$C$2:$C$722,2,Данные!$A$2:$A$722,"&gt;="&amp;77233555000,Данные!$A$2:$A$722,"&lt;="&amp;77233556999)</f>
        <v>0</v>
      </c>
      <c r="AA109" s="62" t="n">
        <f aca="false">COUNTIFS(Данные!$B$2:$B$722,70,Данные!$C$2:$C$722,2,Данные!$A$2:$A$722,"&gt;="&amp;77233726000,Данные!$A$2:$A$722,"&lt;="&amp;77233726999)</f>
        <v>0</v>
      </c>
      <c r="AB109" s="62" t="n">
        <f aca="false">COUNTIFS(Данные!$B$2:$B$722,70,Данные!$C$2:$C$722,2,Данные!$A$2:$A$722,"&gt;="&amp;77233820000,Данные!$A$2:$A$722,"&lt;="&amp;77233820999)</f>
        <v>0</v>
      </c>
      <c r="AC109" s="62" t="n">
        <f aca="false">COUNTIFS(Данные!$B$2:$B$722,70,Данные!$C$2:$C$722,2,Данные!$A$2:$A$722,"&gt;="&amp;77233850000,Данные!$A$2:$A$722,"&lt;="&amp;77233850999)</f>
        <v>0</v>
      </c>
      <c r="AD109" s="62" t="n">
        <f aca="false">COUNTIFS(Данные!$B$2:$B$722,70,Данные!$C$2:$C$722,2,Данные!$A$2:$A$722,"&gt;="&amp;77233420000,Данные!$A$2:$A$722,"&lt;="&amp;77233420999)</f>
        <v>0</v>
      </c>
      <c r="AE109" s="62" t="n">
        <f aca="false">COUNTIFS(Данные!$B$2:$B$722,70,Данные!$C$2:$C$722,2,Данные!$A$2:$A$722,"&gt;="&amp;77234740000,Данные!$A$2:$A$722,"&lt;="&amp;77234742999)</f>
        <v>3</v>
      </c>
      <c r="AF109" s="62" t="n">
        <f aca="false">COUNTIFS(Данные!$B$2:$B$722,70,Данные!$C$2:$C$722,2,Данные!$A$2:$A$722,"&gt;="&amp;77234767000,Данные!$A$2:$A$722,"&lt;="&amp;77234767999)</f>
        <v>0</v>
      </c>
      <c r="AG109" s="62" t="n">
        <f aca="false">COUNTIFS(Данные!$B$2:$B$722,70,Данные!$C$2:$C$722,2,Данные!$A$2:$A$722,"&gt;="&amp;77234120000,Данные!$A$2:$A$722,"&lt;="&amp;77234120999)</f>
        <v>0</v>
      </c>
      <c r="AH109" s="62" t="n">
        <f aca="false">COUNTIFS(Данные!$B$2:$B$722,70,Данные!$C$2:$C$722,2,Данные!$A$2:$A$722,"&gt;="&amp;77234127000,Данные!$A$2:$A$722,"&lt;="&amp;77234127999)</f>
        <v>0</v>
      </c>
      <c r="AI109" s="62" t="n">
        <f aca="false">COUNTIFS(Данные!$B$2:$B$722,70,Данные!$C$2:$C$722,2,Данные!$A$2:$A$722,"&gt;="&amp;77234220000,Данные!$A$2:$A$722,"&lt;="&amp;77234220999)</f>
        <v>0</v>
      </c>
      <c r="AJ109" s="62" t="n">
        <f aca="false">COUNTIFS(Данные!$B$2:$B$722,70,Данные!$C$2:$C$722,2,Данные!$A$2:$A$722,"&gt;="&amp;77234250000,Данные!$A$2:$A$722,"&lt;="&amp;77234250999)</f>
        <v>0</v>
      </c>
      <c r="AK109" s="62" t="n">
        <f aca="false">COUNTIFS(Данные!$B$2:$B$722,70,Данные!$C$2:$C$722,2,Данные!$A$2:$A$722,"&gt;="&amp;77233922950,Данные!$A$2:$A$722,"&lt;="&amp;77233924999)</f>
        <v>0</v>
      </c>
      <c r="AL109" s="62" t="n">
        <f aca="false">COUNTIFS(Данные!$B$2:$B$722,70,Данные!$C$2:$C$722,2,Данные!$A$2:$A$722,"&gt;="&amp;77234320000,Данные!$A$2:$A$722,"&lt;="&amp;77234320999)</f>
        <v>0</v>
      </c>
      <c r="AM109" s="62" t="n">
        <f aca="false">COUNTIFS(Данные!$B$2:$B$722,70,Данные!$C$2:$C$722,2,Данные!$A$2:$A$722,"&gt;="&amp;77234350000,Данные!$A$2:$A$722,"&lt;="&amp;77234350999)</f>
        <v>0</v>
      </c>
      <c r="AN109" s="62" t="n">
        <f aca="false">COUNTIFS(Данные!$B$2:$B$722,70,Данные!$C$2:$C$722,2,Данные!$A$2:$A$722,"&gt;="&amp;77234020000,Данные!$A$2:$A$722,"&lt;="&amp;77234020999)</f>
        <v>0</v>
      </c>
      <c r="AO109" s="62" t="n">
        <f aca="false">COUNTIFS(Данные!$B$2:$B$722,70,Данные!$C$2:$C$722,2,Данные!$A$2:$A$722,"&gt;="&amp;77234029000,Данные!$A$2:$A$722,"&lt;="&amp;77234029999)</f>
        <v>0</v>
      </c>
      <c r="AP109" s="62" t="n">
        <f aca="false">COUNTIFS(Данные!$B$2:$B$722,70,Данные!$C$2:$C$722,2,Данные!$A$2:$A$722,"&gt;="&amp;77234050000,Данные!$A$2:$A$722,"&lt;="&amp;77234050999)</f>
        <v>0</v>
      </c>
      <c r="AQ109" s="62" t="n">
        <f aca="false">COUNTIFS(Данные!$B$2:$B$722,70,Данные!$C$2:$C$722,2,Данные!$A$2:$A$722,"&gt;="&amp;77234427000,Данные!$A$2:$A$722,"&lt;="&amp;77234428999)</f>
        <v>0</v>
      </c>
      <c r="AR109" s="62" t="n">
        <f aca="false">COUNTIFS(Данные!$B$2:$B$722,70,Данные!$C$2:$C$722,2,Данные!$A$2:$A$722,"&gt;="&amp;77234450000,Данные!$A$2:$A$722,"&lt;="&amp;77234450999)</f>
        <v>0</v>
      </c>
      <c r="AS109" s="62" t="n">
        <f aca="false">COUNTIFS(Данные!$B$2:$B$722,70,Данные!$C$2:$C$722,2,Данные!$A$2:$A$722,"&gt;="&amp;77234620000,Данные!$A$2:$A$722,"&lt;="&amp;77234620999)</f>
        <v>0</v>
      </c>
      <c r="AT109" s="62" t="n">
        <f aca="false">COUNTIFS(Данные!$B$2:$B$722,70,Данные!$C$2:$C$722,2,Данные!$A$2:$A$722,"&gt;="&amp;77234650000,Данные!$A$2:$A$722,"&lt;="&amp;77234650999)</f>
        <v>0</v>
      </c>
      <c r="AU109" s="62" t="n">
        <f aca="false">COUNTIFS(Данные!$B$2:$B$722,70,Данные!$C$2:$C$722,2,Данные!$A$2:$A$722,"&gt;="&amp;77234820000,Данные!$A$2:$A$722,"&lt;="&amp;77234820999)</f>
        <v>0</v>
      </c>
      <c r="AV109" s="62" t="n">
        <f aca="false">COUNTIFS(Данные!$B$2:$B$722,70,Данные!$C$2:$C$722,2,Данные!$A$2:$A$722,"&gt;="&amp;77234850000,Данные!$A$2:$A$722,"&lt;="&amp;77234850999)</f>
        <v>0</v>
      </c>
      <c r="AW109" s="62" t="n">
        <f aca="false">COUNTIFS(Данные!$B$2:$B$722,70,Данные!$C$2:$C$722,2,Данные!$A$2:$A$722,"&gt;="&amp;77233327000,Данные!$A$2:$A$722,"&lt;="&amp;77233327999)</f>
        <v>0</v>
      </c>
      <c r="AX109" s="62" t="n">
        <f aca="false">COUNTIFS(Данные!$B$2:$B$722,70,Данные!$C$2:$C$722,2,Данные!$A$2:$A$722,"&gt;="&amp;77233350000,Данные!$A$2:$A$722,"&lt;="&amp;77233350599)</f>
        <v>0</v>
      </c>
      <c r="AY109" s="62" t="n">
        <f aca="false">COUNTIFS(Данные!$B$2:$B$722,70,Данные!$C$2:$C$722,2,Данные!$A$2:$A$722,"&gt;="&amp;77233351000,Данные!$A$2:$A$722,"&lt;="&amp;77233351999)</f>
        <v>0</v>
      </c>
      <c r="AZ109" s="63" t="n">
        <f aca="false">COUNTIFS(Данные!$B$2:$B$722,70,Данные!$C$2:$C$722,2,Данные!$A$2:$A$722,"&gt;="&amp;7722440000,Данные!$A$2:$A$722,"&lt;="&amp;7722440999)</f>
        <v>0</v>
      </c>
      <c r="BA109" s="63" t="n">
        <f aca="false">COUNTIFS(Данные!$B$2:$B$722,70,Данные!$C$2:$C$722,2,Данные!$A$2:$A$722,"&gt;="&amp;7722442000,Данные!$A$2:$A$722,"&lt;="&amp;7722445659)</f>
        <v>0</v>
      </c>
      <c r="BB109" s="63" t="n">
        <f aca="false">COUNTIFS(Данные!$B$2:$B$722,70,Данные!$C$2:$C$722,2,Данные!$A$2:$A$722,"&gt;="&amp;7722450000,Данные!$A$2:$A$722,"&lt;="&amp;7722450199)</f>
        <v>0</v>
      </c>
      <c r="BC109" s="63" t="n">
        <f aca="false">COUNTIFS(Данные!$B$2:$B$722,70,Данные!$C$2:$C$722,2,Данные!$A$2:$A$722,"&gt;="&amp;7722451000,Данные!$A$2:$A$722,"&lt;="&amp;7722451374)</f>
        <v>0</v>
      </c>
      <c r="BD109" s="63" t="n">
        <f aca="false">COUNTIFS(Данные!$B$2:$B$722,70,Данные!$C$2:$C$722,2,Данные!$A$2:$A$722,"&gt;="&amp;7722452000,Данные!$A$2:$A$722,"&lt;="&amp;7722452299)</f>
        <v>0</v>
      </c>
      <c r="BE109" s="63" t="n">
        <f aca="false">COUNTIFS(Данные!$B$2:$B$722,70,Данные!$C$2:$C$722,2,Данные!$A$2:$A$722,"&gt;="&amp;7722453000,Данные!$A$2:$A$722,"&lt;="&amp;7722453816)</f>
        <v>0</v>
      </c>
      <c r="BF109" s="63" t="n">
        <f aca="false">COUNTIFS(Данные!$B$2:$B$722,70,Данные!$C$2:$C$722,2,Данные!$A$2:$A$722,"&gt;="&amp;7722454000,Данные!$A$2:$A$722,"&lt;="&amp;7722454099)</f>
        <v>0</v>
      </c>
      <c r="BG109" s="63" t="n">
        <f aca="false">COUNTIFS(Данные!$B$2:$B$722,70,Данные!$C$2:$C$722,2,Данные!$A$2:$A$722,"&gt;="&amp;7722458000,Данные!$A$2:$A$722,"&lt;="&amp;7722458999)</f>
        <v>0</v>
      </c>
      <c r="BH109" s="63" t="n">
        <f aca="false">COUNTIFS(Данные!$B$2:$B$722,70,Данные!$C$2:$C$722,2,Данные!$A$2:$A$722,"&gt;="&amp;7722630000,Данные!$A$2:$A$722,"&lt;="&amp;7722638549)</f>
        <v>0</v>
      </c>
      <c r="BI109" s="63" t="n">
        <f aca="false">COUNTIFS(Данные!$B$2:$B$722,70,Данные!$C$2:$C$722,2,Данные!$A$2:$A$722,"&gt;="&amp;7722639400,Данные!$A$2:$A$722,"&lt;="&amp;7722639899)</f>
        <v>0</v>
      </c>
      <c r="BJ109" s="63" t="n">
        <f aca="false">COUNTIFS(Данные!$B$2:$B$722,70,Данные!$C$2:$C$722,2,Данные!$A$2:$A$722,"&gt;="&amp;7725750000,Данные!$A$2:$A$722,"&lt;="&amp;7725750399)</f>
        <v>0</v>
      </c>
      <c r="BK109" s="63" t="n">
        <f aca="false">COUNTIFS(Данные!$B$2:$B$722,70,Данные!$C$2:$C$722,2,Данные!$A$2:$A$722,"&gt;="&amp;7723620000,Данные!$A$2:$A$722,"&lt;="&amp;7723621299)</f>
        <v>0</v>
      </c>
      <c r="BL109" s="63" t="n">
        <f aca="false">COUNTIFS(Данные!$B$2:$B$722,70,Данные!$C$2:$C$722,2,Данные!$A$2:$A$722,"&gt;="&amp;7723621600,Данные!$A$2:$A$722,"&lt;="&amp;7723623399)</f>
        <v>0</v>
      </c>
      <c r="BM109" s="63" t="n">
        <f aca="false">COUNTIFS(Данные!$B$2:$B$722,70,Данные!$C$2:$C$722,2,Данные!$A$2:$A$722,"&gt;="&amp;7725127000,Данные!$A$2:$A$722,"&lt;="&amp;7725127999)</f>
        <v>0</v>
      </c>
      <c r="BN109" s="63" t="n">
        <f aca="false">COUNTIFS(Данные!$B$2:$B$722,70,Данные!$C$2:$C$722,2,Данные!$A$2:$A$722,"&gt;="&amp;7723772000,Данные!$A$2:$A$722,"&lt;="&amp;7723724999)</f>
        <v>0</v>
      </c>
      <c r="BO109" s="62" t="n">
        <f aca="false">COUNTIFS(Данные!$B$2:$B$722,70,Данные!$C$2:$C$722,2,Данные!$A$2:$A$722,"&gt;="&amp;7723765000,Данные!$A$2:$A$722,"&lt;="&amp;7723765499)</f>
        <v>0</v>
      </c>
      <c r="BP109" s="63" t="n">
        <f aca="false">COUNTIFS(Данные!$B$2:$B$722,70,Данные!$C$2:$C$722,2,Данные!$A$2:$A$722,"&gt;="&amp;7723948000,Данные!$A$2:$A$722,"&lt;="&amp;7723948999)</f>
        <v>0</v>
      </c>
      <c r="BQ109" s="63" t="n">
        <f aca="false">COUNTIFS(Данные!$B$2:$B$722,70,Данные!$C$2:$C$722,2,Данные!$A$2:$A$722,"&gt;="&amp;7723950000,Данные!$A$2:$A$722,"&lt;="&amp;7723951099)</f>
        <v>0</v>
      </c>
      <c r="BR109" s="63" t="n">
        <f aca="false">COUNTIFS(Данные!$B$2:$B$722,70,Данные!$C$2:$C$722,2,Данные!$A$2:$A$722,"&gt;="&amp;7723020000,Данные!$A$2:$A$722,"&lt;="&amp;7723020999)</f>
        <v>0</v>
      </c>
      <c r="BS109" s="63" t="n">
        <f aca="false">COUNTIFS(Данные!$B$2:$B$722,70,Данные!$C$2:$C$722,2,Данные!$A$2:$A$722,"&gt;="&amp;7723029000,Данные!$A$2:$A$722,"&lt;="&amp;7723029999)</f>
        <v>0</v>
      </c>
      <c r="BT109" s="63" t="n">
        <f aca="false">COUNTIFS(Данные!$B$2:$B$722,70,Данные!$C$2:$C$722,2,Данные!$A$2:$A$722,"&gt;="&amp;7723055000,Данные!$A$2:$A$722,"&lt;="&amp;7723056549)</f>
        <v>0</v>
      </c>
      <c r="BU109" s="62" t="n">
        <f aca="false">COUNTIFS(Данные!$B$2:$B$722,70,Данные!$C$2:$C$722,2,Данные!$A$2:$A$722,"&gt;="&amp;7725250000,Данные!$A$2:$A$722,"&lt;="&amp;7725250499)</f>
        <v>0</v>
      </c>
      <c r="BV109" s="63" t="n">
        <f aca="false">COUNTIFS(Данные!$B$2:$B$722,70,Данные!$C$2:$C$722,2,Данные!$A$2:$A$722,"&gt;="&amp;7183841400,Данные!$A$2:$A$722,"&lt;="&amp;7183841499)</f>
        <v>0</v>
      </c>
      <c r="BW109" s="40" t="n">
        <v>300</v>
      </c>
      <c r="BX109" s="64" t="n">
        <f aca="false">F109-BW109</f>
        <v>-295</v>
      </c>
    </row>
    <row r="110" s="15" customFormat="true" ht="12" hidden="false" customHeight="true" outlineLevel="0" collapsed="false">
      <c r="A110" s="47" t="n">
        <v>71</v>
      </c>
      <c r="B110" s="48" t="s">
        <v>96</v>
      </c>
      <c r="C110" s="50" t="n">
        <v>0</v>
      </c>
      <c r="D110" s="50" t="n">
        <v>710</v>
      </c>
      <c r="E110" s="51" t="n">
        <f aca="false">SUM(F110:F112)</f>
        <v>0</v>
      </c>
      <c r="F110" s="65" t="n">
        <f aca="false">COUNTIFS(Данные!$B$2:$B$722,71,Данные!$C$2:$C$722,0)</f>
        <v>0</v>
      </c>
      <c r="G110" s="65" t="n">
        <f aca="false">COUNTIFS(Данные!$B$2:$B$722,71,Данные!$C$2:$C$722,0,Данные!$A$2:$A$722,"&gt;="&amp;77232210840,Данные!$A$2:$A$722,"&lt;="&amp;77232216999)</f>
        <v>0</v>
      </c>
      <c r="H110" s="65" t="n">
        <f aca="false">COUNTIFS(Данные!$B$2:$B$722,71,Данные!$C$2:$C$722,0,Данные!$A$2:$A$722,"&gt;="&amp;77232510512,Данные!$A$2:$A$722,"&lt;="&amp;77232519487)</f>
        <v>0</v>
      </c>
      <c r="I110" s="65" t="n">
        <f aca="false">COUNTIFS(Данные!$B$2:$B$722,71,Данные!$C$2:$C$722,0,Данные!$A$2:$A$722,"&gt;="&amp;77232524160,Данные!$A$2:$A$722,"&lt;="&amp;77232529999)</f>
        <v>0</v>
      </c>
      <c r="J110" s="65" t="n">
        <f aca="false">COUNTIFS(Данные!$B$2:$B$722,71,Данные!$C$2:$C$722,0,Данные!$A$2:$A$722,"&gt;="&amp;77232544000,Данные!$A$2:$A$722,"&lt;="&amp;77232544999)</f>
        <v>0</v>
      </c>
      <c r="K110" s="65" t="n">
        <f aca="false">COUNTIFS(Данные!$B$2:$B$722,71,Данные!$C$2:$C$722,0,Данные!$A$2:$A$722,"&gt;="&amp;77232295504,Данные!$A$2:$A$722,"&lt;="&amp;77232296999)</f>
        <v>0</v>
      </c>
      <c r="L110" s="65" t="n">
        <f aca="false">COUNTIFS(Данные!$B$2:$B$722,71,Данные!$C$2:$C$722,0,Данные!$A$2:$A$722,"&gt;="&amp;77232785000,Данные!$A$2:$A$722,"&lt;="&amp;77232789999)</f>
        <v>0</v>
      </c>
      <c r="M110" s="65" t="n">
        <f aca="false">COUNTIFS(Данные!$B$2:$B$722,71,Данные!$C$2:$C$722,0,Данные!$A$2:$A$722,"&gt;="&amp;77233150000,Данные!$A$2:$A$722,"&lt;="&amp;77233155999)</f>
        <v>0</v>
      </c>
      <c r="N110" s="65" t="n">
        <f aca="false">COUNTIFS(Данные!$B$2:$B$722,71,Данные!$C$2:$C$722,0,Данные!$A$2:$A$722,"&gt;="&amp;77233235000,Данные!$A$2:$A$722,"&lt;="&amp;77233235999)</f>
        <v>0</v>
      </c>
      <c r="O110" s="65" t="n">
        <f aca="false">COUNTIFS(Данные!$B$2:$B$722,71,Данные!$C$2:$C$722,0,Данные!$A$2:$A$722,"&gt;="&amp;77233239000,Данные!$A$2:$A$722,"&lt;="&amp;77233239999)</f>
        <v>0</v>
      </c>
      <c r="P110" s="65" t="n">
        <f aca="false">COUNTIFS(Данные!$B$2:$B$722,71,Данные!$C$2:$C$722,0,Данные!$A$2:$A$722,"&gt;="&amp;77233272000,Данные!$A$2:$A$722,"&lt;="&amp;77233272999)</f>
        <v>0</v>
      </c>
      <c r="Q110" s="65" t="n">
        <f aca="false">COUNTIFS(Данные!$B$2:$B$722,71,Данные!$C$2:$C$722,0,Данные!$A$2:$A$722,"&gt;="&amp;77233291100,Данные!$A$2:$A$722,"&lt;="&amp;77233292999)</f>
        <v>0</v>
      </c>
      <c r="R110" s="65" t="n">
        <f aca="false">COUNTIFS(Данные!$B$2:$B$722,71,Данные!$C$2:$C$722,0,Данные!$A$2:$A$722,"&gt;="&amp;77233297000,Данные!$A$2:$A$722,"&lt;="&amp;77233298399)</f>
        <v>0</v>
      </c>
      <c r="S110" s="65" t="n">
        <f aca="false">COUNTIFS(Данные!$B$2:$B$722,71,Данные!$C$2:$C$722,0,Данные!$A$2:$A$722,"&gt;="&amp;77235124000,Данные!$A$2:$A$722,"&lt;="&amp;77235128499)</f>
        <v>0</v>
      </c>
      <c r="T110" s="65" t="n">
        <f aca="false">COUNTIFS(Данные!$B$2:$B$722,71,Данные!$C$2:$C$722,0,Данные!$A$2:$A$722,"&gt;="&amp;77235320000,Данные!$A$2:$A$722,"&lt;="&amp;77235320999)</f>
        <v>0</v>
      </c>
      <c r="U110" s="65" t="n">
        <f aca="false">COUNTIFS(Данные!$B$2:$B$722,71,Данные!$C$2:$C$722,0,Данные!$A$2:$A$722,"&gt;="&amp;77233620000,Данные!$A$2:$A$722,"&lt;="&amp;77233623339)</f>
        <v>0</v>
      </c>
      <c r="V110" s="65" t="n">
        <f aca="false">COUNTIFS(Данные!$B$2:$B$722,71,Данные!$C$2:$C$722,0,Данные!$A$2:$A$722,"&gt;="&amp;77233630000,Данные!$A$2:$A$722,"&lt;="&amp;77233630999)</f>
        <v>0</v>
      </c>
      <c r="W110" s="65" t="n">
        <f aca="false">COUNTIFS(Данные!$B$2:$B$722,71,Данные!$C$2:$C$722,0,Данные!$A$2:$A$722,"&gt;="&amp;77233637000,Данные!$A$2:$A$722,"&lt;="&amp;77233637599)</f>
        <v>0</v>
      </c>
      <c r="X110" s="65" t="n">
        <f aca="false">COUNTIFS(Данные!$B$2:$B$722,71,Данные!$C$2:$C$722,0,Данные!$A$2:$A$722,"&gt;="&amp;77233550000,Данные!$A$2:$A$722,"&lt;="&amp;77233550999)</f>
        <v>0</v>
      </c>
      <c r="Y110" s="65" t="n">
        <f aca="false">COUNTIFS(Данные!$B$2:$B$722,71,Данные!$C$2:$C$722,0,Данные!$A$2:$A$722,"&gt;="&amp;77233554000,Данные!$A$2:$A$722,"&lt;="&amp;77233554999)</f>
        <v>0</v>
      </c>
      <c r="Z110" s="65" t="n">
        <f aca="false">COUNTIFS(Данные!$B$2:$B$722,71,Данные!$C$2:$C$722,0,Данные!$A$2:$A$722,"&gt;="&amp;77233555000,Данные!$A$2:$A$722,"&lt;="&amp;77233556999)</f>
        <v>0</v>
      </c>
      <c r="AA110" s="65" t="n">
        <f aca="false">COUNTIFS(Данные!$B$2:$B$722,71,Данные!$C$2:$C$722,0,Данные!$A$2:$A$722,"&gt;="&amp;77233726000,Данные!$A$2:$A$722,"&lt;="&amp;77233726999)</f>
        <v>0</v>
      </c>
      <c r="AB110" s="65" t="n">
        <f aca="false">COUNTIFS(Данные!$B$2:$B$722,71,Данные!$C$2:$C$722,0,Данные!$A$2:$A$722,"&gt;="&amp;77233820000,Данные!$A$2:$A$722,"&lt;="&amp;77233820999)</f>
        <v>0</v>
      </c>
      <c r="AC110" s="65" t="n">
        <f aca="false">COUNTIFS(Данные!$B$2:$B$722,71,Данные!$C$2:$C$722,0,Данные!$A$2:$A$722,"&gt;="&amp;77233850000,Данные!$A$2:$A$722,"&lt;="&amp;77233850999)</f>
        <v>0</v>
      </c>
      <c r="AD110" s="65" t="n">
        <f aca="false">COUNTIFS(Данные!$B$2:$B$722,71,Данные!$C$2:$C$722,0,Данные!$A$2:$A$722,"&gt;="&amp;77233420000,Данные!$A$2:$A$722,"&lt;="&amp;77233420999)</f>
        <v>0</v>
      </c>
      <c r="AE110" s="65" t="n">
        <f aca="false">COUNTIFS(Данные!$B$2:$B$722,71,Данные!$C$2:$C$722,0,Данные!$A$2:$A$722,"&gt;="&amp;77234740000,Данные!$A$2:$A$722,"&lt;="&amp;77234742999)</f>
        <v>0</v>
      </c>
      <c r="AF110" s="65" t="n">
        <f aca="false">COUNTIFS(Данные!$B$2:$B$722,71,Данные!$C$2:$C$722,0,Данные!$A$2:$A$722,"&gt;="&amp;77234767000,Данные!$A$2:$A$722,"&lt;="&amp;77234767999)</f>
        <v>0</v>
      </c>
      <c r="AG110" s="65" t="n">
        <f aca="false">COUNTIFS(Данные!$B$2:$B$722,71,Данные!$C$2:$C$722,0,Данные!$A$2:$A$722,"&gt;="&amp;77234120000,Данные!$A$2:$A$722,"&lt;="&amp;77234120999)</f>
        <v>0</v>
      </c>
      <c r="AH110" s="65" t="n">
        <f aca="false">COUNTIFS(Данные!$B$2:$B$722,71,Данные!$C$2:$C$722,0,Данные!$A$2:$A$722,"&gt;="&amp;77234127000,Данные!$A$2:$A$722,"&lt;="&amp;77234127999)</f>
        <v>0</v>
      </c>
      <c r="AI110" s="65" t="n">
        <f aca="false">COUNTIFS(Данные!$B$2:$B$722,71,Данные!$C$2:$C$722,0,Данные!$A$2:$A$722,"&gt;="&amp;77234220000,Данные!$A$2:$A$722,"&lt;="&amp;77234220999)</f>
        <v>0</v>
      </c>
      <c r="AJ110" s="65" t="n">
        <f aca="false">COUNTIFS(Данные!$B$2:$B$722,71,Данные!$C$2:$C$722,0,Данные!$A$2:$A$722,"&gt;="&amp;77234250000,Данные!$A$2:$A$722,"&lt;="&amp;77234250999)</f>
        <v>0</v>
      </c>
      <c r="AK110" s="65" t="n">
        <f aca="false">COUNTIFS(Данные!$B$2:$B$722,71,Данные!$C$2:$C$722,0,Данные!$A$2:$A$722,"&gt;="&amp;77233922950,Данные!$A$2:$A$722,"&lt;="&amp;77233924999)</f>
        <v>0</v>
      </c>
      <c r="AL110" s="65" t="n">
        <f aca="false">COUNTIFS(Данные!$B$2:$B$722,71,Данные!$C$2:$C$722,0,Данные!$A$2:$A$722,"&gt;="&amp;77234320000,Данные!$A$2:$A$722,"&lt;="&amp;77234320999)</f>
        <v>0</v>
      </c>
      <c r="AM110" s="65" t="n">
        <f aca="false">COUNTIFS(Данные!$B$2:$B$722,71,Данные!$C$2:$C$722,0,Данные!$A$2:$A$722,"&gt;="&amp;77234350000,Данные!$A$2:$A$722,"&lt;="&amp;77234350999)</f>
        <v>0</v>
      </c>
      <c r="AN110" s="65" t="n">
        <f aca="false">COUNTIFS(Данные!$B$2:$B$722,71,Данные!$C$2:$C$722,0,Данные!$A$2:$A$722,"&gt;="&amp;77234020000,Данные!$A$2:$A$722,"&lt;="&amp;77234020999)</f>
        <v>0</v>
      </c>
      <c r="AO110" s="65" t="n">
        <f aca="false">COUNTIFS(Данные!$B$2:$B$722,71,Данные!$C$2:$C$722,0,Данные!$A$2:$A$722,"&gt;="&amp;77234029000,Данные!$A$2:$A$722,"&lt;="&amp;77234029999)</f>
        <v>0</v>
      </c>
      <c r="AP110" s="65" t="n">
        <f aca="false">COUNTIFS(Данные!$B$2:$B$722,71,Данные!$C$2:$C$722,0,Данные!$A$2:$A$722,"&gt;="&amp;77234050000,Данные!$A$2:$A$722,"&lt;="&amp;77234050999)</f>
        <v>0</v>
      </c>
      <c r="AQ110" s="65" t="n">
        <f aca="false">COUNTIFS(Данные!$B$2:$B$722,71,Данные!$C$2:$C$722,0,Данные!$A$2:$A$722,"&gt;="&amp;77234427000,Данные!$A$2:$A$722,"&lt;="&amp;77234428999)</f>
        <v>0</v>
      </c>
      <c r="AR110" s="65" t="n">
        <f aca="false">COUNTIFS(Данные!$B$2:$B$722,71,Данные!$C$2:$C$722,0,Данные!$A$2:$A$722,"&gt;="&amp;77234450000,Данные!$A$2:$A$722,"&lt;="&amp;77234450999)</f>
        <v>0</v>
      </c>
      <c r="AS110" s="65" t="n">
        <f aca="false">COUNTIFS(Данные!$B$2:$B$722,71,Данные!$C$2:$C$722,0,Данные!$A$2:$A$722,"&gt;="&amp;77234620000,Данные!$A$2:$A$722,"&lt;="&amp;77234620999)</f>
        <v>0</v>
      </c>
      <c r="AT110" s="65" t="n">
        <f aca="false">COUNTIFS(Данные!$B$2:$B$722,71,Данные!$C$2:$C$722,0,Данные!$A$2:$A$722,"&gt;="&amp;77234650000,Данные!$A$2:$A$722,"&lt;="&amp;77234650999)</f>
        <v>0</v>
      </c>
      <c r="AU110" s="65" t="n">
        <f aca="false">COUNTIFS(Данные!$B$2:$B$722,71,Данные!$C$2:$C$722,0,Данные!$A$2:$A$722,"&gt;="&amp;77234820000,Данные!$A$2:$A$722,"&lt;="&amp;77234820999)</f>
        <v>0</v>
      </c>
      <c r="AV110" s="65" t="n">
        <f aca="false">COUNTIFS(Данные!$B$2:$B$722,71,Данные!$C$2:$C$722,0,Данные!$A$2:$A$722,"&gt;="&amp;77234850000,Данные!$A$2:$A$722,"&lt;="&amp;77234850999)</f>
        <v>0</v>
      </c>
      <c r="AW110" s="65" t="n">
        <f aca="false">COUNTIFS(Данные!$B$2:$B$722,71,Данные!$C$2:$C$722,0,Данные!$A$2:$A$722,"&gt;="&amp;77233327000,Данные!$A$2:$A$722,"&lt;="&amp;77233327999)</f>
        <v>0</v>
      </c>
      <c r="AX110" s="65" t="n">
        <f aca="false">COUNTIFS(Данные!$B$2:$B$722,71,Данные!$C$2:$C$722,0,Данные!$A$2:$A$722,"&gt;="&amp;77233350000,Данные!$A$2:$A$722,"&lt;="&amp;77233350599)</f>
        <v>0</v>
      </c>
      <c r="AY110" s="65" t="n">
        <f aca="false">COUNTIFS(Данные!$B$2:$B$722,71,Данные!$C$2:$C$722,0,Данные!$A$2:$A$722,"&gt;="&amp;77233351000,Данные!$A$2:$A$722,"&lt;="&amp;77233351999)</f>
        <v>0</v>
      </c>
      <c r="AZ110" s="66" t="n">
        <f aca="false">COUNTIFS(Данные!$B$2:$B$722,71,Данные!$C$2:$C$722,0,Данные!$A$2:$A$722,"&gt;="&amp;7722440000,Данные!$A$2:$A$722,"&lt;="&amp;7722440999)</f>
        <v>0</v>
      </c>
      <c r="BA110" s="66" t="n">
        <f aca="false">COUNTIFS(Данные!$B$2:$B$722,71,Данные!$C$2:$C$722,0,Данные!$A$2:$A$722,"&gt;="&amp;7722442000,Данные!$A$2:$A$722,"&lt;="&amp;7722445659)</f>
        <v>0</v>
      </c>
      <c r="BB110" s="66" t="n">
        <f aca="false">COUNTIFS(Данные!$B$2:$B$722,71,Данные!$C$2:$C$722,0,Данные!$A$2:$A$722,"&gt;="&amp;7722450000,Данные!$A$2:$A$722,"&lt;="&amp;7722450199)</f>
        <v>0</v>
      </c>
      <c r="BC110" s="66" t="n">
        <f aca="false">COUNTIFS(Данные!$B$2:$B$722,71,Данные!$C$2:$C$722,0,Данные!$A$2:$A$722,"&gt;="&amp;7722451000,Данные!$A$2:$A$722,"&lt;="&amp;7722451374)</f>
        <v>0</v>
      </c>
      <c r="BD110" s="66" t="n">
        <f aca="false">COUNTIFS(Данные!$B$2:$B$722,71,Данные!$C$2:$C$722,0,Данные!$A$2:$A$722,"&gt;="&amp;7722452000,Данные!$A$2:$A$722,"&lt;="&amp;7722452299)</f>
        <v>0</v>
      </c>
      <c r="BE110" s="66" t="n">
        <f aca="false">COUNTIFS(Данные!$B$2:$B$722,71,Данные!$C$2:$C$722,0,Данные!$A$2:$A$722,"&gt;="&amp;7722453000,Данные!$A$2:$A$722,"&lt;="&amp;7722453816)</f>
        <v>0</v>
      </c>
      <c r="BF110" s="66" t="n">
        <f aca="false">COUNTIFS(Данные!$B$2:$B$722,71,Данные!$C$2:$C$722,0,Данные!$A$2:$A$722,"&gt;="&amp;7722454000,Данные!$A$2:$A$722,"&lt;="&amp;7722454099)</f>
        <v>0</v>
      </c>
      <c r="BG110" s="66" t="n">
        <f aca="false">COUNTIFS(Данные!$B$2:$B$722,71,Данные!$C$2:$C$722,0,Данные!$A$2:$A$722,"&gt;="&amp;7722458000,Данные!$A$2:$A$722,"&lt;="&amp;7722458999)</f>
        <v>0</v>
      </c>
      <c r="BH110" s="66" t="n">
        <f aca="false">COUNTIFS(Данные!$B$2:$B$722,71,Данные!$C$2:$C$722,0,Данные!$A$2:$A$722,"&gt;="&amp;7722630000,Данные!$A$2:$A$722,"&lt;="&amp;7722638549)</f>
        <v>0</v>
      </c>
      <c r="BI110" s="66" t="n">
        <f aca="false">COUNTIFS(Данные!$B$2:$B$722,71,Данные!$C$2:$C$722,0,Данные!$A$2:$A$722,"&gt;="&amp;7722639400,Данные!$A$2:$A$722,"&lt;="&amp;7722639899)</f>
        <v>0</v>
      </c>
      <c r="BJ110" s="66" t="n">
        <f aca="false">COUNTIFS(Данные!$B$2:$B$722,71,Данные!$C$2:$C$722,0,Данные!$A$2:$A$722,"&gt;="&amp;7725750000,Данные!$A$2:$A$722,"&lt;="&amp;7725750399)</f>
        <v>0</v>
      </c>
      <c r="BK110" s="66" t="n">
        <f aca="false">COUNTIFS(Данные!$B$2:$B$722,71,Данные!$C$2:$C$722,0,Данные!$A$2:$A$722,"&gt;="&amp;7723620000,Данные!$A$2:$A$722,"&lt;="&amp;7723621299)</f>
        <v>0</v>
      </c>
      <c r="BL110" s="66" t="n">
        <f aca="false">COUNTIFS(Данные!$B$2:$B$722,71,Данные!$C$2:$C$722,0,Данные!$A$2:$A$722,"&gt;="&amp;7723621600,Данные!$A$2:$A$722,"&lt;="&amp;7723623399)</f>
        <v>0</v>
      </c>
      <c r="BM110" s="66" t="n">
        <f aca="false">COUNTIFS(Данные!$B$2:$B$722,71,Данные!$C$2:$C$722,0,Данные!$A$2:$A$722,"&gt;="&amp;7725127000,Данные!$A$2:$A$722,"&lt;="&amp;7725127999)</f>
        <v>0</v>
      </c>
      <c r="BN110" s="66" t="n">
        <f aca="false">COUNTIFS(Данные!$B$2:$B$722,71,Данные!$C$2:$C$722,0,Данные!$A$2:$A$722,"&gt;="&amp;7723772000,Данные!$A$2:$A$722,"&lt;="&amp;7723724999)</f>
        <v>0</v>
      </c>
      <c r="BO110" s="65" t="n">
        <f aca="false">COUNTIFS(Данные!$B$2:$B$722,71,Данные!$C$2:$C$722,0,Данные!$A$2:$A$722,"&gt;="&amp;7723765000,Данные!$A$2:$A$722,"&lt;="&amp;7723765499)</f>
        <v>0</v>
      </c>
      <c r="BP110" s="66" t="n">
        <f aca="false">COUNTIFS(Данные!$B$2:$B$722,71,Данные!$C$2:$C$722,0,Данные!$A$2:$A$722,"&gt;="&amp;7723948000,Данные!$A$2:$A$722,"&lt;="&amp;7723948999)</f>
        <v>0</v>
      </c>
      <c r="BQ110" s="66" t="n">
        <f aca="false">COUNTIFS(Данные!$B$2:$B$722,71,Данные!$C$2:$C$722,0,Данные!$A$2:$A$722,"&gt;="&amp;7723950000,Данные!$A$2:$A$722,"&lt;="&amp;7723951099)</f>
        <v>0</v>
      </c>
      <c r="BR110" s="66" t="n">
        <f aca="false">COUNTIFS(Данные!$B$2:$B$722,71,Данные!$C$2:$C$722,0,Данные!$A$2:$A$722,"&gt;="&amp;7723020000,Данные!$A$2:$A$722,"&lt;="&amp;7723020999)</f>
        <v>0</v>
      </c>
      <c r="BS110" s="66" t="n">
        <f aca="false">COUNTIFS(Данные!$B$2:$B$722,71,Данные!$C$2:$C$722,0,Данные!$A$2:$A$722,"&gt;="&amp;7723029000,Данные!$A$2:$A$722,"&lt;="&amp;7723029999)</f>
        <v>0</v>
      </c>
      <c r="BT110" s="66" t="n">
        <f aca="false">COUNTIFS(Данные!$B$2:$B$722,71,Данные!$C$2:$C$722,0,Данные!$A$2:$A$722,"&gt;="&amp;7723055000,Данные!$A$2:$A$722,"&lt;="&amp;7723056549)</f>
        <v>0</v>
      </c>
      <c r="BU110" s="65" t="n">
        <f aca="false">COUNTIFS(Данные!$B$2:$B$722,71,Данные!$C$2:$C$722,0,Данные!$A$2:$A$722,"&gt;="&amp;7725250000,Данные!$A$2:$A$722,"&lt;="&amp;7725250499)</f>
        <v>0</v>
      </c>
      <c r="BV110" s="66" t="n">
        <f aca="false">COUNTIFS(Данные!$B$2:$B$722,71,Данные!$C$2:$C$722,0,Данные!$A$2:$A$722,"&gt;="&amp;7183841400,Данные!$A$2:$A$722,"&lt;="&amp;7183841499)</f>
        <v>0</v>
      </c>
      <c r="BW110" s="49" t="n">
        <v>300</v>
      </c>
      <c r="BX110" s="67" t="n">
        <f aca="false">F110-BW110</f>
        <v>-300</v>
      </c>
    </row>
    <row r="111" s="15" customFormat="true" ht="12" hidden="false" customHeight="true" outlineLevel="0" collapsed="false">
      <c r="A111" s="47"/>
      <c r="B111" s="48"/>
      <c r="C111" s="50" t="n">
        <v>1</v>
      </c>
      <c r="D111" s="50" t="n">
        <v>711</v>
      </c>
      <c r="E111" s="51"/>
      <c r="F111" s="65" t="n">
        <f aca="false">COUNTIFS(Данные!$B$2:$B$722,71,Данные!$C$2:$C$722,1)</f>
        <v>0</v>
      </c>
      <c r="G111" s="65" t="n">
        <f aca="false">COUNTIFS(Данные!$B$2:$B$722,71,Данные!$C$2:$C$722,1,Данные!$A$2:$A$722,"&gt;="&amp;77232210840,Данные!$A$2:$A$722,"&lt;="&amp;77232216999)</f>
        <v>0</v>
      </c>
      <c r="H111" s="65" t="n">
        <f aca="false">COUNTIFS(Данные!$B$2:$B$722,71,Данные!$C$2:$C$722,1,Данные!$A$2:$A$722,"&gt;="&amp;77232510512,Данные!$A$2:$A$722,"&lt;="&amp;77232519487)</f>
        <v>0</v>
      </c>
      <c r="I111" s="65" t="n">
        <f aca="false">COUNTIFS(Данные!$B$2:$B$722,71,Данные!$C$2:$C$722,1,Данные!$A$2:$A$722,"&gt;="&amp;77232524160,Данные!$A$2:$A$722,"&lt;="&amp;77232529999)</f>
        <v>0</v>
      </c>
      <c r="J111" s="65" t="n">
        <f aca="false">COUNTIFS(Данные!$B$2:$B$722,71,Данные!$C$2:$C$722,1,Данные!$A$2:$A$722,"&gt;="&amp;77232544000,Данные!$A$2:$A$722,"&lt;="&amp;77232544999)</f>
        <v>0</v>
      </c>
      <c r="K111" s="65" t="n">
        <f aca="false">COUNTIFS(Данные!$B$2:$B$722,71,Данные!$C$2:$C$722,1,Данные!$A$2:$A$722,"&gt;="&amp;77232295504,Данные!$A$2:$A$722,"&lt;="&amp;77232296999)</f>
        <v>0</v>
      </c>
      <c r="L111" s="65" t="n">
        <f aca="false">COUNTIFS(Данные!$B$2:$B$722,71,Данные!$C$2:$C$722,1,Данные!$A$2:$A$722,"&gt;="&amp;77232785000,Данные!$A$2:$A$722,"&lt;="&amp;77232789999)</f>
        <v>0</v>
      </c>
      <c r="M111" s="65" t="n">
        <f aca="false">COUNTIFS(Данные!$B$2:$B$722,71,Данные!$C$2:$C$722,1,Данные!$A$2:$A$722,"&gt;="&amp;77233150000,Данные!$A$2:$A$722,"&lt;="&amp;77233155999)</f>
        <v>0</v>
      </c>
      <c r="N111" s="65" t="n">
        <f aca="false">COUNTIFS(Данные!$B$2:$B$722,71,Данные!$C$2:$C$722,1,Данные!$A$2:$A$722,"&gt;="&amp;77233235000,Данные!$A$2:$A$722,"&lt;="&amp;77233235999)</f>
        <v>0</v>
      </c>
      <c r="O111" s="65" t="n">
        <f aca="false">COUNTIFS(Данные!$B$2:$B$722,71,Данные!$C$2:$C$722,1,Данные!$A$2:$A$722,"&gt;="&amp;77233239000,Данные!$A$2:$A$722,"&lt;="&amp;77233239999)</f>
        <v>0</v>
      </c>
      <c r="P111" s="65" t="n">
        <f aca="false">COUNTIFS(Данные!$B$2:$B$722,71,Данные!$C$2:$C$722,1,Данные!$A$2:$A$722,"&gt;="&amp;77233272000,Данные!$A$2:$A$722,"&lt;="&amp;77233272999)</f>
        <v>0</v>
      </c>
      <c r="Q111" s="65" t="n">
        <f aca="false">COUNTIFS(Данные!$B$2:$B$722,71,Данные!$C$2:$C$722,1,Данные!$A$2:$A$722,"&gt;="&amp;77233291100,Данные!$A$2:$A$722,"&lt;="&amp;77233292999)</f>
        <v>0</v>
      </c>
      <c r="R111" s="65" t="n">
        <f aca="false">COUNTIFS(Данные!$B$2:$B$722,71,Данные!$C$2:$C$722,1,Данные!$A$2:$A$722,"&gt;="&amp;77233297000,Данные!$A$2:$A$722,"&lt;="&amp;77233298399)</f>
        <v>0</v>
      </c>
      <c r="S111" s="65" t="n">
        <f aca="false">COUNTIFS(Данные!$B$2:$B$722,71,Данные!$C$2:$C$722,1,Данные!$A$2:$A$722,"&gt;="&amp;77235124000,Данные!$A$2:$A$722,"&lt;="&amp;77235128499)</f>
        <v>0</v>
      </c>
      <c r="T111" s="65" t="n">
        <f aca="false">COUNTIFS(Данные!$B$2:$B$722,71,Данные!$C$2:$C$722,1,Данные!$A$2:$A$722,"&gt;="&amp;77235320000,Данные!$A$2:$A$722,"&lt;="&amp;77235320999)</f>
        <v>0</v>
      </c>
      <c r="U111" s="65" t="n">
        <f aca="false">COUNTIFS(Данные!$B$2:$B$722,71,Данные!$C$2:$C$722,1,Данные!$A$2:$A$722,"&gt;="&amp;77233620000,Данные!$A$2:$A$722,"&lt;="&amp;77233623339)</f>
        <v>0</v>
      </c>
      <c r="V111" s="65" t="n">
        <f aca="false">COUNTIFS(Данные!$B$2:$B$722,71,Данные!$C$2:$C$722,1,Данные!$A$2:$A$722,"&gt;="&amp;77233630000,Данные!$A$2:$A$722,"&lt;="&amp;77233630999)</f>
        <v>0</v>
      </c>
      <c r="W111" s="65" t="n">
        <f aca="false">COUNTIFS(Данные!$B$2:$B$722,71,Данные!$C$2:$C$722,1,Данные!$A$2:$A$722,"&gt;="&amp;77233637000,Данные!$A$2:$A$722,"&lt;="&amp;77233637599)</f>
        <v>0</v>
      </c>
      <c r="X111" s="65" t="n">
        <f aca="false">COUNTIFS(Данные!$B$2:$B$722,71,Данные!$C$2:$C$722,1,Данные!$A$2:$A$722,"&gt;="&amp;77233550000,Данные!$A$2:$A$722,"&lt;="&amp;77233550999)</f>
        <v>0</v>
      </c>
      <c r="Y111" s="65" t="n">
        <f aca="false">COUNTIFS(Данные!$B$2:$B$722,71,Данные!$C$2:$C$722,1,Данные!$A$2:$A$722,"&gt;="&amp;77233554000,Данные!$A$2:$A$722,"&lt;="&amp;77233554999)</f>
        <v>0</v>
      </c>
      <c r="Z111" s="65" t="n">
        <f aca="false">COUNTIFS(Данные!$B$2:$B$722,71,Данные!$C$2:$C$722,1,Данные!$A$2:$A$722,"&gt;="&amp;77233555000,Данные!$A$2:$A$722,"&lt;="&amp;77233556999)</f>
        <v>0</v>
      </c>
      <c r="AA111" s="65" t="n">
        <f aca="false">COUNTIFS(Данные!$B$2:$B$722,71,Данные!$C$2:$C$722,1,Данные!$A$2:$A$722,"&gt;="&amp;77233726000,Данные!$A$2:$A$722,"&lt;="&amp;77233726999)</f>
        <v>0</v>
      </c>
      <c r="AB111" s="65" t="n">
        <f aca="false">COUNTIFS(Данные!$B$2:$B$722,71,Данные!$C$2:$C$722,1,Данные!$A$2:$A$722,"&gt;="&amp;77233820000,Данные!$A$2:$A$722,"&lt;="&amp;77233820999)</f>
        <v>0</v>
      </c>
      <c r="AC111" s="65" t="n">
        <f aca="false">COUNTIFS(Данные!$B$2:$B$722,71,Данные!$C$2:$C$722,1,Данные!$A$2:$A$722,"&gt;="&amp;77233850000,Данные!$A$2:$A$722,"&lt;="&amp;77233850999)</f>
        <v>0</v>
      </c>
      <c r="AD111" s="65" t="n">
        <f aca="false">COUNTIFS(Данные!$B$2:$B$722,71,Данные!$C$2:$C$722,1,Данные!$A$2:$A$722,"&gt;="&amp;77233420000,Данные!$A$2:$A$722,"&lt;="&amp;77233420999)</f>
        <v>0</v>
      </c>
      <c r="AE111" s="65" t="n">
        <f aca="false">COUNTIFS(Данные!$B$2:$B$722,71,Данные!$C$2:$C$722,1,Данные!$A$2:$A$722,"&gt;="&amp;77234740000,Данные!$A$2:$A$722,"&lt;="&amp;77234742999)</f>
        <v>0</v>
      </c>
      <c r="AF111" s="65" t="n">
        <f aca="false">COUNTIFS(Данные!$B$2:$B$722,71,Данные!$C$2:$C$722,1,Данные!$A$2:$A$722,"&gt;="&amp;77234767000,Данные!$A$2:$A$722,"&lt;="&amp;77234767999)</f>
        <v>0</v>
      </c>
      <c r="AG111" s="65" t="n">
        <f aca="false">COUNTIFS(Данные!$B$2:$B$722,71,Данные!$C$2:$C$722,1,Данные!$A$2:$A$722,"&gt;="&amp;77234120000,Данные!$A$2:$A$722,"&lt;="&amp;77234120999)</f>
        <v>0</v>
      </c>
      <c r="AH111" s="65" t="n">
        <f aca="false">COUNTIFS(Данные!$B$2:$B$722,71,Данные!$C$2:$C$722,1,Данные!$A$2:$A$722,"&gt;="&amp;77234127000,Данные!$A$2:$A$722,"&lt;="&amp;77234127999)</f>
        <v>0</v>
      </c>
      <c r="AI111" s="65" t="n">
        <f aca="false">COUNTIFS(Данные!$B$2:$B$722,71,Данные!$C$2:$C$722,1,Данные!$A$2:$A$722,"&gt;="&amp;77234220000,Данные!$A$2:$A$722,"&lt;="&amp;77234220999)</f>
        <v>0</v>
      </c>
      <c r="AJ111" s="65" t="n">
        <f aca="false">COUNTIFS(Данные!$B$2:$B$722,71,Данные!$C$2:$C$722,1,Данные!$A$2:$A$722,"&gt;="&amp;77234250000,Данные!$A$2:$A$722,"&lt;="&amp;77234250999)</f>
        <v>0</v>
      </c>
      <c r="AK111" s="65" t="n">
        <f aca="false">COUNTIFS(Данные!$B$2:$B$722,71,Данные!$C$2:$C$722,1,Данные!$A$2:$A$722,"&gt;="&amp;77233922950,Данные!$A$2:$A$722,"&lt;="&amp;77233924999)</f>
        <v>0</v>
      </c>
      <c r="AL111" s="65" t="n">
        <f aca="false">COUNTIFS(Данные!$B$2:$B$722,71,Данные!$C$2:$C$722,1,Данные!$A$2:$A$722,"&gt;="&amp;77234320000,Данные!$A$2:$A$722,"&lt;="&amp;77234320999)</f>
        <v>0</v>
      </c>
      <c r="AM111" s="65" t="n">
        <f aca="false">COUNTIFS(Данные!$B$2:$B$722,71,Данные!$C$2:$C$722,1,Данные!$A$2:$A$722,"&gt;="&amp;77234350000,Данные!$A$2:$A$722,"&lt;="&amp;77234350999)</f>
        <v>0</v>
      </c>
      <c r="AN111" s="65" t="n">
        <f aca="false">COUNTIFS(Данные!$B$2:$B$722,71,Данные!$C$2:$C$722,1,Данные!$A$2:$A$722,"&gt;="&amp;77234020000,Данные!$A$2:$A$722,"&lt;="&amp;77234020999)</f>
        <v>0</v>
      </c>
      <c r="AO111" s="65" t="n">
        <f aca="false">COUNTIFS(Данные!$B$2:$B$722,71,Данные!$C$2:$C$722,1,Данные!$A$2:$A$722,"&gt;="&amp;77234029000,Данные!$A$2:$A$722,"&lt;="&amp;77234029999)</f>
        <v>0</v>
      </c>
      <c r="AP111" s="65" t="n">
        <f aca="false">COUNTIFS(Данные!$B$2:$B$722,71,Данные!$C$2:$C$722,1,Данные!$A$2:$A$722,"&gt;="&amp;77234050000,Данные!$A$2:$A$722,"&lt;="&amp;77234050999)</f>
        <v>0</v>
      </c>
      <c r="AQ111" s="65" t="n">
        <f aca="false">COUNTIFS(Данные!$B$2:$B$722,71,Данные!$C$2:$C$722,1,Данные!$A$2:$A$722,"&gt;="&amp;77234427000,Данные!$A$2:$A$722,"&lt;="&amp;77234428999)</f>
        <v>0</v>
      </c>
      <c r="AR111" s="65" t="n">
        <f aca="false">COUNTIFS(Данные!$B$2:$B$722,71,Данные!$C$2:$C$722,1,Данные!$A$2:$A$722,"&gt;="&amp;77234450000,Данные!$A$2:$A$722,"&lt;="&amp;77234450999)</f>
        <v>0</v>
      </c>
      <c r="AS111" s="65" t="n">
        <f aca="false">COUNTIFS(Данные!$B$2:$B$722,71,Данные!$C$2:$C$722,1,Данные!$A$2:$A$722,"&gt;="&amp;77234620000,Данные!$A$2:$A$722,"&lt;="&amp;77234620999)</f>
        <v>0</v>
      </c>
      <c r="AT111" s="65" t="n">
        <f aca="false">COUNTIFS(Данные!$B$2:$B$722,71,Данные!$C$2:$C$722,1,Данные!$A$2:$A$722,"&gt;="&amp;77234650000,Данные!$A$2:$A$722,"&lt;="&amp;77234650999)</f>
        <v>0</v>
      </c>
      <c r="AU111" s="65" t="n">
        <f aca="false">COUNTIFS(Данные!$B$2:$B$722,71,Данные!$C$2:$C$722,1,Данные!$A$2:$A$722,"&gt;="&amp;77234820000,Данные!$A$2:$A$722,"&lt;="&amp;77234820999)</f>
        <v>0</v>
      </c>
      <c r="AV111" s="65" t="n">
        <f aca="false">COUNTIFS(Данные!$B$2:$B$722,71,Данные!$C$2:$C$722,1,Данные!$A$2:$A$722,"&gt;="&amp;77234850000,Данные!$A$2:$A$722,"&lt;="&amp;77234850999)</f>
        <v>0</v>
      </c>
      <c r="AW111" s="65" t="n">
        <f aca="false">COUNTIFS(Данные!$B$2:$B$722,71,Данные!$C$2:$C$722,1,Данные!$A$2:$A$722,"&gt;="&amp;77233327000,Данные!$A$2:$A$722,"&lt;="&amp;77233327999)</f>
        <v>0</v>
      </c>
      <c r="AX111" s="65" t="n">
        <f aca="false">COUNTIFS(Данные!$B$2:$B$722,71,Данные!$C$2:$C$722,1,Данные!$A$2:$A$722,"&gt;="&amp;77233350000,Данные!$A$2:$A$722,"&lt;="&amp;77233350599)</f>
        <v>0</v>
      </c>
      <c r="AY111" s="65" t="n">
        <f aca="false">COUNTIFS(Данные!$B$2:$B$722,71,Данные!$C$2:$C$722,1,Данные!$A$2:$A$722,"&gt;="&amp;77233351000,Данные!$A$2:$A$722,"&lt;="&amp;77233351999)</f>
        <v>0</v>
      </c>
      <c r="AZ111" s="66" t="n">
        <f aca="false">COUNTIFS(Данные!$B$2:$B$722,71,Данные!$C$2:$C$722,1,Данные!$A$2:$A$722,"&gt;="&amp;7722440000,Данные!$A$2:$A$722,"&lt;="&amp;7722440999)</f>
        <v>0</v>
      </c>
      <c r="BA111" s="66" t="n">
        <f aca="false">COUNTIFS(Данные!$B$2:$B$722,71,Данные!$C$2:$C$722,1,Данные!$A$2:$A$722,"&gt;="&amp;7722442000,Данные!$A$2:$A$722,"&lt;="&amp;7722445659)</f>
        <v>0</v>
      </c>
      <c r="BB111" s="66" t="n">
        <f aca="false">COUNTIFS(Данные!$B$2:$B$722,71,Данные!$C$2:$C$722,1,Данные!$A$2:$A$722,"&gt;="&amp;7722450000,Данные!$A$2:$A$722,"&lt;="&amp;7722450199)</f>
        <v>0</v>
      </c>
      <c r="BC111" s="66" t="n">
        <f aca="false">COUNTIFS(Данные!$B$2:$B$722,71,Данные!$C$2:$C$722,1,Данные!$A$2:$A$722,"&gt;="&amp;7722451000,Данные!$A$2:$A$722,"&lt;="&amp;7722451374)</f>
        <v>0</v>
      </c>
      <c r="BD111" s="66" t="n">
        <f aca="false">COUNTIFS(Данные!$B$2:$B$722,71,Данные!$C$2:$C$722,1,Данные!$A$2:$A$722,"&gt;="&amp;7722452000,Данные!$A$2:$A$722,"&lt;="&amp;7722452299)</f>
        <v>0</v>
      </c>
      <c r="BE111" s="66" t="n">
        <f aca="false">COUNTIFS(Данные!$B$2:$B$722,71,Данные!$C$2:$C$722,1,Данные!$A$2:$A$722,"&gt;="&amp;7722453000,Данные!$A$2:$A$722,"&lt;="&amp;7722453816)</f>
        <v>0</v>
      </c>
      <c r="BF111" s="66" t="n">
        <f aca="false">COUNTIFS(Данные!$B$2:$B$722,71,Данные!$C$2:$C$722,1,Данные!$A$2:$A$722,"&gt;="&amp;7722454000,Данные!$A$2:$A$722,"&lt;="&amp;7722454099)</f>
        <v>0</v>
      </c>
      <c r="BG111" s="66" t="n">
        <f aca="false">COUNTIFS(Данные!$B$2:$B$722,71,Данные!$C$2:$C$722,1,Данные!$A$2:$A$722,"&gt;="&amp;7722458000,Данные!$A$2:$A$722,"&lt;="&amp;7722458999)</f>
        <v>0</v>
      </c>
      <c r="BH111" s="66" t="n">
        <f aca="false">COUNTIFS(Данные!$B$2:$B$722,71,Данные!$C$2:$C$722,1,Данные!$A$2:$A$722,"&gt;="&amp;7722630000,Данные!$A$2:$A$722,"&lt;="&amp;7722638549)</f>
        <v>0</v>
      </c>
      <c r="BI111" s="66" t="n">
        <f aca="false">COUNTIFS(Данные!$B$2:$B$722,71,Данные!$C$2:$C$722,1,Данные!$A$2:$A$722,"&gt;="&amp;7722639400,Данные!$A$2:$A$722,"&lt;="&amp;7722639899)</f>
        <v>0</v>
      </c>
      <c r="BJ111" s="66" t="n">
        <f aca="false">COUNTIFS(Данные!$B$2:$B$722,71,Данные!$C$2:$C$722,1,Данные!$A$2:$A$722,"&gt;="&amp;7725750000,Данные!$A$2:$A$722,"&lt;="&amp;7725750399)</f>
        <v>0</v>
      </c>
      <c r="BK111" s="66" t="n">
        <f aca="false">COUNTIFS(Данные!$B$2:$B$722,71,Данные!$C$2:$C$722,1,Данные!$A$2:$A$722,"&gt;="&amp;7723620000,Данные!$A$2:$A$722,"&lt;="&amp;7723621299)</f>
        <v>0</v>
      </c>
      <c r="BL111" s="66" t="n">
        <f aca="false">COUNTIFS(Данные!$B$2:$B$722,71,Данные!$C$2:$C$722,1,Данные!$A$2:$A$722,"&gt;="&amp;7723621600,Данные!$A$2:$A$722,"&lt;="&amp;7723623399)</f>
        <v>0</v>
      </c>
      <c r="BM111" s="66" t="n">
        <f aca="false">COUNTIFS(Данные!$B$2:$B$722,71,Данные!$C$2:$C$722,1,Данные!$A$2:$A$722,"&gt;="&amp;7725127000,Данные!$A$2:$A$722,"&lt;="&amp;7725127999)</f>
        <v>0</v>
      </c>
      <c r="BN111" s="66" t="n">
        <f aca="false">COUNTIFS(Данные!$B$2:$B$722,71,Данные!$C$2:$C$722,1,Данные!$A$2:$A$722,"&gt;="&amp;7723772000,Данные!$A$2:$A$722,"&lt;="&amp;7723724999)</f>
        <v>0</v>
      </c>
      <c r="BO111" s="65" t="n">
        <f aca="false">COUNTIFS(Данные!$B$2:$B$722,71,Данные!$C$2:$C$722,1,Данные!$A$2:$A$722,"&gt;="&amp;7723765000,Данные!$A$2:$A$722,"&lt;="&amp;7723765499)</f>
        <v>0</v>
      </c>
      <c r="BP111" s="66" t="n">
        <f aca="false">COUNTIFS(Данные!$B$2:$B$722,71,Данные!$C$2:$C$722,1,Данные!$A$2:$A$722,"&gt;="&amp;7723948000,Данные!$A$2:$A$722,"&lt;="&amp;7723948999)</f>
        <v>0</v>
      </c>
      <c r="BQ111" s="66" t="n">
        <f aca="false">COUNTIFS(Данные!$B$2:$B$722,71,Данные!$C$2:$C$722,1,Данные!$A$2:$A$722,"&gt;="&amp;7723950000,Данные!$A$2:$A$722,"&lt;="&amp;7723951099)</f>
        <v>0</v>
      </c>
      <c r="BR111" s="66" t="n">
        <f aca="false">COUNTIFS(Данные!$B$2:$B$722,71,Данные!$C$2:$C$722,1,Данные!$A$2:$A$722,"&gt;="&amp;7723020000,Данные!$A$2:$A$722,"&lt;="&amp;7723020999)</f>
        <v>0</v>
      </c>
      <c r="BS111" s="66" t="n">
        <f aca="false">COUNTIFS(Данные!$B$2:$B$722,71,Данные!$C$2:$C$722,1,Данные!$A$2:$A$722,"&gt;="&amp;7723029000,Данные!$A$2:$A$722,"&lt;="&amp;7723029999)</f>
        <v>0</v>
      </c>
      <c r="BT111" s="66" t="n">
        <f aca="false">COUNTIFS(Данные!$B$2:$B$722,71,Данные!$C$2:$C$722,1,Данные!$A$2:$A$722,"&gt;="&amp;7723055000,Данные!$A$2:$A$722,"&lt;="&amp;7723056549)</f>
        <v>0</v>
      </c>
      <c r="BU111" s="65" t="n">
        <f aca="false">COUNTIFS(Данные!$B$2:$B$722,71,Данные!$C$2:$C$722,1,Данные!$A$2:$A$722,"&gt;="&amp;7725250000,Данные!$A$2:$A$722,"&lt;="&amp;7725250499)</f>
        <v>0</v>
      </c>
      <c r="BV111" s="66" t="n">
        <f aca="false">COUNTIFS(Данные!$B$2:$B$722,71,Данные!$C$2:$C$722,1,Данные!$A$2:$A$722,"&gt;="&amp;7183841400,Данные!$A$2:$A$722,"&lt;="&amp;7183841499)</f>
        <v>0</v>
      </c>
      <c r="BW111" s="49" t="n">
        <v>300</v>
      </c>
      <c r="BX111" s="67" t="n">
        <f aca="false">F111-BW111</f>
        <v>-300</v>
      </c>
    </row>
    <row r="112" s="15" customFormat="true" ht="12" hidden="false" customHeight="true" outlineLevel="0" collapsed="false">
      <c r="A112" s="47"/>
      <c r="B112" s="48"/>
      <c r="C112" s="50" t="n">
        <v>2</v>
      </c>
      <c r="D112" s="50" t="n">
        <v>712</v>
      </c>
      <c r="E112" s="51"/>
      <c r="F112" s="65" t="n">
        <f aca="false">COUNTIFS(Данные!$B$2:$B$722,71,Данные!$C$2:$C$722,2)</f>
        <v>0</v>
      </c>
      <c r="G112" s="65" t="n">
        <f aca="false">COUNTIFS(Данные!$B$2:$B$722,71,Данные!$C$2:$C$722,2,Данные!$A$2:$A$722,"&gt;="&amp;77232210840,Данные!$A$2:$A$722,"&lt;="&amp;77232216999)</f>
        <v>0</v>
      </c>
      <c r="H112" s="65" t="n">
        <f aca="false">COUNTIFS(Данные!$B$2:$B$722,71,Данные!$C$2:$C$722,2,Данные!$A$2:$A$722,"&gt;="&amp;77232510512,Данные!$A$2:$A$722,"&lt;="&amp;77232519487)</f>
        <v>0</v>
      </c>
      <c r="I112" s="65" t="n">
        <f aca="false">COUNTIFS(Данные!$B$2:$B$722,71,Данные!$C$2:$C$722,2,Данные!$A$2:$A$722,"&gt;="&amp;77232524160,Данные!$A$2:$A$722,"&lt;="&amp;77232529999)</f>
        <v>0</v>
      </c>
      <c r="J112" s="65" t="n">
        <f aca="false">COUNTIFS(Данные!$B$2:$B$722,71,Данные!$C$2:$C$722,2,Данные!$A$2:$A$722,"&gt;="&amp;77232544000,Данные!$A$2:$A$722,"&lt;="&amp;77232544999)</f>
        <v>0</v>
      </c>
      <c r="K112" s="65" t="n">
        <f aca="false">COUNTIFS(Данные!$B$2:$B$722,71,Данные!$C$2:$C$722,2,Данные!$A$2:$A$722,"&gt;="&amp;77232295504,Данные!$A$2:$A$722,"&lt;="&amp;77232296999)</f>
        <v>0</v>
      </c>
      <c r="L112" s="65" t="n">
        <f aca="false">COUNTIFS(Данные!$B$2:$B$722,71,Данные!$C$2:$C$722,2,Данные!$A$2:$A$722,"&gt;="&amp;77232785000,Данные!$A$2:$A$722,"&lt;="&amp;77232789999)</f>
        <v>0</v>
      </c>
      <c r="M112" s="65" t="n">
        <f aca="false">COUNTIFS(Данные!$B$2:$B$722,71,Данные!$C$2:$C$722,2,Данные!$A$2:$A$722,"&gt;="&amp;77233150000,Данные!$A$2:$A$722,"&lt;="&amp;77233155999)</f>
        <v>0</v>
      </c>
      <c r="N112" s="65" t="n">
        <f aca="false">COUNTIFS(Данные!$B$2:$B$722,71,Данные!$C$2:$C$722,2,Данные!$A$2:$A$722,"&gt;="&amp;77233235000,Данные!$A$2:$A$722,"&lt;="&amp;77233235999)</f>
        <v>0</v>
      </c>
      <c r="O112" s="65" t="n">
        <f aca="false">COUNTIFS(Данные!$B$2:$B$722,71,Данные!$C$2:$C$722,2,Данные!$A$2:$A$722,"&gt;="&amp;77233239000,Данные!$A$2:$A$722,"&lt;="&amp;77233239999)</f>
        <v>0</v>
      </c>
      <c r="P112" s="65" t="n">
        <f aca="false">COUNTIFS(Данные!$B$2:$B$722,71,Данные!$C$2:$C$722,2,Данные!$A$2:$A$722,"&gt;="&amp;77233272000,Данные!$A$2:$A$722,"&lt;="&amp;77233272999)</f>
        <v>0</v>
      </c>
      <c r="Q112" s="65" t="n">
        <f aca="false">COUNTIFS(Данные!$B$2:$B$722,71,Данные!$C$2:$C$722,2,Данные!$A$2:$A$722,"&gt;="&amp;77233291100,Данные!$A$2:$A$722,"&lt;="&amp;77233292999)</f>
        <v>0</v>
      </c>
      <c r="R112" s="65" t="n">
        <f aca="false">COUNTIFS(Данные!$B$2:$B$722,71,Данные!$C$2:$C$722,2,Данные!$A$2:$A$722,"&gt;="&amp;77233297000,Данные!$A$2:$A$722,"&lt;="&amp;77233298399)</f>
        <v>0</v>
      </c>
      <c r="S112" s="65" t="n">
        <f aca="false">COUNTIFS(Данные!$B$2:$B$722,71,Данные!$C$2:$C$722,2,Данные!$A$2:$A$722,"&gt;="&amp;77235124000,Данные!$A$2:$A$722,"&lt;="&amp;77235128499)</f>
        <v>0</v>
      </c>
      <c r="T112" s="65" t="n">
        <f aca="false">COUNTIFS(Данные!$B$2:$B$722,71,Данные!$C$2:$C$722,2,Данные!$A$2:$A$722,"&gt;="&amp;77235320000,Данные!$A$2:$A$722,"&lt;="&amp;77235320999)</f>
        <v>0</v>
      </c>
      <c r="U112" s="65" t="n">
        <f aca="false">COUNTIFS(Данные!$B$2:$B$722,71,Данные!$C$2:$C$722,2,Данные!$A$2:$A$722,"&gt;="&amp;77233620000,Данные!$A$2:$A$722,"&lt;="&amp;77233623339)</f>
        <v>0</v>
      </c>
      <c r="V112" s="65" t="n">
        <f aca="false">COUNTIFS(Данные!$B$2:$B$722,71,Данные!$C$2:$C$722,2,Данные!$A$2:$A$722,"&gt;="&amp;77233630000,Данные!$A$2:$A$722,"&lt;="&amp;77233630999)</f>
        <v>0</v>
      </c>
      <c r="W112" s="65" t="n">
        <f aca="false">COUNTIFS(Данные!$B$2:$B$722,71,Данные!$C$2:$C$722,2,Данные!$A$2:$A$722,"&gt;="&amp;77233637000,Данные!$A$2:$A$722,"&lt;="&amp;77233637599)</f>
        <v>0</v>
      </c>
      <c r="X112" s="65" t="n">
        <f aca="false">COUNTIFS(Данные!$B$2:$B$722,71,Данные!$C$2:$C$722,2,Данные!$A$2:$A$722,"&gt;="&amp;77233550000,Данные!$A$2:$A$722,"&lt;="&amp;77233550999)</f>
        <v>0</v>
      </c>
      <c r="Y112" s="65" t="n">
        <f aca="false">COUNTIFS(Данные!$B$2:$B$722,71,Данные!$C$2:$C$722,2,Данные!$A$2:$A$722,"&gt;="&amp;77233554000,Данные!$A$2:$A$722,"&lt;="&amp;77233554999)</f>
        <v>0</v>
      </c>
      <c r="Z112" s="65" t="n">
        <f aca="false">COUNTIFS(Данные!$B$2:$B$722,71,Данные!$C$2:$C$722,2,Данные!$A$2:$A$722,"&gt;="&amp;77233555000,Данные!$A$2:$A$722,"&lt;="&amp;77233556999)</f>
        <v>0</v>
      </c>
      <c r="AA112" s="65" t="n">
        <f aca="false">COUNTIFS(Данные!$B$2:$B$722,71,Данные!$C$2:$C$722,2,Данные!$A$2:$A$722,"&gt;="&amp;77233726000,Данные!$A$2:$A$722,"&lt;="&amp;77233726999)</f>
        <v>0</v>
      </c>
      <c r="AB112" s="65" t="n">
        <f aca="false">COUNTIFS(Данные!$B$2:$B$722,71,Данные!$C$2:$C$722,2,Данные!$A$2:$A$722,"&gt;="&amp;77233820000,Данные!$A$2:$A$722,"&lt;="&amp;77233820999)</f>
        <v>0</v>
      </c>
      <c r="AC112" s="65" t="n">
        <f aca="false">COUNTIFS(Данные!$B$2:$B$722,71,Данные!$C$2:$C$722,2,Данные!$A$2:$A$722,"&gt;="&amp;77233850000,Данные!$A$2:$A$722,"&lt;="&amp;77233850999)</f>
        <v>0</v>
      </c>
      <c r="AD112" s="65" t="n">
        <f aca="false">COUNTIFS(Данные!$B$2:$B$722,71,Данные!$C$2:$C$722,2,Данные!$A$2:$A$722,"&gt;="&amp;77233420000,Данные!$A$2:$A$722,"&lt;="&amp;77233420999)</f>
        <v>0</v>
      </c>
      <c r="AE112" s="65" t="n">
        <f aca="false">COUNTIFS(Данные!$B$2:$B$722,71,Данные!$C$2:$C$722,2,Данные!$A$2:$A$722,"&gt;="&amp;77234740000,Данные!$A$2:$A$722,"&lt;="&amp;77234742999)</f>
        <v>0</v>
      </c>
      <c r="AF112" s="65" t="n">
        <f aca="false">COUNTIFS(Данные!$B$2:$B$722,71,Данные!$C$2:$C$722,2,Данные!$A$2:$A$722,"&gt;="&amp;77234767000,Данные!$A$2:$A$722,"&lt;="&amp;77234767999)</f>
        <v>0</v>
      </c>
      <c r="AG112" s="65" t="n">
        <f aca="false">COUNTIFS(Данные!$B$2:$B$722,71,Данные!$C$2:$C$722,2,Данные!$A$2:$A$722,"&gt;="&amp;77234120000,Данные!$A$2:$A$722,"&lt;="&amp;77234120999)</f>
        <v>0</v>
      </c>
      <c r="AH112" s="65" t="n">
        <f aca="false">COUNTIFS(Данные!$B$2:$B$722,71,Данные!$C$2:$C$722,2,Данные!$A$2:$A$722,"&gt;="&amp;77234127000,Данные!$A$2:$A$722,"&lt;="&amp;77234127999)</f>
        <v>0</v>
      </c>
      <c r="AI112" s="65" t="n">
        <f aca="false">COUNTIFS(Данные!$B$2:$B$722,71,Данные!$C$2:$C$722,2,Данные!$A$2:$A$722,"&gt;="&amp;77234220000,Данные!$A$2:$A$722,"&lt;="&amp;77234220999)</f>
        <v>0</v>
      </c>
      <c r="AJ112" s="65" t="n">
        <f aca="false">COUNTIFS(Данные!$B$2:$B$722,71,Данные!$C$2:$C$722,2,Данные!$A$2:$A$722,"&gt;="&amp;77234250000,Данные!$A$2:$A$722,"&lt;="&amp;77234250999)</f>
        <v>0</v>
      </c>
      <c r="AK112" s="65" t="n">
        <f aca="false">COUNTIFS(Данные!$B$2:$B$722,71,Данные!$C$2:$C$722,2,Данные!$A$2:$A$722,"&gt;="&amp;77233922950,Данные!$A$2:$A$722,"&lt;="&amp;77233924999)</f>
        <v>0</v>
      </c>
      <c r="AL112" s="65" t="n">
        <f aca="false">COUNTIFS(Данные!$B$2:$B$722,71,Данные!$C$2:$C$722,2,Данные!$A$2:$A$722,"&gt;="&amp;77234320000,Данные!$A$2:$A$722,"&lt;="&amp;77234320999)</f>
        <v>0</v>
      </c>
      <c r="AM112" s="65" t="n">
        <f aca="false">COUNTIFS(Данные!$B$2:$B$722,71,Данные!$C$2:$C$722,2,Данные!$A$2:$A$722,"&gt;="&amp;77234350000,Данные!$A$2:$A$722,"&lt;="&amp;77234350999)</f>
        <v>0</v>
      </c>
      <c r="AN112" s="65" t="n">
        <f aca="false">COUNTIFS(Данные!$B$2:$B$722,71,Данные!$C$2:$C$722,2,Данные!$A$2:$A$722,"&gt;="&amp;77234020000,Данные!$A$2:$A$722,"&lt;="&amp;77234020999)</f>
        <v>0</v>
      </c>
      <c r="AO112" s="65" t="n">
        <f aca="false">COUNTIFS(Данные!$B$2:$B$722,71,Данные!$C$2:$C$722,2,Данные!$A$2:$A$722,"&gt;="&amp;77234029000,Данные!$A$2:$A$722,"&lt;="&amp;77234029999)</f>
        <v>0</v>
      </c>
      <c r="AP112" s="65" t="n">
        <f aca="false">COUNTIFS(Данные!$B$2:$B$722,71,Данные!$C$2:$C$722,2,Данные!$A$2:$A$722,"&gt;="&amp;77234050000,Данные!$A$2:$A$722,"&lt;="&amp;77234050999)</f>
        <v>0</v>
      </c>
      <c r="AQ112" s="65" t="n">
        <f aca="false">COUNTIFS(Данные!$B$2:$B$722,71,Данные!$C$2:$C$722,2,Данные!$A$2:$A$722,"&gt;="&amp;77234427000,Данные!$A$2:$A$722,"&lt;="&amp;77234428999)</f>
        <v>0</v>
      </c>
      <c r="AR112" s="65" t="n">
        <f aca="false">COUNTIFS(Данные!$B$2:$B$722,71,Данные!$C$2:$C$722,2,Данные!$A$2:$A$722,"&gt;="&amp;77234450000,Данные!$A$2:$A$722,"&lt;="&amp;77234450999)</f>
        <v>0</v>
      </c>
      <c r="AS112" s="65" t="n">
        <f aca="false">COUNTIFS(Данные!$B$2:$B$722,71,Данные!$C$2:$C$722,2,Данные!$A$2:$A$722,"&gt;="&amp;77234620000,Данные!$A$2:$A$722,"&lt;="&amp;77234620999)</f>
        <v>0</v>
      </c>
      <c r="AT112" s="65" t="n">
        <f aca="false">COUNTIFS(Данные!$B$2:$B$722,71,Данные!$C$2:$C$722,2,Данные!$A$2:$A$722,"&gt;="&amp;77234650000,Данные!$A$2:$A$722,"&lt;="&amp;77234650999)</f>
        <v>0</v>
      </c>
      <c r="AU112" s="65" t="n">
        <f aca="false">COUNTIFS(Данные!$B$2:$B$722,71,Данные!$C$2:$C$722,2,Данные!$A$2:$A$722,"&gt;="&amp;77234820000,Данные!$A$2:$A$722,"&lt;="&amp;77234820999)</f>
        <v>0</v>
      </c>
      <c r="AV112" s="65" t="n">
        <f aca="false">COUNTIFS(Данные!$B$2:$B$722,71,Данные!$C$2:$C$722,2,Данные!$A$2:$A$722,"&gt;="&amp;77234850000,Данные!$A$2:$A$722,"&lt;="&amp;77234850999)</f>
        <v>0</v>
      </c>
      <c r="AW112" s="65" t="n">
        <f aca="false">COUNTIFS(Данные!$B$2:$B$722,71,Данные!$C$2:$C$722,2,Данные!$A$2:$A$722,"&gt;="&amp;77233327000,Данные!$A$2:$A$722,"&lt;="&amp;77233327999)</f>
        <v>0</v>
      </c>
      <c r="AX112" s="65" t="n">
        <f aca="false">COUNTIFS(Данные!$B$2:$B$722,71,Данные!$C$2:$C$722,2,Данные!$A$2:$A$722,"&gt;="&amp;77233350000,Данные!$A$2:$A$722,"&lt;="&amp;77233350599)</f>
        <v>0</v>
      </c>
      <c r="AY112" s="65" t="n">
        <f aca="false">COUNTIFS(Данные!$B$2:$B$722,71,Данные!$C$2:$C$722,2,Данные!$A$2:$A$722,"&gt;="&amp;77233351000,Данные!$A$2:$A$722,"&lt;="&amp;77233351999)</f>
        <v>0</v>
      </c>
      <c r="AZ112" s="66" t="n">
        <f aca="false">COUNTIFS(Данные!$B$2:$B$722,71,Данные!$C$2:$C$722,2,Данные!$A$2:$A$722,"&gt;="&amp;7722440000,Данные!$A$2:$A$722,"&lt;="&amp;7722440999)</f>
        <v>0</v>
      </c>
      <c r="BA112" s="66" t="n">
        <f aca="false">COUNTIFS(Данные!$B$2:$B$722,71,Данные!$C$2:$C$722,2,Данные!$A$2:$A$722,"&gt;="&amp;7722442000,Данные!$A$2:$A$722,"&lt;="&amp;7722445659)</f>
        <v>0</v>
      </c>
      <c r="BB112" s="66" t="n">
        <f aca="false">COUNTIFS(Данные!$B$2:$B$722,71,Данные!$C$2:$C$722,2,Данные!$A$2:$A$722,"&gt;="&amp;7722450000,Данные!$A$2:$A$722,"&lt;="&amp;7722450199)</f>
        <v>0</v>
      </c>
      <c r="BC112" s="66" t="n">
        <f aca="false">COUNTIFS(Данные!$B$2:$B$722,71,Данные!$C$2:$C$722,2,Данные!$A$2:$A$722,"&gt;="&amp;7722451000,Данные!$A$2:$A$722,"&lt;="&amp;7722451374)</f>
        <v>0</v>
      </c>
      <c r="BD112" s="66" t="n">
        <f aca="false">COUNTIFS(Данные!$B$2:$B$722,71,Данные!$C$2:$C$722,2,Данные!$A$2:$A$722,"&gt;="&amp;7722452000,Данные!$A$2:$A$722,"&lt;="&amp;7722452299)</f>
        <v>0</v>
      </c>
      <c r="BE112" s="66" t="n">
        <f aca="false">COUNTIFS(Данные!$B$2:$B$722,71,Данные!$C$2:$C$722,2,Данные!$A$2:$A$722,"&gt;="&amp;7722453000,Данные!$A$2:$A$722,"&lt;="&amp;7722453816)</f>
        <v>0</v>
      </c>
      <c r="BF112" s="66" t="n">
        <f aca="false">COUNTIFS(Данные!$B$2:$B$722,71,Данные!$C$2:$C$722,2,Данные!$A$2:$A$722,"&gt;="&amp;7722454000,Данные!$A$2:$A$722,"&lt;="&amp;7722454099)</f>
        <v>0</v>
      </c>
      <c r="BG112" s="66" t="n">
        <f aca="false">COUNTIFS(Данные!$B$2:$B$722,71,Данные!$C$2:$C$722,2,Данные!$A$2:$A$722,"&gt;="&amp;7722458000,Данные!$A$2:$A$722,"&lt;="&amp;7722458999)</f>
        <v>0</v>
      </c>
      <c r="BH112" s="66" t="n">
        <f aca="false">COUNTIFS(Данные!$B$2:$B$722,71,Данные!$C$2:$C$722,2,Данные!$A$2:$A$722,"&gt;="&amp;7722630000,Данные!$A$2:$A$722,"&lt;="&amp;7722638549)</f>
        <v>0</v>
      </c>
      <c r="BI112" s="66" t="n">
        <f aca="false">COUNTIFS(Данные!$B$2:$B$722,71,Данные!$C$2:$C$722,2,Данные!$A$2:$A$722,"&gt;="&amp;7722639400,Данные!$A$2:$A$722,"&lt;="&amp;7722639899)</f>
        <v>0</v>
      </c>
      <c r="BJ112" s="66" t="n">
        <f aca="false">COUNTIFS(Данные!$B$2:$B$722,71,Данные!$C$2:$C$722,2,Данные!$A$2:$A$722,"&gt;="&amp;7725750000,Данные!$A$2:$A$722,"&lt;="&amp;7725750399)</f>
        <v>0</v>
      </c>
      <c r="BK112" s="66" t="n">
        <f aca="false">COUNTIFS(Данные!$B$2:$B$722,71,Данные!$C$2:$C$722,2,Данные!$A$2:$A$722,"&gt;="&amp;7723620000,Данные!$A$2:$A$722,"&lt;="&amp;7723621299)</f>
        <v>0</v>
      </c>
      <c r="BL112" s="66" t="n">
        <f aca="false">COUNTIFS(Данные!$B$2:$B$722,71,Данные!$C$2:$C$722,2,Данные!$A$2:$A$722,"&gt;="&amp;7723621600,Данные!$A$2:$A$722,"&lt;="&amp;7723623399)</f>
        <v>0</v>
      </c>
      <c r="BM112" s="66" t="n">
        <f aca="false">COUNTIFS(Данные!$B$2:$B$722,71,Данные!$C$2:$C$722,2,Данные!$A$2:$A$722,"&gt;="&amp;7725127000,Данные!$A$2:$A$722,"&lt;="&amp;7725127999)</f>
        <v>0</v>
      </c>
      <c r="BN112" s="66" t="n">
        <f aca="false">COUNTIFS(Данные!$B$2:$B$722,71,Данные!$C$2:$C$722,2,Данные!$A$2:$A$722,"&gt;="&amp;7723772000,Данные!$A$2:$A$722,"&lt;="&amp;7723724999)</f>
        <v>0</v>
      </c>
      <c r="BO112" s="65" t="n">
        <f aca="false">COUNTIFS(Данные!$B$2:$B$722,71,Данные!$C$2:$C$722,2,Данные!$A$2:$A$722,"&gt;="&amp;7723765000,Данные!$A$2:$A$722,"&lt;="&amp;7723765499)</f>
        <v>0</v>
      </c>
      <c r="BP112" s="66" t="n">
        <f aca="false">COUNTIFS(Данные!$B$2:$B$722,71,Данные!$C$2:$C$722,2,Данные!$A$2:$A$722,"&gt;="&amp;7723948000,Данные!$A$2:$A$722,"&lt;="&amp;7723948999)</f>
        <v>0</v>
      </c>
      <c r="BQ112" s="66" t="n">
        <f aca="false">COUNTIFS(Данные!$B$2:$B$722,71,Данные!$C$2:$C$722,2,Данные!$A$2:$A$722,"&gt;="&amp;7723950000,Данные!$A$2:$A$722,"&lt;="&amp;7723951099)</f>
        <v>0</v>
      </c>
      <c r="BR112" s="66" t="n">
        <f aca="false">COUNTIFS(Данные!$B$2:$B$722,71,Данные!$C$2:$C$722,2,Данные!$A$2:$A$722,"&gt;="&amp;7723020000,Данные!$A$2:$A$722,"&lt;="&amp;7723020999)</f>
        <v>0</v>
      </c>
      <c r="BS112" s="66" t="n">
        <f aca="false">COUNTIFS(Данные!$B$2:$B$722,71,Данные!$C$2:$C$722,2,Данные!$A$2:$A$722,"&gt;="&amp;7723029000,Данные!$A$2:$A$722,"&lt;="&amp;7723029999)</f>
        <v>0</v>
      </c>
      <c r="BT112" s="66" t="n">
        <f aca="false">COUNTIFS(Данные!$B$2:$B$722,71,Данные!$C$2:$C$722,2,Данные!$A$2:$A$722,"&gt;="&amp;7723055000,Данные!$A$2:$A$722,"&lt;="&amp;7723056549)</f>
        <v>0</v>
      </c>
      <c r="BU112" s="65" t="n">
        <f aca="false">COUNTIFS(Данные!$B$2:$B$722,71,Данные!$C$2:$C$722,2,Данные!$A$2:$A$722,"&gt;="&amp;7725250000,Данные!$A$2:$A$722,"&lt;="&amp;7725250499)</f>
        <v>0</v>
      </c>
      <c r="BV112" s="66" t="n">
        <f aca="false">COUNTIFS(Данные!$B$2:$B$722,71,Данные!$C$2:$C$722,2,Данные!$A$2:$A$722,"&gt;="&amp;7183841400,Данные!$A$2:$A$722,"&lt;="&amp;7183841499)</f>
        <v>0</v>
      </c>
      <c r="BW112" s="49" t="n">
        <v>300</v>
      </c>
      <c r="BX112" s="67" t="n">
        <f aca="false">F112-BW112</f>
        <v>-300</v>
      </c>
    </row>
    <row r="113" s="15" customFormat="true" ht="12" hidden="false" customHeight="true" outlineLevel="0" collapsed="false">
      <c r="A113" s="38" t="n">
        <v>72</v>
      </c>
      <c r="B113" s="39" t="s">
        <v>97</v>
      </c>
      <c r="C113" s="41" t="n">
        <v>0</v>
      </c>
      <c r="D113" s="41" t="n">
        <v>720</v>
      </c>
      <c r="E113" s="42" t="n">
        <f aca="false">SUM(F113:F115)</f>
        <v>0</v>
      </c>
      <c r="F113" s="62" t="n">
        <f aca="false">COUNTIFS(Данные!$B$2:$B$722,72,Данные!$C$2:$C$722,0)</f>
        <v>0</v>
      </c>
      <c r="G113" s="62" t="n">
        <f aca="false">COUNTIFS(Данные!$B$2:$B$722,72,Данные!$C$2:$C$722,0,Данные!$A$2:$A$722,"&gt;="&amp;77232210840,Данные!$A$2:$A$722,"&lt;="&amp;77232216999)</f>
        <v>0</v>
      </c>
      <c r="H113" s="62" t="n">
        <f aca="false">COUNTIFS(Данные!$B$2:$B$722,72,Данные!$C$2:$C$722,0,Данные!$A$2:$A$722,"&gt;="&amp;77232510512,Данные!$A$2:$A$722,"&lt;="&amp;77232519487)</f>
        <v>0</v>
      </c>
      <c r="I113" s="62" t="n">
        <f aca="false">COUNTIFS(Данные!$B$2:$B$722,72,Данные!$C$2:$C$722,0,Данные!$A$2:$A$722,"&gt;="&amp;77232524160,Данные!$A$2:$A$722,"&lt;="&amp;77232529999)</f>
        <v>0</v>
      </c>
      <c r="J113" s="62" t="n">
        <f aca="false">COUNTIFS(Данные!$B$2:$B$722,72,Данные!$C$2:$C$722,0,Данные!$A$2:$A$722,"&gt;="&amp;77232544000,Данные!$A$2:$A$722,"&lt;="&amp;77232544999)</f>
        <v>0</v>
      </c>
      <c r="K113" s="62" t="n">
        <f aca="false">COUNTIFS(Данные!$B$2:$B$722,72,Данные!$C$2:$C$722,0,Данные!$A$2:$A$722,"&gt;="&amp;77232295504,Данные!$A$2:$A$722,"&lt;="&amp;77232296999)</f>
        <v>0</v>
      </c>
      <c r="L113" s="62" t="n">
        <f aca="false">COUNTIFS(Данные!$B$2:$B$722,72,Данные!$C$2:$C$722,0,Данные!$A$2:$A$722,"&gt;="&amp;77232785000,Данные!$A$2:$A$722,"&lt;="&amp;77232789999)</f>
        <v>0</v>
      </c>
      <c r="M113" s="62" t="n">
        <f aca="false">COUNTIFS(Данные!$B$2:$B$722,72,Данные!$C$2:$C$722,0,Данные!$A$2:$A$722,"&gt;="&amp;77233150000,Данные!$A$2:$A$722,"&lt;="&amp;77233155999)</f>
        <v>0</v>
      </c>
      <c r="N113" s="62" t="n">
        <f aca="false">COUNTIFS(Данные!$B$2:$B$722,72,Данные!$C$2:$C$722,0,Данные!$A$2:$A$722,"&gt;="&amp;77233235000,Данные!$A$2:$A$722,"&lt;="&amp;77233235999)</f>
        <v>0</v>
      </c>
      <c r="O113" s="62" t="n">
        <f aca="false">COUNTIFS(Данные!$B$2:$B$722,72,Данные!$C$2:$C$722,0,Данные!$A$2:$A$722,"&gt;="&amp;77233239000,Данные!$A$2:$A$722,"&lt;="&amp;77233239999)</f>
        <v>0</v>
      </c>
      <c r="P113" s="62" t="n">
        <f aca="false">COUNTIFS(Данные!$B$2:$B$722,72,Данные!$C$2:$C$722,0,Данные!$A$2:$A$722,"&gt;="&amp;77233272000,Данные!$A$2:$A$722,"&lt;="&amp;77233272999)</f>
        <v>0</v>
      </c>
      <c r="Q113" s="62" t="n">
        <f aca="false">COUNTIFS(Данные!$B$2:$B$722,72,Данные!$C$2:$C$722,0,Данные!$A$2:$A$722,"&gt;="&amp;77233291100,Данные!$A$2:$A$722,"&lt;="&amp;77233292999)</f>
        <v>0</v>
      </c>
      <c r="R113" s="62" t="n">
        <f aca="false">COUNTIFS(Данные!$B$2:$B$722,72,Данные!$C$2:$C$722,0,Данные!$A$2:$A$722,"&gt;="&amp;77233297000,Данные!$A$2:$A$722,"&lt;="&amp;77233298399)</f>
        <v>0</v>
      </c>
      <c r="S113" s="62" t="n">
        <f aca="false">COUNTIFS(Данные!$B$2:$B$722,72,Данные!$C$2:$C$722,0,Данные!$A$2:$A$722,"&gt;="&amp;77235124000,Данные!$A$2:$A$722,"&lt;="&amp;77235128499)</f>
        <v>0</v>
      </c>
      <c r="T113" s="62" t="n">
        <f aca="false">COUNTIFS(Данные!$B$2:$B$722,72,Данные!$C$2:$C$722,0,Данные!$A$2:$A$722,"&gt;="&amp;77235320000,Данные!$A$2:$A$722,"&lt;="&amp;77235320999)</f>
        <v>0</v>
      </c>
      <c r="U113" s="62" t="n">
        <f aca="false">COUNTIFS(Данные!$B$2:$B$722,72,Данные!$C$2:$C$722,0,Данные!$A$2:$A$722,"&gt;="&amp;77233620000,Данные!$A$2:$A$722,"&lt;="&amp;77233623339)</f>
        <v>0</v>
      </c>
      <c r="V113" s="62" t="n">
        <f aca="false">COUNTIFS(Данные!$B$2:$B$722,72,Данные!$C$2:$C$722,0,Данные!$A$2:$A$722,"&gt;="&amp;77233630000,Данные!$A$2:$A$722,"&lt;="&amp;77233630999)</f>
        <v>0</v>
      </c>
      <c r="W113" s="62" t="n">
        <f aca="false">COUNTIFS(Данные!$B$2:$B$722,72,Данные!$C$2:$C$722,0,Данные!$A$2:$A$722,"&gt;="&amp;77233637000,Данные!$A$2:$A$722,"&lt;="&amp;77233637599)</f>
        <v>0</v>
      </c>
      <c r="X113" s="62" t="n">
        <f aca="false">COUNTIFS(Данные!$B$2:$B$722,72,Данные!$C$2:$C$722,0,Данные!$A$2:$A$722,"&gt;="&amp;77233550000,Данные!$A$2:$A$722,"&lt;="&amp;77233550999)</f>
        <v>0</v>
      </c>
      <c r="Y113" s="62" t="n">
        <f aca="false">COUNTIFS(Данные!$B$2:$B$722,72,Данные!$C$2:$C$722,0,Данные!$A$2:$A$722,"&gt;="&amp;77233554000,Данные!$A$2:$A$722,"&lt;="&amp;77233554999)</f>
        <v>0</v>
      </c>
      <c r="Z113" s="62" t="n">
        <f aca="false">COUNTIFS(Данные!$B$2:$B$722,72,Данные!$C$2:$C$722,0,Данные!$A$2:$A$722,"&gt;="&amp;77233555000,Данные!$A$2:$A$722,"&lt;="&amp;77233556999)</f>
        <v>0</v>
      </c>
      <c r="AA113" s="62" t="n">
        <f aca="false">COUNTIFS(Данные!$B$2:$B$722,72,Данные!$C$2:$C$722,0,Данные!$A$2:$A$722,"&gt;="&amp;77233726000,Данные!$A$2:$A$722,"&lt;="&amp;77233726999)</f>
        <v>0</v>
      </c>
      <c r="AB113" s="62" t="n">
        <f aca="false">COUNTIFS(Данные!$B$2:$B$722,72,Данные!$C$2:$C$722,0,Данные!$A$2:$A$722,"&gt;="&amp;77233820000,Данные!$A$2:$A$722,"&lt;="&amp;77233820999)</f>
        <v>0</v>
      </c>
      <c r="AC113" s="62" t="n">
        <f aca="false">COUNTIFS(Данные!$B$2:$B$722,72,Данные!$C$2:$C$722,0,Данные!$A$2:$A$722,"&gt;="&amp;77233850000,Данные!$A$2:$A$722,"&lt;="&amp;77233850999)</f>
        <v>0</v>
      </c>
      <c r="AD113" s="62" t="n">
        <f aca="false">COUNTIFS(Данные!$B$2:$B$722,72,Данные!$C$2:$C$722,0,Данные!$A$2:$A$722,"&gt;="&amp;77233420000,Данные!$A$2:$A$722,"&lt;="&amp;77233420999)</f>
        <v>0</v>
      </c>
      <c r="AE113" s="62" t="n">
        <f aca="false">COUNTIFS(Данные!$B$2:$B$722,72,Данные!$C$2:$C$722,0,Данные!$A$2:$A$722,"&gt;="&amp;77234740000,Данные!$A$2:$A$722,"&lt;="&amp;77234742999)</f>
        <v>0</v>
      </c>
      <c r="AF113" s="62" t="n">
        <f aca="false">COUNTIFS(Данные!$B$2:$B$722,72,Данные!$C$2:$C$722,0,Данные!$A$2:$A$722,"&gt;="&amp;77234767000,Данные!$A$2:$A$722,"&lt;="&amp;77234767999)</f>
        <v>0</v>
      </c>
      <c r="AG113" s="62" t="n">
        <f aca="false">COUNTIFS(Данные!$B$2:$B$722,72,Данные!$C$2:$C$722,0,Данные!$A$2:$A$722,"&gt;="&amp;77234120000,Данные!$A$2:$A$722,"&lt;="&amp;77234120999)</f>
        <v>0</v>
      </c>
      <c r="AH113" s="62" t="n">
        <f aca="false">COUNTIFS(Данные!$B$2:$B$722,72,Данные!$C$2:$C$722,0,Данные!$A$2:$A$722,"&gt;="&amp;77234127000,Данные!$A$2:$A$722,"&lt;="&amp;77234127999)</f>
        <v>0</v>
      </c>
      <c r="AI113" s="62" t="n">
        <f aca="false">COUNTIFS(Данные!$B$2:$B$722,72,Данные!$C$2:$C$722,0,Данные!$A$2:$A$722,"&gt;="&amp;77234220000,Данные!$A$2:$A$722,"&lt;="&amp;77234220999)</f>
        <v>0</v>
      </c>
      <c r="AJ113" s="62" t="n">
        <f aca="false">COUNTIFS(Данные!$B$2:$B$722,72,Данные!$C$2:$C$722,0,Данные!$A$2:$A$722,"&gt;="&amp;77234250000,Данные!$A$2:$A$722,"&lt;="&amp;77234250999)</f>
        <v>0</v>
      </c>
      <c r="AK113" s="62" t="n">
        <f aca="false">COUNTIFS(Данные!$B$2:$B$722,72,Данные!$C$2:$C$722,0,Данные!$A$2:$A$722,"&gt;="&amp;77233922950,Данные!$A$2:$A$722,"&lt;="&amp;77233924999)</f>
        <v>0</v>
      </c>
      <c r="AL113" s="62" t="n">
        <f aca="false">COUNTIFS(Данные!$B$2:$B$722,72,Данные!$C$2:$C$722,0,Данные!$A$2:$A$722,"&gt;="&amp;77234320000,Данные!$A$2:$A$722,"&lt;="&amp;77234320999)</f>
        <v>0</v>
      </c>
      <c r="AM113" s="62" t="n">
        <f aca="false">COUNTIFS(Данные!$B$2:$B$722,72,Данные!$C$2:$C$722,0,Данные!$A$2:$A$722,"&gt;="&amp;77234350000,Данные!$A$2:$A$722,"&lt;="&amp;77234350999)</f>
        <v>0</v>
      </c>
      <c r="AN113" s="62" t="n">
        <f aca="false">COUNTIFS(Данные!$B$2:$B$722,72,Данные!$C$2:$C$722,0,Данные!$A$2:$A$722,"&gt;="&amp;77234020000,Данные!$A$2:$A$722,"&lt;="&amp;77234020999)</f>
        <v>0</v>
      </c>
      <c r="AO113" s="62" t="n">
        <f aca="false">COUNTIFS(Данные!$B$2:$B$722,72,Данные!$C$2:$C$722,0,Данные!$A$2:$A$722,"&gt;="&amp;77234029000,Данные!$A$2:$A$722,"&lt;="&amp;77234029999)</f>
        <v>0</v>
      </c>
      <c r="AP113" s="62" t="n">
        <f aca="false">COUNTIFS(Данные!$B$2:$B$722,72,Данные!$C$2:$C$722,0,Данные!$A$2:$A$722,"&gt;="&amp;77234050000,Данные!$A$2:$A$722,"&lt;="&amp;77234050999)</f>
        <v>0</v>
      </c>
      <c r="AQ113" s="62" t="n">
        <f aca="false">COUNTIFS(Данные!$B$2:$B$722,72,Данные!$C$2:$C$722,0,Данные!$A$2:$A$722,"&gt;="&amp;77234427000,Данные!$A$2:$A$722,"&lt;="&amp;77234428999)</f>
        <v>0</v>
      </c>
      <c r="AR113" s="62" t="n">
        <f aca="false">COUNTIFS(Данные!$B$2:$B$722,72,Данные!$C$2:$C$722,0,Данные!$A$2:$A$722,"&gt;="&amp;77234450000,Данные!$A$2:$A$722,"&lt;="&amp;77234450999)</f>
        <v>0</v>
      </c>
      <c r="AS113" s="62" t="n">
        <f aca="false">COUNTIFS(Данные!$B$2:$B$722,72,Данные!$C$2:$C$722,0,Данные!$A$2:$A$722,"&gt;="&amp;77234620000,Данные!$A$2:$A$722,"&lt;="&amp;77234620999)</f>
        <v>0</v>
      </c>
      <c r="AT113" s="62" t="n">
        <f aca="false">COUNTIFS(Данные!$B$2:$B$722,72,Данные!$C$2:$C$722,0,Данные!$A$2:$A$722,"&gt;="&amp;77234650000,Данные!$A$2:$A$722,"&lt;="&amp;77234650999)</f>
        <v>0</v>
      </c>
      <c r="AU113" s="62" t="n">
        <f aca="false">COUNTIFS(Данные!$B$2:$B$722,72,Данные!$C$2:$C$722,0,Данные!$A$2:$A$722,"&gt;="&amp;77234820000,Данные!$A$2:$A$722,"&lt;="&amp;77234820999)</f>
        <v>0</v>
      </c>
      <c r="AV113" s="62" t="n">
        <f aca="false">COUNTIFS(Данные!$B$2:$B$722,72,Данные!$C$2:$C$722,0,Данные!$A$2:$A$722,"&gt;="&amp;77234850000,Данные!$A$2:$A$722,"&lt;="&amp;77234850999)</f>
        <v>0</v>
      </c>
      <c r="AW113" s="62" t="n">
        <f aca="false">COUNTIFS(Данные!$B$2:$B$722,72,Данные!$C$2:$C$722,0,Данные!$A$2:$A$722,"&gt;="&amp;77233327000,Данные!$A$2:$A$722,"&lt;="&amp;77233327999)</f>
        <v>0</v>
      </c>
      <c r="AX113" s="62" t="n">
        <f aca="false">COUNTIFS(Данные!$B$2:$B$722,72,Данные!$C$2:$C$722,0,Данные!$A$2:$A$722,"&gt;="&amp;77233350000,Данные!$A$2:$A$722,"&lt;="&amp;77233350599)</f>
        <v>0</v>
      </c>
      <c r="AY113" s="62" t="n">
        <f aca="false">COUNTIFS(Данные!$B$2:$B$722,72,Данные!$C$2:$C$722,0,Данные!$A$2:$A$722,"&gt;="&amp;77233351000,Данные!$A$2:$A$722,"&lt;="&amp;77233351999)</f>
        <v>0</v>
      </c>
      <c r="AZ113" s="62" t="n">
        <f aca="false">COUNTIFS(Данные!$B$2:$B$722,72,Данные!$C$2:$C$722,0,Данные!$A$2:$A$722,"&gt;="&amp;7722440000,Данные!$A$2:$A$722,"&lt;="&amp;7722440999)</f>
        <v>0</v>
      </c>
      <c r="BA113" s="63" t="n">
        <f aca="false">COUNTIFS(Данные!$B$2:$B$722,72,Данные!$C$2:$C$722,0,Данные!$A$2:$A$722,"&gt;="&amp;7722442000,Данные!$A$2:$A$722,"&lt;="&amp;7722445659)</f>
        <v>0</v>
      </c>
      <c r="BB113" s="63" t="n">
        <f aca="false">COUNTIFS(Данные!$B$2:$B$722,72,Данные!$C$2:$C$722,0,Данные!$A$2:$A$722,"&gt;="&amp;7722450000,Данные!$A$2:$A$722,"&lt;="&amp;7722450199)</f>
        <v>0</v>
      </c>
      <c r="BC113" s="63" t="n">
        <f aca="false">COUNTIFS(Данные!$B$2:$B$722,72,Данные!$C$2:$C$722,0,Данные!$A$2:$A$722,"&gt;="&amp;7722451000,Данные!$A$2:$A$722,"&lt;="&amp;7722451374)</f>
        <v>0</v>
      </c>
      <c r="BD113" s="63" t="n">
        <f aca="false">COUNTIFS(Данные!$B$2:$B$722,72,Данные!$C$2:$C$722,0,Данные!$A$2:$A$722,"&gt;="&amp;7722452000,Данные!$A$2:$A$722,"&lt;="&amp;7722452299)</f>
        <v>0</v>
      </c>
      <c r="BE113" s="63" t="n">
        <f aca="false">COUNTIFS(Данные!$B$2:$B$722,72,Данные!$C$2:$C$722,0,Данные!$A$2:$A$722,"&gt;="&amp;7722453000,Данные!$A$2:$A$722,"&lt;="&amp;7722453816)</f>
        <v>0</v>
      </c>
      <c r="BF113" s="63" t="n">
        <f aca="false">COUNTIFS(Данные!$B$2:$B$722,72,Данные!$C$2:$C$722,0,Данные!$A$2:$A$722,"&gt;="&amp;7722454000,Данные!$A$2:$A$722,"&lt;="&amp;7722454099)</f>
        <v>0</v>
      </c>
      <c r="BG113" s="63" t="n">
        <f aca="false">COUNTIFS(Данные!$B$2:$B$722,72,Данные!$C$2:$C$722,0,Данные!$A$2:$A$722,"&gt;="&amp;7722458000,Данные!$A$2:$A$722,"&lt;="&amp;7722458999)</f>
        <v>0</v>
      </c>
      <c r="BH113" s="63" t="n">
        <f aca="false">COUNTIFS(Данные!$B$2:$B$722,72,Данные!$C$2:$C$722,0,Данные!$A$2:$A$722,"&gt;="&amp;7722630000,Данные!$A$2:$A$722,"&lt;="&amp;7722638549)</f>
        <v>0</v>
      </c>
      <c r="BI113" s="63" t="n">
        <f aca="false">COUNTIFS(Данные!$B$2:$B$722,72,Данные!$C$2:$C$722,0,Данные!$A$2:$A$722,"&gt;="&amp;7722639400,Данные!$A$2:$A$722,"&lt;="&amp;7722639899)</f>
        <v>0</v>
      </c>
      <c r="BJ113" s="63" t="n">
        <f aca="false">COUNTIFS(Данные!$B$2:$B$722,72,Данные!$C$2:$C$722,0,Данные!$A$2:$A$722,"&gt;="&amp;7725750000,Данные!$A$2:$A$722,"&lt;="&amp;7725750399)</f>
        <v>0</v>
      </c>
      <c r="BK113" s="63" t="n">
        <f aca="false">COUNTIFS(Данные!$B$2:$B$722,72,Данные!$C$2:$C$722,0,Данные!$A$2:$A$722,"&gt;="&amp;7723620000,Данные!$A$2:$A$722,"&lt;="&amp;7723621299)</f>
        <v>0</v>
      </c>
      <c r="BL113" s="63" t="n">
        <f aca="false">COUNTIFS(Данные!$B$2:$B$722,72,Данные!$C$2:$C$722,0,Данные!$A$2:$A$722,"&gt;="&amp;7723621600,Данные!$A$2:$A$722,"&lt;="&amp;7723623399)</f>
        <v>0</v>
      </c>
      <c r="BM113" s="63" t="n">
        <f aca="false">COUNTIFS(Данные!$B$2:$B$722,72,Данные!$C$2:$C$722,0,Данные!$A$2:$A$722,"&gt;="&amp;7725127000,Данные!$A$2:$A$722,"&lt;="&amp;7725127999)</f>
        <v>0</v>
      </c>
      <c r="BN113" s="63" t="n">
        <f aca="false">COUNTIFS(Данные!$B$2:$B$722,72,Данные!$C$2:$C$722,0,Данные!$A$2:$A$722,"&gt;="&amp;7723772000,Данные!$A$2:$A$722,"&lt;="&amp;7723724999)</f>
        <v>0</v>
      </c>
      <c r="BO113" s="62" t="n">
        <f aca="false">COUNTIFS(Данные!$B$2:$B$722,72,Данные!$C$2:$C$722,0,Данные!$A$2:$A$722,"&gt;="&amp;7723765000,Данные!$A$2:$A$722,"&lt;="&amp;7723765499)</f>
        <v>0</v>
      </c>
      <c r="BP113" s="63" t="n">
        <f aca="false">COUNTIFS(Данные!$B$2:$B$722,72,Данные!$C$2:$C$722,0,Данные!$A$2:$A$722,"&gt;="&amp;7723948000,Данные!$A$2:$A$722,"&lt;="&amp;7723948999)</f>
        <v>0</v>
      </c>
      <c r="BQ113" s="63" t="n">
        <f aca="false">COUNTIFS(Данные!$B$2:$B$722,72,Данные!$C$2:$C$722,0,Данные!$A$2:$A$722,"&gt;="&amp;7723950000,Данные!$A$2:$A$722,"&lt;="&amp;7723951099)</f>
        <v>0</v>
      </c>
      <c r="BR113" s="63" t="n">
        <f aca="false">COUNTIFS(Данные!$B$2:$B$722,72,Данные!$C$2:$C$722,0,Данные!$A$2:$A$722,"&gt;="&amp;7723020000,Данные!$A$2:$A$722,"&lt;="&amp;7723020999)</f>
        <v>0</v>
      </c>
      <c r="BS113" s="63" t="n">
        <f aca="false">COUNTIFS(Данные!$B$2:$B$722,72,Данные!$C$2:$C$722,0,Данные!$A$2:$A$722,"&gt;="&amp;7723029000,Данные!$A$2:$A$722,"&lt;="&amp;7723029999)</f>
        <v>0</v>
      </c>
      <c r="BT113" s="63" t="n">
        <f aca="false">COUNTIFS(Данные!$B$2:$B$722,72,Данные!$C$2:$C$722,0,Данные!$A$2:$A$722,"&gt;="&amp;7723055000,Данные!$A$2:$A$722,"&lt;="&amp;7723056549)</f>
        <v>0</v>
      </c>
      <c r="BU113" s="62" t="n">
        <f aca="false">COUNTIFS(Данные!$B$2:$B$722,72,Данные!$C$2:$C$722,0,Данные!$A$2:$A$722,"&gt;="&amp;7725250000,Данные!$A$2:$A$722,"&lt;="&amp;7725250499)</f>
        <v>0</v>
      </c>
      <c r="BV113" s="63" t="n">
        <f aca="false">COUNTIFS(Данные!$B$2:$B$722,72,Данные!$C$2:$C$722,0,Данные!$A$2:$A$722,"&gt;="&amp;7183841400,Данные!$A$2:$A$722,"&lt;="&amp;7183841499)</f>
        <v>0</v>
      </c>
      <c r="BW113" s="40" t="n">
        <v>300</v>
      </c>
      <c r="BX113" s="64" t="n">
        <f aca="false">F113-BW113</f>
        <v>-300</v>
      </c>
    </row>
    <row r="114" s="15" customFormat="true" ht="12" hidden="false" customHeight="true" outlineLevel="0" collapsed="false">
      <c r="A114" s="38"/>
      <c r="B114" s="39"/>
      <c r="C114" s="41" t="n">
        <v>1</v>
      </c>
      <c r="D114" s="41" t="n">
        <v>721</v>
      </c>
      <c r="E114" s="42"/>
      <c r="F114" s="62" t="n">
        <f aca="false">COUNTIFS(Данные!$B$2:$B$722,72,Данные!$C$2:$C$722,1)</f>
        <v>0</v>
      </c>
      <c r="G114" s="62" t="n">
        <f aca="false">COUNTIFS(Данные!$B$2:$B$722,72,Данные!$C$2:$C$722,1,Данные!$A$2:$A$722,"&gt;="&amp;77232210840,Данные!$A$2:$A$722,"&lt;="&amp;77232216999)</f>
        <v>0</v>
      </c>
      <c r="H114" s="62" t="n">
        <f aca="false">COUNTIFS(Данные!$B$2:$B$722,72,Данные!$C$2:$C$722,1,Данные!$A$2:$A$722,"&gt;="&amp;77232510512,Данные!$A$2:$A$722,"&lt;="&amp;77232519487)</f>
        <v>0</v>
      </c>
      <c r="I114" s="62" t="n">
        <f aca="false">COUNTIFS(Данные!$B$2:$B$722,72,Данные!$C$2:$C$722,1,Данные!$A$2:$A$722,"&gt;="&amp;77232524160,Данные!$A$2:$A$722,"&lt;="&amp;77232529999)</f>
        <v>0</v>
      </c>
      <c r="J114" s="62" t="n">
        <f aca="false">COUNTIFS(Данные!$B$2:$B$722,72,Данные!$C$2:$C$722,1,Данные!$A$2:$A$722,"&gt;="&amp;77232544000,Данные!$A$2:$A$722,"&lt;="&amp;77232544999)</f>
        <v>0</v>
      </c>
      <c r="K114" s="62" t="n">
        <f aca="false">COUNTIFS(Данные!$B$2:$B$722,72,Данные!$C$2:$C$722,1,Данные!$A$2:$A$722,"&gt;="&amp;77232295504,Данные!$A$2:$A$722,"&lt;="&amp;77232296999)</f>
        <v>0</v>
      </c>
      <c r="L114" s="62" t="n">
        <f aca="false">COUNTIFS(Данные!$B$2:$B$722,72,Данные!$C$2:$C$722,1,Данные!$A$2:$A$722,"&gt;="&amp;77232785000,Данные!$A$2:$A$722,"&lt;="&amp;77232789999)</f>
        <v>0</v>
      </c>
      <c r="M114" s="62" t="n">
        <f aca="false">COUNTIFS(Данные!$B$2:$B$722,72,Данные!$C$2:$C$722,1,Данные!$A$2:$A$722,"&gt;="&amp;77233150000,Данные!$A$2:$A$722,"&lt;="&amp;77233155999)</f>
        <v>0</v>
      </c>
      <c r="N114" s="62" t="n">
        <f aca="false">COUNTIFS(Данные!$B$2:$B$722,72,Данные!$C$2:$C$722,1,Данные!$A$2:$A$722,"&gt;="&amp;77233235000,Данные!$A$2:$A$722,"&lt;="&amp;77233235999)</f>
        <v>0</v>
      </c>
      <c r="O114" s="62" t="n">
        <f aca="false">COUNTIFS(Данные!$B$2:$B$722,72,Данные!$C$2:$C$722,1,Данные!$A$2:$A$722,"&gt;="&amp;77233239000,Данные!$A$2:$A$722,"&lt;="&amp;77233239999)</f>
        <v>0</v>
      </c>
      <c r="P114" s="62" t="n">
        <f aca="false">COUNTIFS(Данные!$B$2:$B$722,72,Данные!$C$2:$C$722,1,Данные!$A$2:$A$722,"&gt;="&amp;77233272000,Данные!$A$2:$A$722,"&lt;="&amp;77233272999)</f>
        <v>0</v>
      </c>
      <c r="Q114" s="62" t="n">
        <f aca="false">COUNTIFS(Данные!$B$2:$B$722,72,Данные!$C$2:$C$722,1,Данные!$A$2:$A$722,"&gt;="&amp;77233291100,Данные!$A$2:$A$722,"&lt;="&amp;77233292999)</f>
        <v>0</v>
      </c>
      <c r="R114" s="62" t="n">
        <f aca="false">COUNTIFS(Данные!$B$2:$B$722,72,Данные!$C$2:$C$722,1,Данные!$A$2:$A$722,"&gt;="&amp;77233297000,Данные!$A$2:$A$722,"&lt;="&amp;77233298399)</f>
        <v>0</v>
      </c>
      <c r="S114" s="62" t="n">
        <f aca="false">COUNTIFS(Данные!$B$2:$B$722,72,Данные!$C$2:$C$722,1,Данные!$A$2:$A$722,"&gt;="&amp;77235124000,Данные!$A$2:$A$722,"&lt;="&amp;77235128499)</f>
        <v>0</v>
      </c>
      <c r="T114" s="62" t="n">
        <f aca="false">COUNTIFS(Данные!$B$2:$B$722,72,Данные!$C$2:$C$722,1,Данные!$A$2:$A$722,"&gt;="&amp;77235320000,Данные!$A$2:$A$722,"&lt;="&amp;77235320999)</f>
        <v>0</v>
      </c>
      <c r="U114" s="62" t="n">
        <f aca="false">COUNTIFS(Данные!$B$2:$B$722,72,Данные!$C$2:$C$722,1,Данные!$A$2:$A$722,"&gt;="&amp;77233620000,Данные!$A$2:$A$722,"&lt;="&amp;77233623339)</f>
        <v>0</v>
      </c>
      <c r="V114" s="62" t="n">
        <f aca="false">COUNTIFS(Данные!$B$2:$B$722,72,Данные!$C$2:$C$722,1,Данные!$A$2:$A$722,"&gt;="&amp;77233630000,Данные!$A$2:$A$722,"&lt;="&amp;77233630999)</f>
        <v>0</v>
      </c>
      <c r="W114" s="62" t="n">
        <f aca="false">COUNTIFS(Данные!$B$2:$B$722,72,Данные!$C$2:$C$722,1,Данные!$A$2:$A$722,"&gt;="&amp;77233637000,Данные!$A$2:$A$722,"&lt;="&amp;77233637599)</f>
        <v>0</v>
      </c>
      <c r="X114" s="62" t="n">
        <f aca="false">COUNTIFS(Данные!$B$2:$B$722,72,Данные!$C$2:$C$722,1,Данные!$A$2:$A$722,"&gt;="&amp;77233550000,Данные!$A$2:$A$722,"&lt;="&amp;77233550999)</f>
        <v>0</v>
      </c>
      <c r="Y114" s="62" t="n">
        <f aca="false">COUNTIFS(Данные!$B$2:$B$722,72,Данные!$C$2:$C$722,1,Данные!$A$2:$A$722,"&gt;="&amp;77233554000,Данные!$A$2:$A$722,"&lt;="&amp;77233554999)</f>
        <v>0</v>
      </c>
      <c r="Z114" s="62" t="n">
        <f aca="false">COUNTIFS(Данные!$B$2:$B$722,72,Данные!$C$2:$C$722,1,Данные!$A$2:$A$722,"&gt;="&amp;77233555000,Данные!$A$2:$A$722,"&lt;="&amp;77233556999)</f>
        <v>0</v>
      </c>
      <c r="AA114" s="62" t="n">
        <f aca="false">COUNTIFS(Данные!$B$2:$B$722,72,Данные!$C$2:$C$722,1,Данные!$A$2:$A$722,"&gt;="&amp;77233726000,Данные!$A$2:$A$722,"&lt;="&amp;77233726999)</f>
        <v>0</v>
      </c>
      <c r="AB114" s="62" t="n">
        <f aca="false">COUNTIFS(Данные!$B$2:$B$722,72,Данные!$C$2:$C$722,1,Данные!$A$2:$A$722,"&gt;="&amp;77233820000,Данные!$A$2:$A$722,"&lt;="&amp;77233820999)</f>
        <v>0</v>
      </c>
      <c r="AC114" s="62" t="n">
        <f aca="false">COUNTIFS(Данные!$B$2:$B$722,72,Данные!$C$2:$C$722,1,Данные!$A$2:$A$722,"&gt;="&amp;77233850000,Данные!$A$2:$A$722,"&lt;="&amp;77233850999)</f>
        <v>0</v>
      </c>
      <c r="AD114" s="62" t="n">
        <f aca="false">COUNTIFS(Данные!$B$2:$B$722,72,Данные!$C$2:$C$722,1,Данные!$A$2:$A$722,"&gt;="&amp;77233420000,Данные!$A$2:$A$722,"&lt;="&amp;77233420999)</f>
        <v>0</v>
      </c>
      <c r="AE114" s="62" t="n">
        <f aca="false">COUNTIFS(Данные!$B$2:$B$722,72,Данные!$C$2:$C$722,1,Данные!$A$2:$A$722,"&gt;="&amp;77234740000,Данные!$A$2:$A$722,"&lt;="&amp;77234742999)</f>
        <v>0</v>
      </c>
      <c r="AF114" s="62" t="n">
        <f aca="false">COUNTIFS(Данные!$B$2:$B$722,72,Данные!$C$2:$C$722,1,Данные!$A$2:$A$722,"&gt;="&amp;77234767000,Данные!$A$2:$A$722,"&lt;="&amp;77234767999)</f>
        <v>0</v>
      </c>
      <c r="AG114" s="62" t="n">
        <f aca="false">COUNTIFS(Данные!$B$2:$B$722,72,Данные!$C$2:$C$722,1,Данные!$A$2:$A$722,"&gt;="&amp;77234120000,Данные!$A$2:$A$722,"&lt;="&amp;77234120999)</f>
        <v>0</v>
      </c>
      <c r="AH114" s="62" t="n">
        <f aca="false">COUNTIFS(Данные!$B$2:$B$722,72,Данные!$C$2:$C$722,1,Данные!$A$2:$A$722,"&gt;="&amp;77234127000,Данные!$A$2:$A$722,"&lt;="&amp;77234127999)</f>
        <v>0</v>
      </c>
      <c r="AI114" s="62" t="n">
        <f aca="false">COUNTIFS(Данные!$B$2:$B$722,72,Данные!$C$2:$C$722,1,Данные!$A$2:$A$722,"&gt;="&amp;77234220000,Данные!$A$2:$A$722,"&lt;="&amp;77234220999)</f>
        <v>0</v>
      </c>
      <c r="AJ114" s="62" t="n">
        <f aca="false">COUNTIFS(Данные!$B$2:$B$722,72,Данные!$C$2:$C$722,1,Данные!$A$2:$A$722,"&gt;="&amp;77234250000,Данные!$A$2:$A$722,"&lt;="&amp;77234250999)</f>
        <v>0</v>
      </c>
      <c r="AK114" s="62" t="n">
        <f aca="false">COUNTIFS(Данные!$B$2:$B$722,72,Данные!$C$2:$C$722,1,Данные!$A$2:$A$722,"&gt;="&amp;77233922950,Данные!$A$2:$A$722,"&lt;="&amp;77233924999)</f>
        <v>0</v>
      </c>
      <c r="AL114" s="62" t="n">
        <f aca="false">COUNTIFS(Данные!$B$2:$B$722,72,Данные!$C$2:$C$722,1,Данные!$A$2:$A$722,"&gt;="&amp;77234320000,Данные!$A$2:$A$722,"&lt;="&amp;77234320999)</f>
        <v>0</v>
      </c>
      <c r="AM114" s="62" t="n">
        <f aca="false">COUNTIFS(Данные!$B$2:$B$722,72,Данные!$C$2:$C$722,1,Данные!$A$2:$A$722,"&gt;="&amp;77234350000,Данные!$A$2:$A$722,"&lt;="&amp;77234350999)</f>
        <v>0</v>
      </c>
      <c r="AN114" s="62" t="n">
        <f aca="false">COUNTIFS(Данные!$B$2:$B$722,72,Данные!$C$2:$C$722,1,Данные!$A$2:$A$722,"&gt;="&amp;77234020000,Данные!$A$2:$A$722,"&lt;="&amp;77234020999)</f>
        <v>0</v>
      </c>
      <c r="AO114" s="62" t="n">
        <f aca="false">COUNTIFS(Данные!$B$2:$B$722,72,Данные!$C$2:$C$722,1,Данные!$A$2:$A$722,"&gt;="&amp;77234029000,Данные!$A$2:$A$722,"&lt;="&amp;77234029999)</f>
        <v>0</v>
      </c>
      <c r="AP114" s="62" t="n">
        <f aca="false">COUNTIFS(Данные!$B$2:$B$722,72,Данные!$C$2:$C$722,1,Данные!$A$2:$A$722,"&gt;="&amp;77234050000,Данные!$A$2:$A$722,"&lt;="&amp;77234050999)</f>
        <v>0</v>
      </c>
      <c r="AQ114" s="62" t="n">
        <f aca="false">COUNTIFS(Данные!$B$2:$B$722,72,Данные!$C$2:$C$722,1,Данные!$A$2:$A$722,"&gt;="&amp;77234427000,Данные!$A$2:$A$722,"&lt;="&amp;77234428999)</f>
        <v>0</v>
      </c>
      <c r="AR114" s="62" t="n">
        <f aca="false">COUNTIFS(Данные!$B$2:$B$722,72,Данные!$C$2:$C$722,1,Данные!$A$2:$A$722,"&gt;="&amp;77234450000,Данные!$A$2:$A$722,"&lt;="&amp;77234450999)</f>
        <v>0</v>
      </c>
      <c r="AS114" s="62" t="n">
        <f aca="false">COUNTIFS(Данные!$B$2:$B$722,72,Данные!$C$2:$C$722,1,Данные!$A$2:$A$722,"&gt;="&amp;77234620000,Данные!$A$2:$A$722,"&lt;="&amp;77234620999)</f>
        <v>0</v>
      </c>
      <c r="AT114" s="62" t="n">
        <f aca="false">COUNTIFS(Данные!$B$2:$B$722,72,Данные!$C$2:$C$722,1,Данные!$A$2:$A$722,"&gt;="&amp;77234650000,Данные!$A$2:$A$722,"&lt;="&amp;77234650999)</f>
        <v>0</v>
      </c>
      <c r="AU114" s="62" t="n">
        <f aca="false">COUNTIFS(Данные!$B$2:$B$722,72,Данные!$C$2:$C$722,1,Данные!$A$2:$A$722,"&gt;="&amp;77234820000,Данные!$A$2:$A$722,"&lt;="&amp;77234820999)</f>
        <v>0</v>
      </c>
      <c r="AV114" s="62" t="n">
        <f aca="false">COUNTIFS(Данные!$B$2:$B$722,72,Данные!$C$2:$C$722,1,Данные!$A$2:$A$722,"&gt;="&amp;77234850000,Данные!$A$2:$A$722,"&lt;="&amp;77234850999)</f>
        <v>0</v>
      </c>
      <c r="AW114" s="62" t="n">
        <f aca="false">COUNTIFS(Данные!$B$2:$B$722,72,Данные!$C$2:$C$722,1,Данные!$A$2:$A$722,"&gt;="&amp;77233327000,Данные!$A$2:$A$722,"&lt;="&amp;77233327999)</f>
        <v>0</v>
      </c>
      <c r="AX114" s="62" t="n">
        <f aca="false">COUNTIFS(Данные!$B$2:$B$722,72,Данные!$C$2:$C$722,1,Данные!$A$2:$A$722,"&gt;="&amp;77233350000,Данные!$A$2:$A$722,"&lt;="&amp;77233350599)</f>
        <v>0</v>
      </c>
      <c r="AY114" s="62" t="n">
        <f aca="false">COUNTIFS(Данные!$B$2:$B$722,72,Данные!$C$2:$C$722,1,Данные!$A$2:$A$722,"&gt;="&amp;77233351000,Данные!$A$2:$A$722,"&lt;="&amp;77233351999)</f>
        <v>0</v>
      </c>
      <c r="AZ114" s="63" t="n">
        <f aca="false">COUNTIFS(Данные!$B$2:$B$722,72,Данные!$C$2:$C$722,1,Данные!$A$2:$A$722,"&gt;="&amp;7722440000,Данные!$A$2:$A$722,"&lt;="&amp;7722440999)</f>
        <v>0</v>
      </c>
      <c r="BA114" s="63" t="n">
        <f aca="false">COUNTIFS(Данные!$B$2:$B$722,72,Данные!$C$2:$C$722,1,Данные!$A$2:$A$722,"&gt;="&amp;7722442000,Данные!$A$2:$A$722,"&lt;="&amp;7722445659)</f>
        <v>0</v>
      </c>
      <c r="BB114" s="63" t="n">
        <f aca="false">COUNTIFS(Данные!$B$2:$B$722,72,Данные!$C$2:$C$722,1,Данные!$A$2:$A$722,"&gt;="&amp;7722450000,Данные!$A$2:$A$722,"&lt;="&amp;7722450199)</f>
        <v>0</v>
      </c>
      <c r="BC114" s="63" t="n">
        <f aca="false">COUNTIFS(Данные!$B$2:$B$722,72,Данные!$C$2:$C$722,1,Данные!$A$2:$A$722,"&gt;="&amp;7722451000,Данные!$A$2:$A$722,"&lt;="&amp;7722451374)</f>
        <v>0</v>
      </c>
      <c r="BD114" s="63" t="n">
        <f aca="false">COUNTIFS(Данные!$B$2:$B$722,72,Данные!$C$2:$C$722,1,Данные!$A$2:$A$722,"&gt;="&amp;7722452000,Данные!$A$2:$A$722,"&lt;="&amp;7722452299)</f>
        <v>0</v>
      </c>
      <c r="BE114" s="63" t="n">
        <f aca="false">COUNTIFS(Данные!$B$2:$B$722,72,Данные!$C$2:$C$722,1,Данные!$A$2:$A$722,"&gt;="&amp;7722453000,Данные!$A$2:$A$722,"&lt;="&amp;7722453816)</f>
        <v>0</v>
      </c>
      <c r="BF114" s="63" t="n">
        <f aca="false">COUNTIFS(Данные!$B$2:$B$722,72,Данные!$C$2:$C$722,1,Данные!$A$2:$A$722,"&gt;="&amp;7722454000,Данные!$A$2:$A$722,"&lt;="&amp;7722454099)</f>
        <v>0</v>
      </c>
      <c r="BG114" s="63" t="n">
        <f aca="false">COUNTIFS(Данные!$B$2:$B$722,72,Данные!$C$2:$C$722,1,Данные!$A$2:$A$722,"&gt;="&amp;7722458000,Данные!$A$2:$A$722,"&lt;="&amp;7722458999)</f>
        <v>0</v>
      </c>
      <c r="BH114" s="63" t="n">
        <f aca="false">COUNTIFS(Данные!$B$2:$B$722,72,Данные!$C$2:$C$722,1,Данные!$A$2:$A$722,"&gt;="&amp;7722630000,Данные!$A$2:$A$722,"&lt;="&amp;7722638549)</f>
        <v>0</v>
      </c>
      <c r="BI114" s="63" t="n">
        <f aca="false">COUNTIFS(Данные!$B$2:$B$722,72,Данные!$C$2:$C$722,1,Данные!$A$2:$A$722,"&gt;="&amp;7722639400,Данные!$A$2:$A$722,"&lt;="&amp;7722639899)</f>
        <v>0</v>
      </c>
      <c r="BJ114" s="63" t="n">
        <f aca="false">COUNTIFS(Данные!$B$2:$B$722,72,Данные!$C$2:$C$722,1,Данные!$A$2:$A$722,"&gt;="&amp;7725750000,Данные!$A$2:$A$722,"&lt;="&amp;7725750399)</f>
        <v>0</v>
      </c>
      <c r="BK114" s="63" t="n">
        <f aca="false">COUNTIFS(Данные!$B$2:$B$722,72,Данные!$C$2:$C$722,1,Данные!$A$2:$A$722,"&gt;="&amp;7723620000,Данные!$A$2:$A$722,"&lt;="&amp;7723621299)</f>
        <v>0</v>
      </c>
      <c r="BL114" s="63" t="n">
        <f aca="false">COUNTIFS(Данные!$B$2:$B$722,72,Данные!$C$2:$C$722,1,Данные!$A$2:$A$722,"&gt;="&amp;7723621600,Данные!$A$2:$A$722,"&lt;="&amp;7723623399)</f>
        <v>0</v>
      </c>
      <c r="BM114" s="63" t="n">
        <f aca="false">COUNTIFS(Данные!$B$2:$B$722,72,Данные!$C$2:$C$722,1,Данные!$A$2:$A$722,"&gt;="&amp;7725127000,Данные!$A$2:$A$722,"&lt;="&amp;7725127999)</f>
        <v>0</v>
      </c>
      <c r="BN114" s="63" t="n">
        <f aca="false">COUNTIFS(Данные!$B$2:$B$722,72,Данные!$C$2:$C$722,1,Данные!$A$2:$A$722,"&gt;="&amp;7723772000,Данные!$A$2:$A$722,"&lt;="&amp;7723724999)</f>
        <v>0</v>
      </c>
      <c r="BO114" s="62" t="n">
        <f aca="false">COUNTIFS(Данные!$B$2:$B$722,72,Данные!$C$2:$C$722,1,Данные!$A$2:$A$722,"&gt;="&amp;7723765000,Данные!$A$2:$A$722,"&lt;="&amp;7723765499)</f>
        <v>0</v>
      </c>
      <c r="BP114" s="63" t="n">
        <f aca="false">COUNTIFS(Данные!$B$2:$B$722,72,Данные!$C$2:$C$722,1,Данные!$A$2:$A$722,"&gt;="&amp;7723948000,Данные!$A$2:$A$722,"&lt;="&amp;7723948999)</f>
        <v>0</v>
      </c>
      <c r="BQ114" s="63" t="n">
        <f aca="false">COUNTIFS(Данные!$B$2:$B$722,72,Данные!$C$2:$C$722,1,Данные!$A$2:$A$722,"&gt;="&amp;7723950000,Данные!$A$2:$A$722,"&lt;="&amp;7723951099)</f>
        <v>0</v>
      </c>
      <c r="BR114" s="63" t="n">
        <f aca="false">COUNTIFS(Данные!$B$2:$B$722,72,Данные!$C$2:$C$722,1,Данные!$A$2:$A$722,"&gt;="&amp;7723020000,Данные!$A$2:$A$722,"&lt;="&amp;7723020999)</f>
        <v>0</v>
      </c>
      <c r="BS114" s="63" t="n">
        <f aca="false">COUNTIFS(Данные!$B$2:$B$722,72,Данные!$C$2:$C$722,1,Данные!$A$2:$A$722,"&gt;="&amp;7723029000,Данные!$A$2:$A$722,"&lt;="&amp;7723029999)</f>
        <v>0</v>
      </c>
      <c r="BT114" s="63" t="n">
        <f aca="false">COUNTIFS(Данные!$B$2:$B$722,72,Данные!$C$2:$C$722,1,Данные!$A$2:$A$722,"&gt;="&amp;7723055000,Данные!$A$2:$A$722,"&lt;="&amp;7723056549)</f>
        <v>0</v>
      </c>
      <c r="BU114" s="62" t="n">
        <f aca="false">COUNTIFS(Данные!$B$2:$B$722,72,Данные!$C$2:$C$722,1,Данные!$A$2:$A$722,"&gt;="&amp;7725250000,Данные!$A$2:$A$722,"&lt;="&amp;7725250499)</f>
        <v>0</v>
      </c>
      <c r="BV114" s="63" t="n">
        <f aca="false">COUNTIFS(Данные!$B$2:$B$722,72,Данные!$C$2:$C$722,1,Данные!$A$2:$A$722,"&gt;="&amp;7183841400,Данные!$A$2:$A$722,"&lt;="&amp;7183841499)</f>
        <v>0</v>
      </c>
      <c r="BW114" s="40" t="n">
        <v>300</v>
      </c>
      <c r="BX114" s="64" t="n">
        <f aca="false">F114-BW114</f>
        <v>-300</v>
      </c>
    </row>
    <row r="115" s="15" customFormat="true" ht="12" hidden="false" customHeight="true" outlineLevel="0" collapsed="false">
      <c r="A115" s="38"/>
      <c r="B115" s="39"/>
      <c r="C115" s="41" t="n">
        <v>2</v>
      </c>
      <c r="D115" s="41" t="n">
        <v>772</v>
      </c>
      <c r="E115" s="42"/>
      <c r="F115" s="62" t="n">
        <f aca="false">COUNTIFS(Данные!$B$2:$B$722,72,Данные!$C$2:$C$722,2)</f>
        <v>0</v>
      </c>
      <c r="G115" s="62" t="n">
        <f aca="false">COUNTIFS(Данные!$B$2:$B$722,72,Данные!$C$2:$C$722,2,Данные!$A$2:$A$722,"&gt;="&amp;77232210840,Данные!$A$2:$A$722,"&lt;="&amp;77232216999)</f>
        <v>0</v>
      </c>
      <c r="H115" s="62" t="n">
        <f aca="false">COUNTIFS(Данные!$B$2:$B$722,72,Данные!$C$2:$C$722,2,Данные!$A$2:$A$722,"&gt;="&amp;77232510512,Данные!$A$2:$A$722,"&lt;="&amp;77232519487)</f>
        <v>0</v>
      </c>
      <c r="I115" s="62" t="n">
        <f aca="false">COUNTIFS(Данные!$B$2:$B$722,72,Данные!$C$2:$C$722,2,Данные!$A$2:$A$722,"&gt;="&amp;77232524160,Данные!$A$2:$A$722,"&lt;="&amp;77232529999)</f>
        <v>0</v>
      </c>
      <c r="J115" s="62" t="n">
        <f aca="false">COUNTIFS(Данные!$B$2:$B$722,72,Данные!$C$2:$C$722,2,Данные!$A$2:$A$722,"&gt;="&amp;77232544000,Данные!$A$2:$A$722,"&lt;="&amp;77232544999)</f>
        <v>0</v>
      </c>
      <c r="K115" s="62" t="n">
        <f aca="false">COUNTIFS(Данные!$B$2:$B$722,72,Данные!$C$2:$C$722,2,Данные!$A$2:$A$722,"&gt;="&amp;77232295504,Данные!$A$2:$A$722,"&lt;="&amp;77232296999)</f>
        <v>0</v>
      </c>
      <c r="L115" s="62" t="n">
        <f aca="false">COUNTIFS(Данные!$B$2:$B$722,72,Данные!$C$2:$C$722,2,Данные!$A$2:$A$722,"&gt;="&amp;77232785000,Данные!$A$2:$A$722,"&lt;="&amp;77232789999)</f>
        <v>0</v>
      </c>
      <c r="M115" s="62" t="n">
        <f aca="false">COUNTIFS(Данные!$B$2:$B$722,72,Данные!$C$2:$C$722,2,Данные!$A$2:$A$722,"&gt;="&amp;77233150000,Данные!$A$2:$A$722,"&lt;="&amp;77233155999)</f>
        <v>0</v>
      </c>
      <c r="N115" s="62" t="n">
        <f aca="false">COUNTIFS(Данные!$B$2:$B$722,72,Данные!$C$2:$C$722,2,Данные!$A$2:$A$722,"&gt;="&amp;77233235000,Данные!$A$2:$A$722,"&lt;="&amp;77233235999)</f>
        <v>0</v>
      </c>
      <c r="O115" s="62" t="n">
        <f aca="false">COUNTIFS(Данные!$B$2:$B$722,72,Данные!$C$2:$C$722,2,Данные!$A$2:$A$722,"&gt;="&amp;77233239000,Данные!$A$2:$A$722,"&lt;="&amp;77233239999)</f>
        <v>0</v>
      </c>
      <c r="P115" s="62" t="n">
        <f aca="false">COUNTIFS(Данные!$B$2:$B$722,72,Данные!$C$2:$C$722,2,Данные!$A$2:$A$722,"&gt;="&amp;77233272000,Данные!$A$2:$A$722,"&lt;="&amp;77233272999)</f>
        <v>0</v>
      </c>
      <c r="Q115" s="62" t="n">
        <f aca="false">COUNTIFS(Данные!$B$2:$B$722,72,Данные!$C$2:$C$722,2,Данные!$A$2:$A$722,"&gt;="&amp;77233291100,Данные!$A$2:$A$722,"&lt;="&amp;77233292999)</f>
        <v>0</v>
      </c>
      <c r="R115" s="62" t="n">
        <f aca="false">COUNTIFS(Данные!$B$2:$B$722,72,Данные!$C$2:$C$722,2,Данные!$A$2:$A$722,"&gt;="&amp;77233297000,Данные!$A$2:$A$722,"&lt;="&amp;77233298399)</f>
        <v>0</v>
      </c>
      <c r="S115" s="62" t="n">
        <f aca="false">COUNTIFS(Данные!$B$2:$B$722,72,Данные!$C$2:$C$722,2,Данные!$A$2:$A$722,"&gt;="&amp;77235124000,Данные!$A$2:$A$722,"&lt;="&amp;77235128499)</f>
        <v>0</v>
      </c>
      <c r="T115" s="62" t="n">
        <f aca="false">COUNTIFS(Данные!$B$2:$B$722,72,Данные!$C$2:$C$722,2,Данные!$A$2:$A$722,"&gt;="&amp;77235320000,Данные!$A$2:$A$722,"&lt;="&amp;77235320999)</f>
        <v>0</v>
      </c>
      <c r="U115" s="62" t="n">
        <f aca="false">COUNTIFS(Данные!$B$2:$B$722,72,Данные!$C$2:$C$722,2,Данные!$A$2:$A$722,"&gt;="&amp;77233620000,Данные!$A$2:$A$722,"&lt;="&amp;77233623339)</f>
        <v>0</v>
      </c>
      <c r="V115" s="62" t="n">
        <f aca="false">COUNTIFS(Данные!$B$2:$B$722,72,Данные!$C$2:$C$722,2,Данные!$A$2:$A$722,"&gt;="&amp;77233630000,Данные!$A$2:$A$722,"&lt;="&amp;77233630999)</f>
        <v>0</v>
      </c>
      <c r="W115" s="62" t="n">
        <f aca="false">COUNTIFS(Данные!$B$2:$B$722,72,Данные!$C$2:$C$722,2,Данные!$A$2:$A$722,"&gt;="&amp;77233637000,Данные!$A$2:$A$722,"&lt;="&amp;77233637599)</f>
        <v>0</v>
      </c>
      <c r="X115" s="62" t="n">
        <f aca="false">COUNTIFS(Данные!$B$2:$B$722,72,Данные!$C$2:$C$722,2,Данные!$A$2:$A$722,"&gt;="&amp;77233550000,Данные!$A$2:$A$722,"&lt;="&amp;77233550999)</f>
        <v>0</v>
      </c>
      <c r="Y115" s="62" t="n">
        <f aca="false">COUNTIFS(Данные!$B$2:$B$722,72,Данные!$C$2:$C$722,2,Данные!$A$2:$A$722,"&gt;="&amp;77233554000,Данные!$A$2:$A$722,"&lt;="&amp;77233554999)</f>
        <v>0</v>
      </c>
      <c r="Z115" s="62" t="n">
        <f aca="false">COUNTIFS(Данные!$B$2:$B$722,72,Данные!$C$2:$C$722,2,Данные!$A$2:$A$722,"&gt;="&amp;77233555000,Данные!$A$2:$A$722,"&lt;="&amp;77233556999)</f>
        <v>0</v>
      </c>
      <c r="AA115" s="62" t="n">
        <f aca="false">COUNTIFS(Данные!$B$2:$B$722,72,Данные!$C$2:$C$722,2,Данные!$A$2:$A$722,"&gt;="&amp;77233726000,Данные!$A$2:$A$722,"&lt;="&amp;77233726999)</f>
        <v>0</v>
      </c>
      <c r="AB115" s="62" t="n">
        <f aca="false">COUNTIFS(Данные!$B$2:$B$722,72,Данные!$C$2:$C$722,2,Данные!$A$2:$A$722,"&gt;="&amp;77233820000,Данные!$A$2:$A$722,"&lt;="&amp;77233820999)</f>
        <v>0</v>
      </c>
      <c r="AC115" s="62" t="n">
        <f aca="false">COUNTIFS(Данные!$B$2:$B$722,72,Данные!$C$2:$C$722,2,Данные!$A$2:$A$722,"&gt;="&amp;77233850000,Данные!$A$2:$A$722,"&lt;="&amp;77233850999)</f>
        <v>0</v>
      </c>
      <c r="AD115" s="62" t="n">
        <f aca="false">COUNTIFS(Данные!$B$2:$B$722,72,Данные!$C$2:$C$722,2,Данные!$A$2:$A$722,"&gt;="&amp;77233420000,Данные!$A$2:$A$722,"&lt;="&amp;77233420999)</f>
        <v>0</v>
      </c>
      <c r="AE115" s="62" t="n">
        <f aca="false">COUNTIFS(Данные!$B$2:$B$722,72,Данные!$C$2:$C$722,2,Данные!$A$2:$A$722,"&gt;="&amp;77234740000,Данные!$A$2:$A$722,"&lt;="&amp;77234742999)</f>
        <v>0</v>
      </c>
      <c r="AF115" s="62" t="n">
        <f aca="false">COUNTIFS(Данные!$B$2:$B$722,72,Данные!$C$2:$C$722,2,Данные!$A$2:$A$722,"&gt;="&amp;77234767000,Данные!$A$2:$A$722,"&lt;="&amp;77234767999)</f>
        <v>0</v>
      </c>
      <c r="AG115" s="62" t="n">
        <f aca="false">COUNTIFS(Данные!$B$2:$B$722,72,Данные!$C$2:$C$722,2,Данные!$A$2:$A$722,"&gt;="&amp;77234120000,Данные!$A$2:$A$722,"&lt;="&amp;77234120999)</f>
        <v>0</v>
      </c>
      <c r="AH115" s="62" t="n">
        <f aca="false">COUNTIFS(Данные!$B$2:$B$722,72,Данные!$C$2:$C$722,2,Данные!$A$2:$A$722,"&gt;="&amp;77234127000,Данные!$A$2:$A$722,"&lt;="&amp;77234127999)</f>
        <v>0</v>
      </c>
      <c r="AI115" s="62" t="n">
        <f aca="false">COUNTIFS(Данные!$B$2:$B$722,72,Данные!$C$2:$C$722,2,Данные!$A$2:$A$722,"&gt;="&amp;77234220000,Данные!$A$2:$A$722,"&lt;="&amp;77234220999)</f>
        <v>0</v>
      </c>
      <c r="AJ115" s="62" t="n">
        <f aca="false">COUNTIFS(Данные!$B$2:$B$722,72,Данные!$C$2:$C$722,2,Данные!$A$2:$A$722,"&gt;="&amp;77234250000,Данные!$A$2:$A$722,"&lt;="&amp;77234250999)</f>
        <v>0</v>
      </c>
      <c r="AK115" s="62" t="n">
        <f aca="false">COUNTIFS(Данные!$B$2:$B$722,72,Данные!$C$2:$C$722,2,Данные!$A$2:$A$722,"&gt;="&amp;77233922950,Данные!$A$2:$A$722,"&lt;="&amp;77233924999)</f>
        <v>0</v>
      </c>
      <c r="AL115" s="62" t="n">
        <f aca="false">COUNTIFS(Данные!$B$2:$B$722,72,Данные!$C$2:$C$722,2,Данные!$A$2:$A$722,"&gt;="&amp;77234320000,Данные!$A$2:$A$722,"&lt;="&amp;77234320999)</f>
        <v>0</v>
      </c>
      <c r="AM115" s="62" t="n">
        <f aca="false">COUNTIFS(Данные!$B$2:$B$722,72,Данные!$C$2:$C$722,2,Данные!$A$2:$A$722,"&gt;="&amp;77234350000,Данные!$A$2:$A$722,"&lt;="&amp;77234350999)</f>
        <v>0</v>
      </c>
      <c r="AN115" s="62" t="n">
        <f aca="false">COUNTIFS(Данные!$B$2:$B$722,72,Данные!$C$2:$C$722,2,Данные!$A$2:$A$722,"&gt;="&amp;77234020000,Данные!$A$2:$A$722,"&lt;="&amp;77234020999)</f>
        <v>0</v>
      </c>
      <c r="AO115" s="62" t="n">
        <f aca="false">COUNTIFS(Данные!$B$2:$B$722,72,Данные!$C$2:$C$722,2,Данные!$A$2:$A$722,"&gt;="&amp;77234029000,Данные!$A$2:$A$722,"&lt;="&amp;77234029999)</f>
        <v>0</v>
      </c>
      <c r="AP115" s="62" t="n">
        <f aca="false">COUNTIFS(Данные!$B$2:$B$722,72,Данные!$C$2:$C$722,2,Данные!$A$2:$A$722,"&gt;="&amp;77234050000,Данные!$A$2:$A$722,"&lt;="&amp;77234050999)</f>
        <v>0</v>
      </c>
      <c r="AQ115" s="62" t="n">
        <f aca="false">COUNTIFS(Данные!$B$2:$B$722,72,Данные!$C$2:$C$722,2,Данные!$A$2:$A$722,"&gt;="&amp;77234427000,Данные!$A$2:$A$722,"&lt;="&amp;77234428999)</f>
        <v>0</v>
      </c>
      <c r="AR115" s="62" t="n">
        <f aca="false">COUNTIFS(Данные!$B$2:$B$722,72,Данные!$C$2:$C$722,2,Данные!$A$2:$A$722,"&gt;="&amp;77234450000,Данные!$A$2:$A$722,"&lt;="&amp;77234450999)</f>
        <v>0</v>
      </c>
      <c r="AS115" s="62" t="n">
        <f aca="false">COUNTIFS(Данные!$B$2:$B$722,72,Данные!$C$2:$C$722,2,Данные!$A$2:$A$722,"&gt;="&amp;77234620000,Данные!$A$2:$A$722,"&lt;="&amp;77234620999)</f>
        <v>0</v>
      </c>
      <c r="AT115" s="62" t="n">
        <f aca="false">COUNTIFS(Данные!$B$2:$B$722,72,Данные!$C$2:$C$722,2,Данные!$A$2:$A$722,"&gt;="&amp;77234650000,Данные!$A$2:$A$722,"&lt;="&amp;77234650999)</f>
        <v>0</v>
      </c>
      <c r="AU115" s="62" t="n">
        <f aca="false">COUNTIFS(Данные!$B$2:$B$722,72,Данные!$C$2:$C$722,2,Данные!$A$2:$A$722,"&gt;="&amp;77234820000,Данные!$A$2:$A$722,"&lt;="&amp;77234820999)</f>
        <v>0</v>
      </c>
      <c r="AV115" s="62" t="n">
        <f aca="false">COUNTIFS(Данные!$B$2:$B$722,72,Данные!$C$2:$C$722,2,Данные!$A$2:$A$722,"&gt;="&amp;77234850000,Данные!$A$2:$A$722,"&lt;="&amp;77234850999)</f>
        <v>0</v>
      </c>
      <c r="AW115" s="62" t="n">
        <f aca="false">COUNTIFS(Данные!$B$2:$B$722,72,Данные!$C$2:$C$722,2,Данные!$A$2:$A$722,"&gt;="&amp;77233327000,Данные!$A$2:$A$722,"&lt;="&amp;77233327999)</f>
        <v>0</v>
      </c>
      <c r="AX115" s="62" t="n">
        <f aca="false">COUNTIFS(Данные!$B$2:$B$722,72,Данные!$C$2:$C$722,2,Данные!$A$2:$A$722,"&gt;="&amp;77233350000,Данные!$A$2:$A$722,"&lt;="&amp;77233350599)</f>
        <v>0</v>
      </c>
      <c r="AY115" s="62" t="n">
        <f aca="false">COUNTIFS(Данные!$B$2:$B$722,72,Данные!$C$2:$C$722,2,Данные!$A$2:$A$722,"&gt;="&amp;77233351000,Данные!$A$2:$A$722,"&lt;="&amp;77233351999)</f>
        <v>0</v>
      </c>
      <c r="AZ115" s="63" t="n">
        <f aca="false">COUNTIFS(Данные!$B$2:$B$722,72,Данные!$C$2:$C$722,2,Данные!$A$2:$A$722,"&gt;="&amp;7722440000,Данные!$A$2:$A$722,"&lt;="&amp;7722440999)</f>
        <v>0</v>
      </c>
      <c r="BA115" s="63" t="n">
        <f aca="false">COUNTIFS(Данные!$B$2:$B$722,72,Данные!$C$2:$C$722,2,Данные!$A$2:$A$722,"&gt;="&amp;7722442000,Данные!$A$2:$A$722,"&lt;="&amp;7722445659)</f>
        <v>0</v>
      </c>
      <c r="BB115" s="63" t="n">
        <f aca="false">COUNTIFS(Данные!$B$2:$B$722,72,Данные!$C$2:$C$722,2,Данные!$A$2:$A$722,"&gt;="&amp;7722450000,Данные!$A$2:$A$722,"&lt;="&amp;7722450199)</f>
        <v>0</v>
      </c>
      <c r="BC115" s="63" t="n">
        <f aca="false">COUNTIFS(Данные!$B$2:$B$722,72,Данные!$C$2:$C$722,2,Данные!$A$2:$A$722,"&gt;="&amp;7722451000,Данные!$A$2:$A$722,"&lt;="&amp;7722451374)</f>
        <v>0</v>
      </c>
      <c r="BD115" s="63" t="n">
        <f aca="false">COUNTIFS(Данные!$B$2:$B$722,72,Данные!$C$2:$C$722,2,Данные!$A$2:$A$722,"&gt;="&amp;7722452000,Данные!$A$2:$A$722,"&lt;="&amp;7722452299)</f>
        <v>0</v>
      </c>
      <c r="BE115" s="63" t="n">
        <f aca="false">COUNTIFS(Данные!$B$2:$B$722,72,Данные!$C$2:$C$722,2,Данные!$A$2:$A$722,"&gt;="&amp;7722453000,Данные!$A$2:$A$722,"&lt;="&amp;7722453816)</f>
        <v>0</v>
      </c>
      <c r="BF115" s="63" t="n">
        <f aca="false">COUNTIFS(Данные!$B$2:$B$722,72,Данные!$C$2:$C$722,2,Данные!$A$2:$A$722,"&gt;="&amp;7722454000,Данные!$A$2:$A$722,"&lt;="&amp;7722454099)</f>
        <v>0</v>
      </c>
      <c r="BG115" s="63" t="n">
        <f aca="false">COUNTIFS(Данные!$B$2:$B$722,72,Данные!$C$2:$C$722,2,Данные!$A$2:$A$722,"&gt;="&amp;7722458000,Данные!$A$2:$A$722,"&lt;="&amp;7722458999)</f>
        <v>0</v>
      </c>
      <c r="BH115" s="63" t="n">
        <f aca="false">COUNTIFS(Данные!$B$2:$B$722,72,Данные!$C$2:$C$722,2,Данные!$A$2:$A$722,"&gt;="&amp;7722630000,Данные!$A$2:$A$722,"&lt;="&amp;7722638549)</f>
        <v>0</v>
      </c>
      <c r="BI115" s="63" t="n">
        <f aca="false">COUNTIFS(Данные!$B$2:$B$722,72,Данные!$C$2:$C$722,2,Данные!$A$2:$A$722,"&gt;="&amp;7722639400,Данные!$A$2:$A$722,"&lt;="&amp;7722639899)</f>
        <v>0</v>
      </c>
      <c r="BJ115" s="63" t="n">
        <f aca="false">COUNTIFS(Данные!$B$2:$B$722,72,Данные!$C$2:$C$722,2,Данные!$A$2:$A$722,"&gt;="&amp;7725750000,Данные!$A$2:$A$722,"&lt;="&amp;7725750399)</f>
        <v>0</v>
      </c>
      <c r="BK115" s="63" t="n">
        <f aca="false">COUNTIFS(Данные!$B$2:$B$722,72,Данные!$C$2:$C$722,2,Данные!$A$2:$A$722,"&gt;="&amp;7723620000,Данные!$A$2:$A$722,"&lt;="&amp;7723621299)</f>
        <v>0</v>
      </c>
      <c r="BL115" s="63" t="n">
        <f aca="false">COUNTIFS(Данные!$B$2:$B$722,72,Данные!$C$2:$C$722,2,Данные!$A$2:$A$722,"&gt;="&amp;7723621600,Данные!$A$2:$A$722,"&lt;="&amp;7723623399)</f>
        <v>0</v>
      </c>
      <c r="BM115" s="63" t="n">
        <f aca="false">COUNTIFS(Данные!$B$2:$B$722,72,Данные!$C$2:$C$722,2,Данные!$A$2:$A$722,"&gt;="&amp;7725127000,Данные!$A$2:$A$722,"&lt;="&amp;7725127999)</f>
        <v>0</v>
      </c>
      <c r="BN115" s="63" t="n">
        <f aca="false">COUNTIFS(Данные!$B$2:$B$722,72,Данные!$C$2:$C$722,2,Данные!$A$2:$A$722,"&gt;="&amp;7723772000,Данные!$A$2:$A$722,"&lt;="&amp;7723724999)</f>
        <v>0</v>
      </c>
      <c r="BO115" s="62" t="n">
        <f aca="false">COUNTIFS(Данные!$B$2:$B$722,72,Данные!$C$2:$C$722,2,Данные!$A$2:$A$722,"&gt;="&amp;7723765000,Данные!$A$2:$A$722,"&lt;="&amp;7723765499)</f>
        <v>0</v>
      </c>
      <c r="BP115" s="63" t="n">
        <f aca="false">COUNTIFS(Данные!$B$2:$B$722,72,Данные!$C$2:$C$722,2,Данные!$A$2:$A$722,"&gt;="&amp;7723948000,Данные!$A$2:$A$722,"&lt;="&amp;7723948999)</f>
        <v>0</v>
      </c>
      <c r="BQ115" s="63" t="n">
        <f aca="false">COUNTIFS(Данные!$B$2:$B$722,72,Данные!$C$2:$C$722,2,Данные!$A$2:$A$722,"&gt;="&amp;7723950000,Данные!$A$2:$A$722,"&lt;="&amp;7723951099)</f>
        <v>0</v>
      </c>
      <c r="BR115" s="63" t="n">
        <f aca="false">COUNTIFS(Данные!$B$2:$B$722,72,Данные!$C$2:$C$722,2,Данные!$A$2:$A$722,"&gt;="&amp;7723020000,Данные!$A$2:$A$722,"&lt;="&amp;7723020999)</f>
        <v>0</v>
      </c>
      <c r="BS115" s="63" t="n">
        <f aca="false">COUNTIFS(Данные!$B$2:$B$722,72,Данные!$C$2:$C$722,2,Данные!$A$2:$A$722,"&gt;="&amp;7723029000,Данные!$A$2:$A$722,"&lt;="&amp;7723029999)</f>
        <v>0</v>
      </c>
      <c r="BT115" s="63" t="n">
        <f aca="false">COUNTIFS(Данные!$B$2:$B$722,72,Данные!$C$2:$C$722,2,Данные!$A$2:$A$722,"&gt;="&amp;7723055000,Данные!$A$2:$A$722,"&lt;="&amp;7723056549)</f>
        <v>0</v>
      </c>
      <c r="BU115" s="62" t="n">
        <f aca="false">COUNTIFS(Данные!$B$2:$B$722,72,Данные!$C$2:$C$722,2,Данные!$A$2:$A$722,"&gt;="&amp;7725250000,Данные!$A$2:$A$722,"&lt;="&amp;7725250499)</f>
        <v>0</v>
      </c>
      <c r="BV115" s="63" t="n">
        <f aca="false">COUNTIFS(Данные!$B$2:$B$722,72,Данные!$C$2:$C$722,2,Данные!$A$2:$A$722,"&gt;="&amp;7183841400,Данные!$A$2:$A$722,"&lt;="&amp;7183841499)</f>
        <v>0</v>
      </c>
      <c r="BW115" s="40" t="n">
        <v>300</v>
      </c>
      <c r="BX115" s="64" t="n">
        <f aca="false">F115-BW115</f>
        <v>-300</v>
      </c>
    </row>
    <row r="116" s="15" customFormat="true" ht="12" hidden="false" customHeight="true" outlineLevel="0" collapsed="false">
      <c r="A116" s="47" t="n">
        <v>73</v>
      </c>
      <c r="B116" s="48" t="s">
        <v>98</v>
      </c>
      <c r="C116" s="50" t="n">
        <v>3</v>
      </c>
      <c r="D116" s="50" t="n">
        <v>730</v>
      </c>
      <c r="E116" s="51" t="n">
        <f aca="false">SUM(F116:F118)</f>
        <v>0</v>
      </c>
      <c r="F116" s="65" t="n">
        <f aca="false">COUNTIFS(Данные!$B$2:$B$722,73,Данные!$C$2:$C$722,3)</f>
        <v>0</v>
      </c>
      <c r="G116" s="65" t="n">
        <f aca="false">COUNTIFS(Данные!$B$2:$B$722,73,Данные!$C$2:$C$722,3,Данные!$A$2:$A$722,"&gt;="&amp;77232210840,Данные!$A$2:$A$722,"&lt;="&amp;77232216999)</f>
        <v>0</v>
      </c>
      <c r="H116" s="65" t="n">
        <f aca="false">COUNTIFS(Данные!$B$2:$B$722,73,Данные!$C$2:$C$722,3,Данные!$A$2:$A$722,"&gt;="&amp;77232510512,Данные!$A$2:$A$722,"&lt;="&amp;77232519487)</f>
        <v>0</v>
      </c>
      <c r="I116" s="65" t="n">
        <f aca="false">COUNTIFS(Данные!$B$2:$B$722,73,Данные!$C$2:$C$722,3,Данные!$A$2:$A$722,"&gt;="&amp;77232524160,Данные!$A$2:$A$722,"&lt;="&amp;77232529999)</f>
        <v>0</v>
      </c>
      <c r="J116" s="65" t="n">
        <f aca="false">COUNTIFS(Данные!$B$2:$B$722,73,Данные!$C$2:$C$722,3,Данные!$A$2:$A$722,"&gt;="&amp;77232544000,Данные!$A$2:$A$722,"&lt;="&amp;77232544999)</f>
        <v>0</v>
      </c>
      <c r="K116" s="65" t="n">
        <f aca="false">COUNTIFS(Данные!$B$2:$B$722,73,Данные!$C$2:$C$722,3,Данные!$A$2:$A$722,"&gt;="&amp;77232295504,Данные!$A$2:$A$722,"&lt;="&amp;77232296999)</f>
        <v>0</v>
      </c>
      <c r="L116" s="65" t="n">
        <f aca="false">COUNTIFS(Данные!$B$2:$B$722,73,Данные!$C$2:$C$722,3,Данные!$A$2:$A$722,"&gt;="&amp;77232785000,Данные!$A$2:$A$722,"&lt;="&amp;77232789999)</f>
        <v>0</v>
      </c>
      <c r="M116" s="65" t="n">
        <f aca="false">COUNTIFS(Данные!$B$2:$B$722,73,Данные!$C$2:$C$722,3,Данные!$A$2:$A$722,"&gt;="&amp;77233150000,Данные!$A$2:$A$722,"&lt;="&amp;77233155999)</f>
        <v>0</v>
      </c>
      <c r="N116" s="65" t="n">
        <f aca="false">COUNTIFS(Данные!$B$2:$B$722,73,Данные!$C$2:$C$722,3,Данные!$A$2:$A$722,"&gt;="&amp;77233235000,Данные!$A$2:$A$722,"&lt;="&amp;77233235999)</f>
        <v>0</v>
      </c>
      <c r="O116" s="65" t="n">
        <f aca="false">COUNTIFS(Данные!$B$2:$B$722,73,Данные!$C$2:$C$722,3,Данные!$A$2:$A$722,"&gt;="&amp;77233239000,Данные!$A$2:$A$722,"&lt;="&amp;77233239999)</f>
        <v>0</v>
      </c>
      <c r="P116" s="65" t="n">
        <f aca="false">COUNTIFS(Данные!$B$2:$B$722,73,Данные!$C$2:$C$722,3,Данные!$A$2:$A$722,"&gt;="&amp;77233272000,Данные!$A$2:$A$722,"&lt;="&amp;77233272999)</f>
        <v>0</v>
      </c>
      <c r="Q116" s="65" t="n">
        <f aca="false">COUNTIFS(Данные!$B$2:$B$722,73,Данные!$C$2:$C$722,3,Данные!$A$2:$A$722,"&gt;="&amp;77233291100,Данные!$A$2:$A$722,"&lt;="&amp;77233292999)</f>
        <v>0</v>
      </c>
      <c r="R116" s="65" t="n">
        <f aca="false">COUNTIFS(Данные!$B$2:$B$722,73,Данные!$C$2:$C$722,3,Данные!$A$2:$A$722,"&gt;="&amp;77233297000,Данные!$A$2:$A$722,"&lt;="&amp;77233298399)</f>
        <v>0</v>
      </c>
      <c r="S116" s="65" t="n">
        <f aca="false">COUNTIFS(Данные!$B$2:$B$722,73,Данные!$C$2:$C$722,3,Данные!$A$2:$A$722,"&gt;="&amp;77235124000,Данные!$A$2:$A$722,"&lt;="&amp;77235128499)</f>
        <v>0</v>
      </c>
      <c r="T116" s="65" t="n">
        <f aca="false">COUNTIFS(Данные!$B$2:$B$722,73,Данные!$C$2:$C$722,3,Данные!$A$2:$A$722,"&gt;="&amp;77235320000,Данные!$A$2:$A$722,"&lt;="&amp;77235320999)</f>
        <v>0</v>
      </c>
      <c r="U116" s="65" t="n">
        <f aca="false">COUNTIFS(Данные!$B$2:$B$722,73,Данные!$C$2:$C$722,3,Данные!$A$2:$A$722,"&gt;="&amp;77233620000,Данные!$A$2:$A$722,"&lt;="&amp;77233623339)</f>
        <v>0</v>
      </c>
      <c r="V116" s="65" t="n">
        <f aca="false">COUNTIFS(Данные!$B$2:$B$722,73,Данные!$C$2:$C$722,3,Данные!$A$2:$A$722,"&gt;="&amp;77233630000,Данные!$A$2:$A$722,"&lt;="&amp;77233630999)</f>
        <v>0</v>
      </c>
      <c r="W116" s="65" t="n">
        <f aca="false">COUNTIFS(Данные!$B$2:$B$722,73,Данные!$C$2:$C$722,3,Данные!$A$2:$A$722,"&gt;="&amp;77233637000,Данные!$A$2:$A$722,"&lt;="&amp;77233637599)</f>
        <v>0</v>
      </c>
      <c r="X116" s="65" t="n">
        <f aca="false">COUNTIFS(Данные!$B$2:$B$722,73,Данные!$C$2:$C$722,3,Данные!$A$2:$A$722,"&gt;="&amp;77233550000,Данные!$A$2:$A$722,"&lt;="&amp;77233550999)</f>
        <v>0</v>
      </c>
      <c r="Y116" s="65" t="n">
        <f aca="false">COUNTIFS(Данные!$B$2:$B$722,73,Данные!$C$2:$C$722,3,Данные!$A$2:$A$722,"&gt;="&amp;77233554000,Данные!$A$2:$A$722,"&lt;="&amp;77233554999)</f>
        <v>0</v>
      </c>
      <c r="Z116" s="65" t="n">
        <f aca="false">COUNTIFS(Данные!$B$2:$B$722,73,Данные!$C$2:$C$722,3,Данные!$A$2:$A$722,"&gt;="&amp;77233555000,Данные!$A$2:$A$722,"&lt;="&amp;77233556999)</f>
        <v>0</v>
      </c>
      <c r="AA116" s="65" t="n">
        <f aca="false">COUNTIFS(Данные!$B$2:$B$722,73,Данные!$C$2:$C$722,3,Данные!$A$2:$A$722,"&gt;="&amp;77233726000,Данные!$A$2:$A$722,"&lt;="&amp;77233726999)</f>
        <v>0</v>
      </c>
      <c r="AB116" s="65" t="n">
        <f aca="false">COUNTIFS(Данные!$B$2:$B$722,73,Данные!$C$2:$C$722,3,Данные!$A$2:$A$722,"&gt;="&amp;77233820000,Данные!$A$2:$A$722,"&lt;="&amp;77233820999)</f>
        <v>0</v>
      </c>
      <c r="AC116" s="65" t="n">
        <f aca="false">COUNTIFS(Данные!$B$2:$B$722,73,Данные!$C$2:$C$722,3,Данные!$A$2:$A$722,"&gt;="&amp;77233850000,Данные!$A$2:$A$722,"&lt;="&amp;77233850999)</f>
        <v>0</v>
      </c>
      <c r="AD116" s="65" t="n">
        <f aca="false">COUNTIFS(Данные!$B$2:$B$722,73,Данные!$C$2:$C$722,3,Данные!$A$2:$A$722,"&gt;="&amp;77233420000,Данные!$A$2:$A$722,"&lt;="&amp;77233420999)</f>
        <v>0</v>
      </c>
      <c r="AE116" s="65" t="n">
        <f aca="false">COUNTIFS(Данные!$B$2:$B$722,73,Данные!$C$2:$C$722,3,Данные!$A$2:$A$722,"&gt;="&amp;77234740000,Данные!$A$2:$A$722,"&lt;="&amp;77234742999)</f>
        <v>0</v>
      </c>
      <c r="AF116" s="65" t="n">
        <f aca="false">COUNTIFS(Данные!$B$2:$B$722,73,Данные!$C$2:$C$722,3,Данные!$A$2:$A$722,"&gt;="&amp;77234767000,Данные!$A$2:$A$722,"&lt;="&amp;77234767999)</f>
        <v>0</v>
      </c>
      <c r="AG116" s="65" t="n">
        <f aca="false">COUNTIFS(Данные!$B$2:$B$722,73,Данные!$C$2:$C$722,3,Данные!$A$2:$A$722,"&gt;="&amp;77234120000,Данные!$A$2:$A$722,"&lt;="&amp;77234120999)</f>
        <v>0</v>
      </c>
      <c r="AH116" s="65" t="n">
        <f aca="false">COUNTIFS(Данные!$B$2:$B$722,73,Данные!$C$2:$C$722,3,Данные!$A$2:$A$722,"&gt;="&amp;77234127000,Данные!$A$2:$A$722,"&lt;="&amp;77234127999)</f>
        <v>0</v>
      </c>
      <c r="AI116" s="65" t="n">
        <f aca="false">COUNTIFS(Данные!$B$2:$B$722,73,Данные!$C$2:$C$722,3,Данные!$A$2:$A$722,"&gt;="&amp;77234220000,Данные!$A$2:$A$722,"&lt;="&amp;77234220999)</f>
        <v>0</v>
      </c>
      <c r="AJ116" s="65" t="n">
        <f aca="false">COUNTIFS(Данные!$B$2:$B$722,73,Данные!$C$2:$C$722,3,Данные!$A$2:$A$722,"&gt;="&amp;77234250000,Данные!$A$2:$A$722,"&lt;="&amp;77234250999)</f>
        <v>0</v>
      </c>
      <c r="AK116" s="65" t="n">
        <f aca="false">COUNTIFS(Данные!$B$2:$B$722,73,Данные!$C$2:$C$722,3,Данные!$A$2:$A$722,"&gt;="&amp;77233922950,Данные!$A$2:$A$722,"&lt;="&amp;77233924999)</f>
        <v>0</v>
      </c>
      <c r="AL116" s="65" t="n">
        <f aca="false">COUNTIFS(Данные!$B$2:$B$722,73,Данные!$C$2:$C$722,3,Данные!$A$2:$A$722,"&gt;="&amp;77234320000,Данные!$A$2:$A$722,"&lt;="&amp;77234320999)</f>
        <v>0</v>
      </c>
      <c r="AM116" s="65" t="n">
        <f aca="false">COUNTIFS(Данные!$B$2:$B$722,73,Данные!$C$2:$C$722,3,Данные!$A$2:$A$722,"&gt;="&amp;77234350000,Данные!$A$2:$A$722,"&lt;="&amp;77234350999)</f>
        <v>0</v>
      </c>
      <c r="AN116" s="65" t="n">
        <f aca="false">COUNTIFS(Данные!$B$2:$B$722,73,Данные!$C$2:$C$722,3,Данные!$A$2:$A$722,"&gt;="&amp;77234020000,Данные!$A$2:$A$722,"&lt;="&amp;77234020999)</f>
        <v>0</v>
      </c>
      <c r="AO116" s="65" t="n">
        <f aca="false">COUNTIFS(Данные!$B$2:$B$722,73,Данные!$C$2:$C$722,3,Данные!$A$2:$A$722,"&gt;="&amp;77234029000,Данные!$A$2:$A$722,"&lt;="&amp;77234029999)</f>
        <v>0</v>
      </c>
      <c r="AP116" s="65" t="n">
        <f aca="false">COUNTIFS(Данные!$B$2:$B$722,73,Данные!$C$2:$C$722,3,Данные!$A$2:$A$722,"&gt;="&amp;77234050000,Данные!$A$2:$A$722,"&lt;="&amp;77234050999)</f>
        <v>0</v>
      </c>
      <c r="AQ116" s="65" t="n">
        <f aca="false">COUNTIFS(Данные!$B$2:$B$722,73,Данные!$C$2:$C$722,3,Данные!$A$2:$A$722,"&gt;="&amp;77234427000,Данные!$A$2:$A$722,"&lt;="&amp;77234428999)</f>
        <v>0</v>
      </c>
      <c r="AR116" s="65" t="n">
        <f aca="false">COUNTIFS(Данные!$B$2:$B$722,73,Данные!$C$2:$C$722,3,Данные!$A$2:$A$722,"&gt;="&amp;77234450000,Данные!$A$2:$A$722,"&lt;="&amp;77234450999)</f>
        <v>0</v>
      </c>
      <c r="AS116" s="65" t="n">
        <f aca="false">COUNTIFS(Данные!$B$2:$B$722,73,Данные!$C$2:$C$722,3,Данные!$A$2:$A$722,"&gt;="&amp;77234620000,Данные!$A$2:$A$722,"&lt;="&amp;77234620999)</f>
        <v>0</v>
      </c>
      <c r="AT116" s="65" t="n">
        <f aca="false">COUNTIFS(Данные!$B$2:$B$722,73,Данные!$C$2:$C$722,3,Данные!$A$2:$A$722,"&gt;="&amp;77234650000,Данные!$A$2:$A$722,"&lt;="&amp;77234650999)</f>
        <v>0</v>
      </c>
      <c r="AU116" s="65" t="n">
        <f aca="false">COUNTIFS(Данные!$B$2:$B$722,73,Данные!$C$2:$C$722,3,Данные!$A$2:$A$722,"&gt;="&amp;77234820000,Данные!$A$2:$A$722,"&lt;="&amp;77234820999)</f>
        <v>0</v>
      </c>
      <c r="AV116" s="65" t="n">
        <f aca="false">COUNTIFS(Данные!$B$2:$B$722,73,Данные!$C$2:$C$722,3,Данные!$A$2:$A$722,"&gt;="&amp;77234850000,Данные!$A$2:$A$722,"&lt;="&amp;77234850999)</f>
        <v>0</v>
      </c>
      <c r="AW116" s="65" t="n">
        <f aca="false">COUNTIFS(Данные!$B$2:$B$722,73,Данные!$C$2:$C$722,3,Данные!$A$2:$A$722,"&gt;="&amp;77233327000,Данные!$A$2:$A$722,"&lt;="&amp;77233327999)</f>
        <v>0</v>
      </c>
      <c r="AX116" s="65" t="n">
        <f aca="false">COUNTIFS(Данные!$B$2:$B$722,73,Данные!$C$2:$C$722,3,Данные!$A$2:$A$722,"&gt;="&amp;77233350000,Данные!$A$2:$A$722,"&lt;="&amp;77233350599)</f>
        <v>0</v>
      </c>
      <c r="AY116" s="65" t="n">
        <f aca="false">COUNTIFS(Данные!$B$2:$B$722,73,Данные!$C$2:$C$722,3,Данные!$A$2:$A$722,"&gt;="&amp;77233351000,Данные!$A$2:$A$722,"&lt;="&amp;77233351999)</f>
        <v>0</v>
      </c>
      <c r="AZ116" s="66" t="n">
        <f aca="false">COUNTIFS(Данные!$B$2:$B$722,73,Данные!$C$2:$C$722,3,Данные!$A$2:$A$722,"&gt;="&amp;7722440000,Данные!$A$2:$A$722,"&lt;="&amp;7722440999)</f>
        <v>0</v>
      </c>
      <c r="BA116" s="66" t="n">
        <f aca="false">COUNTIFS(Данные!$B$2:$B$722,73,Данные!$C$2:$C$722,3,Данные!$A$2:$A$722,"&gt;="&amp;7722442000,Данные!$A$2:$A$722,"&lt;="&amp;7722445659)</f>
        <v>0</v>
      </c>
      <c r="BB116" s="66" t="n">
        <f aca="false">COUNTIFS(Данные!$B$2:$B$722,73,Данные!$C$2:$C$722,3,Данные!$A$2:$A$722,"&gt;="&amp;7722450000,Данные!$A$2:$A$722,"&lt;="&amp;7722450199)</f>
        <v>0</v>
      </c>
      <c r="BC116" s="66" t="n">
        <f aca="false">COUNTIFS(Данные!$B$2:$B$722,73,Данные!$C$2:$C$722,3,Данные!$A$2:$A$722,"&gt;="&amp;7722451000,Данные!$A$2:$A$722,"&lt;="&amp;7722451374)</f>
        <v>0</v>
      </c>
      <c r="BD116" s="66" t="n">
        <f aca="false">COUNTIFS(Данные!$B$2:$B$722,73,Данные!$C$2:$C$722,3,Данные!$A$2:$A$722,"&gt;="&amp;7722452000,Данные!$A$2:$A$722,"&lt;="&amp;7722452299)</f>
        <v>0</v>
      </c>
      <c r="BE116" s="66" t="n">
        <f aca="false">COUNTIFS(Данные!$B$2:$B$722,73,Данные!$C$2:$C$722,3,Данные!$A$2:$A$722,"&gt;="&amp;7722453000,Данные!$A$2:$A$722,"&lt;="&amp;7722453816)</f>
        <v>0</v>
      </c>
      <c r="BF116" s="66" t="n">
        <f aca="false">COUNTIFS(Данные!$B$2:$B$722,73,Данные!$C$2:$C$722,3,Данные!$A$2:$A$722,"&gt;="&amp;7722454000,Данные!$A$2:$A$722,"&lt;="&amp;7722454099)</f>
        <v>0</v>
      </c>
      <c r="BG116" s="66" t="n">
        <f aca="false">COUNTIFS(Данные!$B$2:$B$722,73,Данные!$C$2:$C$722,3,Данные!$A$2:$A$722,"&gt;="&amp;7722458000,Данные!$A$2:$A$722,"&lt;="&amp;7722458999)</f>
        <v>0</v>
      </c>
      <c r="BH116" s="66" t="n">
        <f aca="false">COUNTIFS(Данные!$B$2:$B$722,73,Данные!$C$2:$C$722,3,Данные!$A$2:$A$722,"&gt;="&amp;7722630000,Данные!$A$2:$A$722,"&lt;="&amp;7722638549)</f>
        <v>0</v>
      </c>
      <c r="BI116" s="66" t="n">
        <f aca="false">COUNTIFS(Данные!$B$2:$B$722,73,Данные!$C$2:$C$722,3,Данные!$A$2:$A$722,"&gt;="&amp;7722639400,Данные!$A$2:$A$722,"&lt;="&amp;7722639899)</f>
        <v>0</v>
      </c>
      <c r="BJ116" s="66" t="n">
        <f aca="false">COUNTIFS(Данные!$B$2:$B$722,73,Данные!$C$2:$C$722,3,Данные!$A$2:$A$722,"&gt;="&amp;7725750000,Данные!$A$2:$A$722,"&lt;="&amp;7725750399)</f>
        <v>0</v>
      </c>
      <c r="BK116" s="66" t="n">
        <f aca="false">COUNTIFS(Данные!$B$2:$B$722,73,Данные!$C$2:$C$722,3,Данные!$A$2:$A$722,"&gt;="&amp;7723620000,Данные!$A$2:$A$722,"&lt;="&amp;7723621299)</f>
        <v>0</v>
      </c>
      <c r="BL116" s="66" t="n">
        <f aca="false">COUNTIFS(Данные!$B$2:$B$722,73,Данные!$C$2:$C$722,3,Данные!$A$2:$A$722,"&gt;="&amp;7723621600,Данные!$A$2:$A$722,"&lt;="&amp;7723623399)</f>
        <v>0</v>
      </c>
      <c r="BM116" s="66" t="n">
        <f aca="false">COUNTIFS(Данные!$B$2:$B$722,73,Данные!$C$2:$C$722,3,Данные!$A$2:$A$722,"&gt;="&amp;7725127000,Данные!$A$2:$A$722,"&lt;="&amp;7725127999)</f>
        <v>0</v>
      </c>
      <c r="BN116" s="66" t="n">
        <f aca="false">COUNTIFS(Данные!$B$2:$B$722,73,Данные!$C$2:$C$722,3,Данные!$A$2:$A$722,"&gt;="&amp;7723772000,Данные!$A$2:$A$722,"&lt;="&amp;7723724999)</f>
        <v>0</v>
      </c>
      <c r="BO116" s="65" t="n">
        <f aca="false">COUNTIFS(Данные!$B$2:$B$722,73,Данные!$C$2:$C$722,3,Данные!$A$2:$A$722,"&gt;="&amp;7723765000,Данные!$A$2:$A$722,"&lt;="&amp;7723765499)</f>
        <v>0</v>
      </c>
      <c r="BP116" s="66" t="n">
        <f aca="false">COUNTIFS(Данные!$B$2:$B$722,73,Данные!$C$2:$C$722,3,Данные!$A$2:$A$722,"&gt;="&amp;7723948000,Данные!$A$2:$A$722,"&lt;="&amp;7723948999)</f>
        <v>0</v>
      </c>
      <c r="BQ116" s="66" t="n">
        <f aca="false">COUNTIFS(Данные!$B$2:$B$722,73,Данные!$C$2:$C$722,3,Данные!$A$2:$A$722,"&gt;="&amp;7723950000,Данные!$A$2:$A$722,"&lt;="&amp;7723951099)</f>
        <v>0</v>
      </c>
      <c r="BR116" s="66" t="n">
        <f aca="false">COUNTIFS(Данные!$B$2:$B$722,73,Данные!$C$2:$C$722,3,Данные!$A$2:$A$722,"&gt;="&amp;7723020000,Данные!$A$2:$A$722,"&lt;="&amp;7723020999)</f>
        <v>0</v>
      </c>
      <c r="BS116" s="66" t="n">
        <f aca="false">COUNTIFS(Данные!$B$2:$B$722,73,Данные!$C$2:$C$722,3,Данные!$A$2:$A$722,"&gt;="&amp;7723029000,Данные!$A$2:$A$722,"&lt;="&amp;7723029999)</f>
        <v>0</v>
      </c>
      <c r="BT116" s="66" t="n">
        <f aca="false">COUNTIFS(Данные!$B$2:$B$722,73,Данные!$C$2:$C$722,3,Данные!$A$2:$A$722,"&gt;="&amp;7723055000,Данные!$A$2:$A$722,"&lt;="&amp;7723056549)</f>
        <v>0</v>
      </c>
      <c r="BU116" s="65" t="n">
        <f aca="false">COUNTIFS(Данные!$B$2:$B$722,73,Данные!$C$2:$C$722,3,Данные!$A$2:$A$722,"&gt;="&amp;7725250000,Данные!$A$2:$A$722,"&lt;="&amp;7725250499)</f>
        <v>0</v>
      </c>
      <c r="BV116" s="66" t="n">
        <f aca="false">COUNTIFS(Данные!$B$2:$B$722,73,Данные!$C$2:$C$722,3,Данные!$A$2:$A$722,"&gt;="&amp;7183841400,Данные!$A$2:$A$722,"&lt;="&amp;7183841499)</f>
        <v>0</v>
      </c>
      <c r="BW116" s="49" t="n">
        <v>300</v>
      </c>
      <c r="BX116" s="67" t="n">
        <f aca="false">F116-BW116</f>
        <v>-300</v>
      </c>
    </row>
    <row r="117" s="15" customFormat="true" ht="12" hidden="false" customHeight="true" outlineLevel="0" collapsed="false">
      <c r="A117" s="47"/>
      <c r="B117" s="48"/>
      <c r="C117" s="50" t="n">
        <v>4</v>
      </c>
      <c r="D117" s="50" t="n">
        <v>731</v>
      </c>
      <c r="E117" s="51"/>
      <c r="F117" s="65" t="n">
        <f aca="false">COUNTIFS(Данные!$B$2:$B$722,73,Данные!$C$2:$C$722,4)</f>
        <v>0</v>
      </c>
      <c r="G117" s="65" t="n">
        <f aca="false">COUNTIFS(Данные!$B$2:$B$722,73,Данные!$C$2:$C$722,4,Данные!$A$2:$A$722,"&gt;="&amp;77232210840,Данные!$A$2:$A$722,"&lt;="&amp;77232216999)</f>
        <v>0</v>
      </c>
      <c r="H117" s="65" t="n">
        <f aca="false">COUNTIFS(Данные!$B$2:$B$722,73,Данные!$C$2:$C$722,4,Данные!$A$2:$A$722,"&gt;="&amp;77232510512,Данные!$A$2:$A$722,"&lt;="&amp;77232519487)</f>
        <v>0</v>
      </c>
      <c r="I117" s="65" t="n">
        <f aca="false">COUNTIFS(Данные!$B$2:$B$722,73,Данные!$C$2:$C$722,4,Данные!$A$2:$A$722,"&gt;="&amp;77232524160,Данные!$A$2:$A$722,"&lt;="&amp;77232529999)</f>
        <v>0</v>
      </c>
      <c r="J117" s="65" t="n">
        <f aca="false">COUNTIFS(Данные!$B$2:$B$722,73,Данные!$C$2:$C$722,4,Данные!$A$2:$A$722,"&gt;="&amp;77232544000,Данные!$A$2:$A$722,"&lt;="&amp;77232544999)</f>
        <v>0</v>
      </c>
      <c r="K117" s="65" t="n">
        <f aca="false">COUNTIFS(Данные!$B$2:$B$722,73,Данные!$C$2:$C$722,4,Данные!$A$2:$A$722,"&gt;="&amp;77232295504,Данные!$A$2:$A$722,"&lt;="&amp;77232296999)</f>
        <v>0</v>
      </c>
      <c r="L117" s="65" t="n">
        <f aca="false">COUNTIFS(Данные!$B$2:$B$722,73,Данные!$C$2:$C$722,4,Данные!$A$2:$A$722,"&gt;="&amp;77232785000,Данные!$A$2:$A$722,"&lt;="&amp;77232789999)</f>
        <v>0</v>
      </c>
      <c r="M117" s="65" t="n">
        <f aca="false">COUNTIFS(Данные!$B$2:$B$722,73,Данные!$C$2:$C$722,4,Данные!$A$2:$A$722,"&gt;="&amp;77233150000,Данные!$A$2:$A$722,"&lt;="&amp;77233155999)</f>
        <v>0</v>
      </c>
      <c r="N117" s="65" t="n">
        <f aca="false">COUNTIFS(Данные!$B$2:$B$722,73,Данные!$C$2:$C$722,4,Данные!$A$2:$A$722,"&gt;="&amp;77233235000,Данные!$A$2:$A$722,"&lt;="&amp;77233235999)</f>
        <v>0</v>
      </c>
      <c r="O117" s="65" t="n">
        <f aca="false">COUNTIFS(Данные!$B$2:$B$722,73,Данные!$C$2:$C$722,4,Данные!$A$2:$A$722,"&gt;="&amp;77233239000,Данные!$A$2:$A$722,"&lt;="&amp;77233239999)</f>
        <v>0</v>
      </c>
      <c r="P117" s="65" t="n">
        <f aca="false">COUNTIFS(Данные!$B$2:$B$722,73,Данные!$C$2:$C$722,4,Данные!$A$2:$A$722,"&gt;="&amp;77233272000,Данные!$A$2:$A$722,"&lt;="&amp;77233272999)</f>
        <v>0</v>
      </c>
      <c r="Q117" s="65" t="n">
        <f aca="false">COUNTIFS(Данные!$B$2:$B$722,73,Данные!$C$2:$C$722,4,Данные!$A$2:$A$722,"&gt;="&amp;77233291100,Данные!$A$2:$A$722,"&lt;="&amp;77233292999)</f>
        <v>0</v>
      </c>
      <c r="R117" s="65" t="n">
        <f aca="false">COUNTIFS(Данные!$B$2:$B$722,73,Данные!$C$2:$C$722,4,Данные!$A$2:$A$722,"&gt;="&amp;77233297000,Данные!$A$2:$A$722,"&lt;="&amp;77233298399)</f>
        <v>0</v>
      </c>
      <c r="S117" s="65" t="n">
        <f aca="false">COUNTIFS(Данные!$B$2:$B$722,73,Данные!$C$2:$C$722,4,Данные!$A$2:$A$722,"&gt;="&amp;77235124000,Данные!$A$2:$A$722,"&lt;="&amp;77235128499)</f>
        <v>0</v>
      </c>
      <c r="T117" s="65" t="n">
        <f aca="false">COUNTIFS(Данные!$B$2:$B$722,73,Данные!$C$2:$C$722,4,Данные!$A$2:$A$722,"&gt;="&amp;77235320000,Данные!$A$2:$A$722,"&lt;="&amp;77235320999)</f>
        <v>0</v>
      </c>
      <c r="U117" s="65" t="n">
        <f aca="false">COUNTIFS(Данные!$B$2:$B$722,73,Данные!$C$2:$C$722,4,Данные!$A$2:$A$722,"&gt;="&amp;77233620000,Данные!$A$2:$A$722,"&lt;="&amp;77233623339)</f>
        <v>0</v>
      </c>
      <c r="V117" s="65" t="n">
        <f aca="false">COUNTIFS(Данные!$B$2:$B$722,73,Данные!$C$2:$C$722,4,Данные!$A$2:$A$722,"&gt;="&amp;77233630000,Данные!$A$2:$A$722,"&lt;="&amp;77233630999)</f>
        <v>0</v>
      </c>
      <c r="W117" s="65" t="n">
        <f aca="false">COUNTIFS(Данные!$B$2:$B$722,73,Данные!$C$2:$C$722,4,Данные!$A$2:$A$722,"&gt;="&amp;77233637000,Данные!$A$2:$A$722,"&lt;="&amp;77233637599)</f>
        <v>0</v>
      </c>
      <c r="X117" s="65" t="n">
        <f aca="false">COUNTIFS(Данные!$B$2:$B$722,73,Данные!$C$2:$C$722,4,Данные!$A$2:$A$722,"&gt;="&amp;77233550000,Данные!$A$2:$A$722,"&lt;="&amp;77233550999)</f>
        <v>0</v>
      </c>
      <c r="Y117" s="65" t="n">
        <f aca="false">COUNTIFS(Данные!$B$2:$B$722,73,Данные!$C$2:$C$722,4,Данные!$A$2:$A$722,"&gt;="&amp;77233554000,Данные!$A$2:$A$722,"&lt;="&amp;77233554999)</f>
        <v>0</v>
      </c>
      <c r="Z117" s="65" t="n">
        <f aca="false">COUNTIFS(Данные!$B$2:$B$722,73,Данные!$C$2:$C$722,4,Данные!$A$2:$A$722,"&gt;="&amp;77233555000,Данные!$A$2:$A$722,"&lt;="&amp;77233556999)</f>
        <v>0</v>
      </c>
      <c r="AA117" s="65" t="n">
        <f aca="false">COUNTIFS(Данные!$B$2:$B$722,73,Данные!$C$2:$C$722,4,Данные!$A$2:$A$722,"&gt;="&amp;77233726000,Данные!$A$2:$A$722,"&lt;="&amp;77233726999)</f>
        <v>0</v>
      </c>
      <c r="AB117" s="65" t="n">
        <f aca="false">COUNTIFS(Данные!$B$2:$B$722,73,Данные!$C$2:$C$722,4,Данные!$A$2:$A$722,"&gt;="&amp;77233820000,Данные!$A$2:$A$722,"&lt;="&amp;77233820999)</f>
        <v>0</v>
      </c>
      <c r="AC117" s="65" t="n">
        <f aca="false">COUNTIFS(Данные!$B$2:$B$722,73,Данные!$C$2:$C$722,4,Данные!$A$2:$A$722,"&gt;="&amp;77233850000,Данные!$A$2:$A$722,"&lt;="&amp;77233850999)</f>
        <v>0</v>
      </c>
      <c r="AD117" s="65" t="n">
        <f aca="false">COUNTIFS(Данные!$B$2:$B$722,73,Данные!$C$2:$C$722,4,Данные!$A$2:$A$722,"&gt;="&amp;77233420000,Данные!$A$2:$A$722,"&lt;="&amp;77233420999)</f>
        <v>0</v>
      </c>
      <c r="AE117" s="65" t="n">
        <f aca="false">COUNTIFS(Данные!$B$2:$B$722,73,Данные!$C$2:$C$722,4,Данные!$A$2:$A$722,"&gt;="&amp;77234740000,Данные!$A$2:$A$722,"&lt;="&amp;77234742999)</f>
        <v>0</v>
      </c>
      <c r="AF117" s="65" t="n">
        <f aca="false">COUNTIFS(Данные!$B$2:$B$722,73,Данные!$C$2:$C$722,4,Данные!$A$2:$A$722,"&gt;="&amp;77234767000,Данные!$A$2:$A$722,"&lt;="&amp;77234767999)</f>
        <v>0</v>
      </c>
      <c r="AG117" s="65" t="n">
        <f aca="false">COUNTIFS(Данные!$B$2:$B$722,73,Данные!$C$2:$C$722,4,Данные!$A$2:$A$722,"&gt;="&amp;77234120000,Данные!$A$2:$A$722,"&lt;="&amp;77234120999)</f>
        <v>0</v>
      </c>
      <c r="AH117" s="65" t="n">
        <f aca="false">COUNTIFS(Данные!$B$2:$B$722,73,Данные!$C$2:$C$722,4,Данные!$A$2:$A$722,"&gt;="&amp;77234127000,Данные!$A$2:$A$722,"&lt;="&amp;77234127999)</f>
        <v>0</v>
      </c>
      <c r="AI117" s="65" t="n">
        <f aca="false">COUNTIFS(Данные!$B$2:$B$722,73,Данные!$C$2:$C$722,4,Данные!$A$2:$A$722,"&gt;="&amp;77234220000,Данные!$A$2:$A$722,"&lt;="&amp;77234220999)</f>
        <v>0</v>
      </c>
      <c r="AJ117" s="65" t="n">
        <f aca="false">COUNTIFS(Данные!$B$2:$B$722,73,Данные!$C$2:$C$722,4,Данные!$A$2:$A$722,"&gt;="&amp;77234250000,Данные!$A$2:$A$722,"&lt;="&amp;77234250999)</f>
        <v>0</v>
      </c>
      <c r="AK117" s="65" t="n">
        <f aca="false">COUNTIFS(Данные!$B$2:$B$722,73,Данные!$C$2:$C$722,4,Данные!$A$2:$A$722,"&gt;="&amp;77233922950,Данные!$A$2:$A$722,"&lt;="&amp;77233924999)</f>
        <v>0</v>
      </c>
      <c r="AL117" s="65" t="n">
        <f aca="false">COUNTIFS(Данные!$B$2:$B$722,73,Данные!$C$2:$C$722,4,Данные!$A$2:$A$722,"&gt;="&amp;77234320000,Данные!$A$2:$A$722,"&lt;="&amp;77234320999)</f>
        <v>0</v>
      </c>
      <c r="AM117" s="65" t="n">
        <f aca="false">COUNTIFS(Данные!$B$2:$B$722,73,Данные!$C$2:$C$722,4,Данные!$A$2:$A$722,"&gt;="&amp;77234350000,Данные!$A$2:$A$722,"&lt;="&amp;77234350999)</f>
        <v>0</v>
      </c>
      <c r="AN117" s="65" t="n">
        <f aca="false">COUNTIFS(Данные!$B$2:$B$722,73,Данные!$C$2:$C$722,4,Данные!$A$2:$A$722,"&gt;="&amp;77234020000,Данные!$A$2:$A$722,"&lt;="&amp;77234020999)</f>
        <v>0</v>
      </c>
      <c r="AO117" s="65" t="n">
        <f aca="false">COUNTIFS(Данные!$B$2:$B$722,73,Данные!$C$2:$C$722,4,Данные!$A$2:$A$722,"&gt;="&amp;77234029000,Данные!$A$2:$A$722,"&lt;="&amp;77234029999)</f>
        <v>0</v>
      </c>
      <c r="AP117" s="65" t="n">
        <f aca="false">COUNTIFS(Данные!$B$2:$B$722,73,Данные!$C$2:$C$722,4,Данные!$A$2:$A$722,"&gt;="&amp;77234050000,Данные!$A$2:$A$722,"&lt;="&amp;77234050999)</f>
        <v>0</v>
      </c>
      <c r="AQ117" s="65" t="n">
        <f aca="false">COUNTIFS(Данные!$B$2:$B$722,73,Данные!$C$2:$C$722,4,Данные!$A$2:$A$722,"&gt;="&amp;77234427000,Данные!$A$2:$A$722,"&lt;="&amp;77234428999)</f>
        <v>0</v>
      </c>
      <c r="AR117" s="65" t="n">
        <f aca="false">COUNTIFS(Данные!$B$2:$B$722,73,Данные!$C$2:$C$722,4,Данные!$A$2:$A$722,"&gt;="&amp;77234450000,Данные!$A$2:$A$722,"&lt;="&amp;77234450999)</f>
        <v>0</v>
      </c>
      <c r="AS117" s="65" t="n">
        <f aca="false">COUNTIFS(Данные!$B$2:$B$722,73,Данные!$C$2:$C$722,4,Данные!$A$2:$A$722,"&gt;="&amp;77234620000,Данные!$A$2:$A$722,"&lt;="&amp;77234620999)</f>
        <v>0</v>
      </c>
      <c r="AT117" s="65" t="n">
        <f aca="false">COUNTIFS(Данные!$B$2:$B$722,73,Данные!$C$2:$C$722,4,Данные!$A$2:$A$722,"&gt;="&amp;77234650000,Данные!$A$2:$A$722,"&lt;="&amp;77234650999)</f>
        <v>0</v>
      </c>
      <c r="AU117" s="65" t="n">
        <f aca="false">COUNTIFS(Данные!$B$2:$B$722,73,Данные!$C$2:$C$722,4,Данные!$A$2:$A$722,"&gt;="&amp;77234820000,Данные!$A$2:$A$722,"&lt;="&amp;77234820999)</f>
        <v>0</v>
      </c>
      <c r="AV117" s="65" t="n">
        <f aca="false">COUNTIFS(Данные!$B$2:$B$722,73,Данные!$C$2:$C$722,4,Данные!$A$2:$A$722,"&gt;="&amp;77234850000,Данные!$A$2:$A$722,"&lt;="&amp;77234850999)</f>
        <v>0</v>
      </c>
      <c r="AW117" s="65" t="n">
        <f aca="false">COUNTIFS(Данные!$B$2:$B$722,73,Данные!$C$2:$C$722,4,Данные!$A$2:$A$722,"&gt;="&amp;77233327000,Данные!$A$2:$A$722,"&lt;="&amp;77233327999)</f>
        <v>0</v>
      </c>
      <c r="AX117" s="65" t="n">
        <f aca="false">COUNTIFS(Данные!$B$2:$B$722,73,Данные!$C$2:$C$722,4,Данные!$A$2:$A$722,"&gt;="&amp;77233350000,Данные!$A$2:$A$722,"&lt;="&amp;77233350599)</f>
        <v>0</v>
      </c>
      <c r="AY117" s="65" t="n">
        <f aca="false">COUNTIFS(Данные!$B$2:$B$722,73,Данные!$C$2:$C$722,4,Данные!$A$2:$A$722,"&gt;="&amp;77233351000,Данные!$A$2:$A$722,"&lt;="&amp;77233351999)</f>
        <v>0</v>
      </c>
      <c r="AZ117" s="66" t="n">
        <f aca="false">COUNTIFS(Данные!$B$2:$B$722,73,Данные!$C$2:$C$722,4,Данные!$A$2:$A$722,"&gt;="&amp;7722440000,Данные!$A$2:$A$722,"&lt;="&amp;7722440999)</f>
        <v>0</v>
      </c>
      <c r="BA117" s="66" t="n">
        <f aca="false">COUNTIFS(Данные!$B$2:$B$722,73,Данные!$C$2:$C$722,4,Данные!$A$2:$A$722,"&gt;="&amp;7722442000,Данные!$A$2:$A$722,"&lt;="&amp;7722445659)</f>
        <v>0</v>
      </c>
      <c r="BB117" s="66" t="n">
        <f aca="false">COUNTIFS(Данные!$B$2:$B$722,73,Данные!$C$2:$C$722,4,Данные!$A$2:$A$722,"&gt;="&amp;7722450000,Данные!$A$2:$A$722,"&lt;="&amp;7722450199)</f>
        <v>0</v>
      </c>
      <c r="BC117" s="66" t="n">
        <f aca="false">COUNTIFS(Данные!$B$2:$B$722,73,Данные!$C$2:$C$722,4,Данные!$A$2:$A$722,"&gt;="&amp;7722451000,Данные!$A$2:$A$722,"&lt;="&amp;7722451374)</f>
        <v>0</v>
      </c>
      <c r="BD117" s="66" t="n">
        <f aca="false">COUNTIFS(Данные!$B$2:$B$722,73,Данные!$C$2:$C$722,4,Данные!$A$2:$A$722,"&gt;="&amp;7722452000,Данные!$A$2:$A$722,"&lt;="&amp;7722452299)</f>
        <v>0</v>
      </c>
      <c r="BE117" s="66" t="n">
        <f aca="false">COUNTIFS(Данные!$B$2:$B$722,73,Данные!$C$2:$C$722,4,Данные!$A$2:$A$722,"&gt;="&amp;7722453000,Данные!$A$2:$A$722,"&lt;="&amp;7722453816)</f>
        <v>0</v>
      </c>
      <c r="BF117" s="66" t="n">
        <f aca="false">COUNTIFS(Данные!$B$2:$B$722,73,Данные!$C$2:$C$722,4,Данные!$A$2:$A$722,"&gt;="&amp;7722454000,Данные!$A$2:$A$722,"&lt;="&amp;7722454099)</f>
        <v>0</v>
      </c>
      <c r="BG117" s="66" t="n">
        <f aca="false">COUNTIFS(Данные!$B$2:$B$722,73,Данные!$C$2:$C$722,4,Данные!$A$2:$A$722,"&gt;="&amp;7722458000,Данные!$A$2:$A$722,"&lt;="&amp;7722458999)</f>
        <v>0</v>
      </c>
      <c r="BH117" s="66" t="n">
        <f aca="false">COUNTIFS(Данные!$B$2:$B$722,73,Данные!$C$2:$C$722,4,Данные!$A$2:$A$722,"&gt;="&amp;7722630000,Данные!$A$2:$A$722,"&lt;="&amp;7722638549)</f>
        <v>0</v>
      </c>
      <c r="BI117" s="66" t="n">
        <f aca="false">COUNTIFS(Данные!$B$2:$B$722,73,Данные!$C$2:$C$722,4,Данные!$A$2:$A$722,"&gt;="&amp;7722639400,Данные!$A$2:$A$722,"&lt;="&amp;7722639899)</f>
        <v>0</v>
      </c>
      <c r="BJ117" s="66" t="n">
        <f aca="false">COUNTIFS(Данные!$B$2:$B$722,73,Данные!$C$2:$C$722,4,Данные!$A$2:$A$722,"&gt;="&amp;7725750000,Данные!$A$2:$A$722,"&lt;="&amp;7725750399)</f>
        <v>0</v>
      </c>
      <c r="BK117" s="66" t="n">
        <f aca="false">COUNTIFS(Данные!$B$2:$B$722,73,Данные!$C$2:$C$722,4,Данные!$A$2:$A$722,"&gt;="&amp;7723620000,Данные!$A$2:$A$722,"&lt;="&amp;7723621299)</f>
        <v>0</v>
      </c>
      <c r="BL117" s="66" t="n">
        <f aca="false">COUNTIFS(Данные!$B$2:$B$722,73,Данные!$C$2:$C$722,4,Данные!$A$2:$A$722,"&gt;="&amp;7723621600,Данные!$A$2:$A$722,"&lt;="&amp;7723623399)</f>
        <v>0</v>
      </c>
      <c r="BM117" s="66" t="n">
        <f aca="false">COUNTIFS(Данные!$B$2:$B$722,73,Данные!$C$2:$C$722,4,Данные!$A$2:$A$722,"&gt;="&amp;7725127000,Данные!$A$2:$A$722,"&lt;="&amp;7725127999)</f>
        <v>0</v>
      </c>
      <c r="BN117" s="66" t="n">
        <f aca="false">COUNTIFS(Данные!$B$2:$B$722,73,Данные!$C$2:$C$722,4,Данные!$A$2:$A$722,"&gt;="&amp;7723772000,Данные!$A$2:$A$722,"&lt;="&amp;7723724999)</f>
        <v>0</v>
      </c>
      <c r="BO117" s="65" t="n">
        <f aca="false">COUNTIFS(Данные!$B$2:$B$722,73,Данные!$C$2:$C$722,4,Данные!$A$2:$A$722,"&gt;="&amp;7723765000,Данные!$A$2:$A$722,"&lt;="&amp;7723765499)</f>
        <v>0</v>
      </c>
      <c r="BP117" s="66" t="n">
        <f aca="false">COUNTIFS(Данные!$B$2:$B$722,73,Данные!$C$2:$C$722,4,Данные!$A$2:$A$722,"&gt;="&amp;7723948000,Данные!$A$2:$A$722,"&lt;="&amp;7723948999)</f>
        <v>0</v>
      </c>
      <c r="BQ117" s="66" t="n">
        <f aca="false">COUNTIFS(Данные!$B$2:$B$722,73,Данные!$C$2:$C$722,4,Данные!$A$2:$A$722,"&gt;="&amp;7723950000,Данные!$A$2:$A$722,"&lt;="&amp;7723951099)</f>
        <v>0</v>
      </c>
      <c r="BR117" s="66" t="n">
        <f aca="false">COUNTIFS(Данные!$B$2:$B$722,73,Данные!$C$2:$C$722,4,Данные!$A$2:$A$722,"&gt;="&amp;7723020000,Данные!$A$2:$A$722,"&lt;="&amp;7723020999)</f>
        <v>0</v>
      </c>
      <c r="BS117" s="66" t="n">
        <f aca="false">COUNTIFS(Данные!$B$2:$B$722,73,Данные!$C$2:$C$722,4,Данные!$A$2:$A$722,"&gt;="&amp;7723029000,Данные!$A$2:$A$722,"&lt;="&amp;7723029999)</f>
        <v>0</v>
      </c>
      <c r="BT117" s="66" t="n">
        <f aca="false">COUNTIFS(Данные!$B$2:$B$722,73,Данные!$C$2:$C$722,4,Данные!$A$2:$A$722,"&gt;="&amp;7723055000,Данные!$A$2:$A$722,"&lt;="&amp;7723056549)</f>
        <v>0</v>
      </c>
      <c r="BU117" s="65" t="n">
        <f aca="false">COUNTIFS(Данные!$B$2:$B$722,73,Данные!$C$2:$C$722,4,Данные!$A$2:$A$722,"&gt;="&amp;7725250000,Данные!$A$2:$A$722,"&lt;="&amp;7725250499)</f>
        <v>0</v>
      </c>
      <c r="BV117" s="66" t="n">
        <f aca="false">COUNTIFS(Данные!$B$2:$B$722,73,Данные!$C$2:$C$722,4,Данные!$A$2:$A$722,"&gt;="&amp;7183841400,Данные!$A$2:$A$722,"&lt;="&amp;7183841499)</f>
        <v>0</v>
      </c>
      <c r="BW117" s="49" t="n">
        <v>300</v>
      </c>
      <c r="BX117" s="67" t="n">
        <f aca="false">F117-BW117</f>
        <v>-300</v>
      </c>
    </row>
    <row r="118" s="15" customFormat="true" ht="12" hidden="false" customHeight="true" outlineLevel="0" collapsed="false">
      <c r="A118" s="47"/>
      <c r="B118" s="48"/>
      <c r="C118" s="50" t="n">
        <v>5</v>
      </c>
      <c r="D118" s="50" t="n">
        <v>732</v>
      </c>
      <c r="E118" s="51"/>
      <c r="F118" s="65" t="n">
        <f aca="false">COUNTIFS(Данные!$B$2:$B$722,73,Данные!$C$2:$C$722,5)</f>
        <v>0</v>
      </c>
      <c r="G118" s="65" t="n">
        <f aca="false">COUNTIFS(Данные!$B$2:$B$722,73,Данные!$C$2:$C$722,5,Данные!$A$2:$A$722,"&gt;="&amp;77232210840,Данные!$A$2:$A$722,"&lt;="&amp;77232216999)</f>
        <v>0</v>
      </c>
      <c r="H118" s="65" t="n">
        <f aca="false">COUNTIFS(Данные!$B$2:$B$722,73,Данные!$C$2:$C$722,5,Данные!$A$2:$A$722,"&gt;="&amp;77232510512,Данные!$A$2:$A$722,"&lt;="&amp;77232519487)</f>
        <v>0</v>
      </c>
      <c r="I118" s="65" t="n">
        <f aca="false">COUNTIFS(Данные!$B$2:$B$722,73,Данные!$C$2:$C$722,5,Данные!$A$2:$A$722,"&gt;="&amp;77232524160,Данные!$A$2:$A$722,"&lt;="&amp;77232529999)</f>
        <v>0</v>
      </c>
      <c r="J118" s="65" t="n">
        <f aca="false">COUNTIFS(Данные!$B$2:$B$722,73,Данные!$C$2:$C$722,5,Данные!$A$2:$A$722,"&gt;="&amp;77232544000,Данные!$A$2:$A$722,"&lt;="&amp;77232544999)</f>
        <v>0</v>
      </c>
      <c r="K118" s="65" t="n">
        <f aca="false">COUNTIFS(Данные!$B$2:$B$722,73,Данные!$C$2:$C$722,5,Данные!$A$2:$A$722,"&gt;="&amp;77232295504,Данные!$A$2:$A$722,"&lt;="&amp;77232296999)</f>
        <v>0</v>
      </c>
      <c r="L118" s="65" t="n">
        <f aca="false">COUNTIFS(Данные!$B$2:$B$722,73,Данные!$C$2:$C$722,5,Данные!$A$2:$A$722,"&gt;="&amp;77232785000,Данные!$A$2:$A$722,"&lt;="&amp;77232789999)</f>
        <v>0</v>
      </c>
      <c r="M118" s="65" t="n">
        <f aca="false">COUNTIFS(Данные!$B$2:$B$722,73,Данные!$C$2:$C$722,5,Данные!$A$2:$A$722,"&gt;="&amp;77233150000,Данные!$A$2:$A$722,"&lt;="&amp;77233155999)</f>
        <v>0</v>
      </c>
      <c r="N118" s="65" t="n">
        <f aca="false">COUNTIFS(Данные!$B$2:$B$722,73,Данные!$C$2:$C$722,5,Данные!$A$2:$A$722,"&gt;="&amp;77233235000,Данные!$A$2:$A$722,"&lt;="&amp;77233235999)</f>
        <v>0</v>
      </c>
      <c r="O118" s="65" t="n">
        <f aca="false">COUNTIFS(Данные!$B$2:$B$722,73,Данные!$C$2:$C$722,5,Данные!$A$2:$A$722,"&gt;="&amp;77233239000,Данные!$A$2:$A$722,"&lt;="&amp;77233239999)</f>
        <v>0</v>
      </c>
      <c r="P118" s="65" t="n">
        <f aca="false">COUNTIFS(Данные!$B$2:$B$722,73,Данные!$C$2:$C$722,5,Данные!$A$2:$A$722,"&gt;="&amp;77233272000,Данные!$A$2:$A$722,"&lt;="&amp;77233272999)</f>
        <v>0</v>
      </c>
      <c r="Q118" s="65" t="n">
        <f aca="false">COUNTIFS(Данные!$B$2:$B$722,73,Данные!$C$2:$C$722,5,Данные!$A$2:$A$722,"&gt;="&amp;77233291100,Данные!$A$2:$A$722,"&lt;="&amp;77233292999)</f>
        <v>0</v>
      </c>
      <c r="R118" s="65" t="n">
        <f aca="false">COUNTIFS(Данные!$B$2:$B$722,73,Данные!$C$2:$C$722,5,Данные!$A$2:$A$722,"&gt;="&amp;77233297000,Данные!$A$2:$A$722,"&lt;="&amp;77233298399)</f>
        <v>0</v>
      </c>
      <c r="S118" s="65" t="n">
        <f aca="false">COUNTIFS(Данные!$B$2:$B$722,73,Данные!$C$2:$C$722,5,Данные!$A$2:$A$722,"&gt;="&amp;77235124000,Данные!$A$2:$A$722,"&lt;="&amp;77235128499)</f>
        <v>0</v>
      </c>
      <c r="T118" s="65" t="n">
        <f aca="false">COUNTIFS(Данные!$B$2:$B$722,73,Данные!$C$2:$C$722,5,Данные!$A$2:$A$722,"&gt;="&amp;77235320000,Данные!$A$2:$A$722,"&lt;="&amp;77235320999)</f>
        <v>0</v>
      </c>
      <c r="U118" s="65" t="n">
        <f aca="false">COUNTIFS(Данные!$B$2:$B$722,73,Данные!$C$2:$C$722,5,Данные!$A$2:$A$722,"&gt;="&amp;77233620000,Данные!$A$2:$A$722,"&lt;="&amp;77233623339)</f>
        <v>0</v>
      </c>
      <c r="V118" s="65" t="n">
        <f aca="false">COUNTIFS(Данные!$B$2:$B$722,73,Данные!$C$2:$C$722,5,Данные!$A$2:$A$722,"&gt;="&amp;77233630000,Данные!$A$2:$A$722,"&lt;="&amp;77233630999)</f>
        <v>0</v>
      </c>
      <c r="W118" s="65" t="n">
        <f aca="false">COUNTIFS(Данные!$B$2:$B$722,73,Данные!$C$2:$C$722,5,Данные!$A$2:$A$722,"&gt;="&amp;77233637000,Данные!$A$2:$A$722,"&lt;="&amp;77233637599)</f>
        <v>0</v>
      </c>
      <c r="X118" s="65" t="n">
        <f aca="false">COUNTIFS(Данные!$B$2:$B$722,73,Данные!$C$2:$C$722,5,Данные!$A$2:$A$722,"&gt;="&amp;77233550000,Данные!$A$2:$A$722,"&lt;="&amp;77233550999)</f>
        <v>0</v>
      </c>
      <c r="Y118" s="65" t="n">
        <f aca="false">COUNTIFS(Данные!$B$2:$B$722,73,Данные!$C$2:$C$722,5,Данные!$A$2:$A$722,"&gt;="&amp;77233554000,Данные!$A$2:$A$722,"&lt;="&amp;77233554999)</f>
        <v>0</v>
      </c>
      <c r="Z118" s="65" t="n">
        <f aca="false">COUNTIFS(Данные!$B$2:$B$722,73,Данные!$C$2:$C$722,5,Данные!$A$2:$A$722,"&gt;="&amp;77233555000,Данные!$A$2:$A$722,"&lt;="&amp;77233556999)</f>
        <v>0</v>
      </c>
      <c r="AA118" s="65" t="n">
        <f aca="false">COUNTIFS(Данные!$B$2:$B$722,73,Данные!$C$2:$C$722,5,Данные!$A$2:$A$722,"&gt;="&amp;77233726000,Данные!$A$2:$A$722,"&lt;="&amp;77233726999)</f>
        <v>0</v>
      </c>
      <c r="AB118" s="65" t="n">
        <f aca="false">COUNTIFS(Данные!$B$2:$B$722,73,Данные!$C$2:$C$722,5,Данные!$A$2:$A$722,"&gt;="&amp;77233820000,Данные!$A$2:$A$722,"&lt;="&amp;77233820999)</f>
        <v>0</v>
      </c>
      <c r="AC118" s="65" t="n">
        <f aca="false">COUNTIFS(Данные!$B$2:$B$722,73,Данные!$C$2:$C$722,5,Данные!$A$2:$A$722,"&gt;="&amp;77233850000,Данные!$A$2:$A$722,"&lt;="&amp;77233850999)</f>
        <v>0</v>
      </c>
      <c r="AD118" s="65" t="n">
        <f aca="false">COUNTIFS(Данные!$B$2:$B$722,73,Данные!$C$2:$C$722,5,Данные!$A$2:$A$722,"&gt;="&amp;77233420000,Данные!$A$2:$A$722,"&lt;="&amp;77233420999)</f>
        <v>0</v>
      </c>
      <c r="AE118" s="65" t="n">
        <f aca="false">COUNTIFS(Данные!$B$2:$B$722,73,Данные!$C$2:$C$722,5,Данные!$A$2:$A$722,"&gt;="&amp;77234740000,Данные!$A$2:$A$722,"&lt;="&amp;77234742999)</f>
        <v>0</v>
      </c>
      <c r="AF118" s="65" t="n">
        <f aca="false">COUNTIFS(Данные!$B$2:$B$722,73,Данные!$C$2:$C$722,5,Данные!$A$2:$A$722,"&gt;="&amp;77234767000,Данные!$A$2:$A$722,"&lt;="&amp;77234767999)</f>
        <v>0</v>
      </c>
      <c r="AG118" s="65" t="n">
        <f aca="false">COUNTIFS(Данные!$B$2:$B$722,73,Данные!$C$2:$C$722,5,Данные!$A$2:$A$722,"&gt;="&amp;77234120000,Данные!$A$2:$A$722,"&lt;="&amp;77234120999)</f>
        <v>0</v>
      </c>
      <c r="AH118" s="65" t="n">
        <f aca="false">COUNTIFS(Данные!$B$2:$B$722,73,Данные!$C$2:$C$722,5,Данные!$A$2:$A$722,"&gt;="&amp;77234127000,Данные!$A$2:$A$722,"&lt;="&amp;77234127999)</f>
        <v>0</v>
      </c>
      <c r="AI118" s="65" t="n">
        <f aca="false">COUNTIFS(Данные!$B$2:$B$722,73,Данные!$C$2:$C$722,5,Данные!$A$2:$A$722,"&gt;="&amp;77234220000,Данные!$A$2:$A$722,"&lt;="&amp;77234220999)</f>
        <v>0</v>
      </c>
      <c r="AJ118" s="65" t="n">
        <f aca="false">COUNTIFS(Данные!$B$2:$B$722,73,Данные!$C$2:$C$722,5,Данные!$A$2:$A$722,"&gt;="&amp;77234250000,Данные!$A$2:$A$722,"&lt;="&amp;77234250999)</f>
        <v>0</v>
      </c>
      <c r="AK118" s="65" t="n">
        <f aca="false">COUNTIFS(Данные!$B$2:$B$722,73,Данные!$C$2:$C$722,5,Данные!$A$2:$A$722,"&gt;="&amp;77233922950,Данные!$A$2:$A$722,"&lt;="&amp;77233924999)</f>
        <v>0</v>
      </c>
      <c r="AL118" s="65" t="n">
        <f aca="false">COUNTIFS(Данные!$B$2:$B$722,73,Данные!$C$2:$C$722,5,Данные!$A$2:$A$722,"&gt;="&amp;77234320000,Данные!$A$2:$A$722,"&lt;="&amp;77234320999)</f>
        <v>0</v>
      </c>
      <c r="AM118" s="65" t="n">
        <f aca="false">COUNTIFS(Данные!$B$2:$B$722,73,Данные!$C$2:$C$722,5,Данные!$A$2:$A$722,"&gt;="&amp;77234350000,Данные!$A$2:$A$722,"&lt;="&amp;77234350999)</f>
        <v>0</v>
      </c>
      <c r="AN118" s="65" t="n">
        <f aca="false">COUNTIFS(Данные!$B$2:$B$722,73,Данные!$C$2:$C$722,5,Данные!$A$2:$A$722,"&gt;="&amp;77234020000,Данные!$A$2:$A$722,"&lt;="&amp;77234020999)</f>
        <v>0</v>
      </c>
      <c r="AO118" s="65" t="n">
        <f aca="false">COUNTIFS(Данные!$B$2:$B$722,73,Данные!$C$2:$C$722,5,Данные!$A$2:$A$722,"&gt;="&amp;77234029000,Данные!$A$2:$A$722,"&lt;="&amp;77234029999)</f>
        <v>0</v>
      </c>
      <c r="AP118" s="65" t="n">
        <f aca="false">COUNTIFS(Данные!$B$2:$B$722,73,Данные!$C$2:$C$722,5,Данные!$A$2:$A$722,"&gt;="&amp;77234050000,Данные!$A$2:$A$722,"&lt;="&amp;77234050999)</f>
        <v>0</v>
      </c>
      <c r="AQ118" s="65" t="n">
        <f aca="false">COUNTIFS(Данные!$B$2:$B$722,73,Данные!$C$2:$C$722,5,Данные!$A$2:$A$722,"&gt;="&amp;77234427000,Данные!$A$2:$A$722,"&lt;="&amp;77234428999)</f>
        <v>0</v>
      </c>
      <c r="AR118" s="65" t="n">
        <f aca="false">COUNTIFS(Данные!$B$2:$B$722,73,Данные!$C$2:$C$722,5,Данные!$A$2:$A$722,"&gt;="&amp;77234450000,Данные!$A$2:$A$722,"&lt;="&amp;77234450999)</f>
        <v>0</v>
      </c>
      <c r="AS118" s="65" t="n">
        <f aca="false">COUNTIFS(Данные!$B$2:$B$722,73,Данные!$C$2:$C$722,5,Данные!$A$2:$A$722,"&gt;="&amp;77234620000,Данные!$A$2:$A$722,"&lt;="&amp;77234620999)</f>
        <v>0</v>
      </c>
      <c r="AT118" s="65" t="n">
        <f aca="false">COUNTIFS(Данные!$B$2:$B$722,73,Данные!$C$2:$C$722,5,Данные!$A$2:$A$722,"&gt;="&amp;77234650000,Данные!$A$2:$A$722,"&lt;="&amp;77234650999)</f>
        <v>0</v>
      </c>
      <c r="AU118" s="65" t="n">
        <f aca="false">COUNTIFS(Данные!$B$2:$B$722,73,Данные!$C$2:$C$722,5,Данные!$A$2:$A$722,"&gt;="&amp;77234820000,Данные!$A$2:$A$722,"&lt;="&amp;77234820999)</f>
        <v>0</v>
      </c>
      <c r="AV118" s="65" t="n">
        <f aca="false">COUNTIFS(Данные!$B$2:$B$722,73,Данные!$C$2:$C$722,5,Данные!$A$2:$A$722,"&gt;="&amp;77234850000,Данные!$A$2:$A$722,"&lt;="&amp;77234850999)</f>
        <v>0</v>
      </c>
      <c r="AW118" s="65" t="n">
        <f aca="false">COUNTIFS(Данные!$B$2:$B$722,73,Данные!$C$2:$C$722,5,Данные!$A$2:$A$722,"&gt;="&amp;77233327000,Данные!$A$2:$A$722,"&lt;="&amp;77233327999)</f>
        <v>0</v>
      </c>
      <c r="AX118" s="65" t="n">
        <f aca="false">COUNTIFS(Данные!$B$2:$B$722,73,Данные!$C$2:$C$722,5,Данные!$A$2:$A$722,"&gt;="&amp;77233350000,Данные!$A$2:$A$722,"&lt;="&amp;77233350599)</f>
        <v>0</v>
      </c>
      <c r="AY118" s="65" t="n">
        <f aca="false">COUNTIFS(Данные!$B$2:$B$722,73,Данные!$C$2:$C$722,5,Данные!$A$2:$A$722,"&gt;="&amp;77233351000,Данные!$A$2:$A$722,"&lt;="&amp;77233351999)</f>
        <v>0</v>
      </c>
      <c r="AZ118" s="66" t="n">
        <f aca="false">COUNTIFS(Данные!$B$2:$B$722,73,Данные!$C$2:$C$722,5,Данные!$A$2:$A$722,"&gt;="&amp;7722440000,Данные!$A$2:$A$722,"&lt;="&amp;7722440999)</f>
        <v>0</v>
      </c>
      <c r="BA118" s="66" t="n">
        <f aca="false">COUNTIFS(Данные!$B$2:$B$722,73,Данные!$C$2:$C$722,5,Данные!$A$2:$A$722,"&gt;="&amp;7722442000,Данные!$A$2:$A$722,"&lt;="&amp;7722445659)</f>
        <v>0</v>
      </c>
      <c r="BB118" s="66" t="n">
        <f aca="false">COUNTIFS(Данные!$B$2:$B$722,73,Данные!$C$2:$C$722,5,Данные!$A$2:$A$722,"&gt;="&amp;7722450000,Данные!$A$2:$A$722,"&lt;="&amp;7722450199)</f>
        <v>0</v>
      </c>
      <c r="BC118" s="66" t="n">
        <f aca="false">COUNTIFS(Данные!$B$2:$B$722,73,Данные!$C$2:$C$722,5,Данные!$A$2:$A$722,"&gt;="&amp;7722451000,Данные!$A$2:$A$722,"&lt;="&amp;7722451374)</f>
        <v>0</v>
      </c>
      <c r="BD118" s="66" t="n">
        <f aca="false">COUNTIFS(Данные!$B$2:$B$722,73,Данные!$C$2:$C$722,5,Данные!$A$2:$A$722,"&gt;="&amp;7722452000,Данные!$A$2:$A$722,"&lt;="&amp;7722452299)</f>
        <v>0</v>
      </c>
      <c r="BE118" s="66" t="n">
        <f aca="false">COUNTIFS(Данные!$B$2:$B$722,73,Данные!$C$2:$C$722,5,Данные!$A$2:$A$722,"&gt;="&amp;7722453000,Данные!$A$2:$A$722,"&lt;="&amp;7722453816)</f>
        <v>0</v>
      </c>
      <c r="BF118" s="66" t="n">
        <f aca="false">COUNTIFS(Данные!$B$2:$B$722,73,Данные!$C$2:$C$722,5,Данные!$A$2:$A$722,"&gt;="&amp;7722454000,Данные!$A$2:$A$722,"&lt;="&amp;7722454099)</f>
        <v>0</v>
      </c>
      <c r="BG118" s="66" t="n">
        <f aca="false">COUNTIFS(Данные!$B$2:$B$722,73,Данные!$C$2:$C$722,5,Данные!$A$2:$A$722,"&gt;="&amp;7722458000,Данные!$A$2:$A$722,"&lt;="&amp;7722458999)</f>
        <v>0</v>
      </c>
      <c r="BH118" s="66" t="n">
        <f aca="false">COUNTIFS(Данные!$B$2:$B$722,73,Данные!$C$2:$C$722,5,Данные!$A$2:$A$722,"&gt;="&amp;7722630000,Данные!$A$2:$A$722,"&lt;="&amp;7722638549)</f>
        <v>0</v>
      </c>
      <c r="BI118" s="66" t="n">
        <f aca="false">COUNTIFS(Данные!$B$2:$B$722,73,Данные!$C$2:$C$722,5,Данные!$A$2:$A$722,"&gt;="&amp;7722639400,Данные!$A$2:$A$722,"&lt;="&amp;7722639899)</f>
        <v>0</v>
      </c>
      <c r="BJ118" s="66" t="n">
        <f aca="false">COUNTIFS(Данные!$B$2:$B$722,73,Данные!$C$2:$C$722,5,Данные!$A$2:$A$722,"&gt;="&amp;7725750000,Данные!$A$2:$A$722,"&lt;="&amp;7725750399)</f>
        <v>0</v>
      </c>
      <c r="BK118" s="66" t="n">
        <f aca="false">COUNTIFS(Данные!$B$2:$B$722,73,Данные!$C$2:$C$722,5,Данные!$A$2:$A$722,"&gt;="&amp;7723620000,Данные!$A$2:$A$722,"&lt;="&amp;7723621299)</f>
        <v>0</v>
      </c>
      <c r="BL118" s="66" t="n">
        <f aca="false">COUNTIFS(Данные!$B$2:$B$722,73,Данные!$C$2:$C$722,5,Данные!$A$2:$A$722,"&gt;="&amp;7723621600,Данные!$A$2:$A$722,"&lt;="&amp;7723623399)</f>
        <v>0</v>
      </c>
      <c r="BM118" s="66" t="n">
        <f aca="false">COUNTIFS(Данные!$B$2:$B$722,73,Данные!$C$2:$C$722,5,Данные!$A$2:$A$722,"&gt;="&amp;7725127000,Данные!$A$2:$A$722,"&lt;="&amp;7725127999)</f>
        <v>0</v>
      </c>
      <c r="BN118" s="66" t="n">
        <f aca="false">COUNTIFS(Данные!$B$2:$B$722,73,Данные!$C$2:$C$722,5,Данные!$A$2:$A$722,"&gt;="&amp;7723772000,Данные!$A$2:$A$722,"&lt;="&amp;7723724999)</f>
        <v>0</v>
      </c>
      <c r="BO118" s="65" t="n">
        <f aca="false">COUNTIFS(Данные!$B$2:$B$722,73,Данные!$C$2:$C$722,5,Данные!$A$2:$A$722,"&gt;="&amp;7723765000,Данные!$A$2:$A$722,"&lt;="&amp;7723765499)</f>
        <v>0</v>
      </c>
      <c r="BP118" s="66" t="n">
        <f aca="false">COUNTIFS(Данные!$B$2:$B$722,73,Данные!$C$2:$C$722,5,Данные!$A$2:$A$722,"&gt;="&amp;7723948000,Данные!$A$2:$A$722,"&lt;="&amp;7723948999)</f>
        <v>0</v>
      </c>
      <c r="BQ118" s="66" t="n">
        <f aca="false">COUNTIFS(Данные!$B$2:$B$722,73,Данные!$C$2:$C$722,5,Данные!$A$2:$A$722,"&gt;="&amp;7723950000,Данные!$A$2:$A$722,"&lt;="&amp;7723951099)</f>
        <v>0</v>
      </c>
      <c r="BR118" s="66" t="n">
        <f aca="false">COUNTIFS(Данные!$B$2:$B$722,73,Данные!$C$2:$C$722,5,Данные!$A$2:$A$722,"&gt;="&amp;7723020000,Данные!$A$2:$A$722,"&lt;="&amp;7723020999)</f>
        <v>0</v>
      </c>
      <c r="BS118" s="66" t="n">
        <f aca="false">COUNTIFS(Данные!$B$2:$B$722,73,Данные!$C$2:$C$722,5,Данные!$A$2:$A$722,"&gt;="&amp;7723029000,Данные!$A$2:$A$722,"&lt;="&amp;7723029999)</f>
        <v>0</v>
      </c>
      <c r="BT118" s="66" t="n">
        <f aca="false">COUNTIFS(Данные!$B$2:$B$722,73,Данные!$C$2:$C$722,5,Данные!$A$2:$A$722,"&gt;="&amp;7723055000,Данные!$A$2:$A$722,"&lt;="&amp;7723056549)</f>
        <v>0</v>
      </c>
      <c r="BU118" s="65" t="n">
        <f aca="false">COUNTIFS(Данные!$B$2:$B$722,73,Данные!$C$2:$C$722,5,Данные!$A$2:$A$722,"&gt;="&amp;7725250000,Данные!$A$2:$A$722,"&lt;="&amp;7725250499)</f>
        <v>0</v>
      </c>
      <c r="BV118" s="66" t="n">
        <f aca="false">COUNTIFS(Данные!$B$2:$B$722,73,Данные!$C$2:$C$722,5,Данные!$A$2:$A$722,"&gt;="&amp;7183841400,Данные!$A$2:$A$722,"&lt;="&amp;7183841499)</f>
        <v>0</v>
      </c>
      <c r="BW118" s="49" t="n">
        <v>300</v>
      </c>
      <c r="BX118" s="67" t="n">
        <f aca="false">F118-BW118</f>
        <v>-300</v>
      </c>
    </row>
    <row r="119" s="15" customFormat="true" ht="12" hidden="false" customHeight="true" outlineLevel="0" collapsed="false">
      <c r="A119" s="38" t="n">
        <v>74</v>
      </c>
      <c r="B119" s="39" t="s">
        <v>99</v>
      </c>
      <c r="C119" s="41" t="n">
        <v>0</v>
      </c>
      <c r="D119" s="41" t="n">
        <v>740</v>
      </c>
      <c r="E119" s="42" t="n">
        <f aca="false">SUM(F119:F121)</f>
        <v>0</v>
      </c>
      <c r="F119" s="62" t="n">
        <f aca="false">COUNTIFS(Данные!$B$2:$B$722,74,Данные!$C$2:$C$722,0)</f>
        <v>0</v>
      </c>
      <c r="G119" s="62" t="n">
        <f aca="false">COUNTIFS(Данные!$B$2:$B$722,74,Данные!$C$2:$C$722,0,Данные!$A$2:$A$722,"&gt;="&amp;77232210840,Данные!$A$2:$A$722,"&lt;="&amp;77232216999)</f>
        <v>0</v>
      </c>
      <c r="H119" s="62" t="n">
        <f aca="false">COUNTIFS(Данные!$B$2:$B$722,74,Данные!$C$2:$C$722,0,Данные!$A$2:$A$722,"&gt;="&amp;77232510512,Данные!$A$2:$A$722,"&lt;="&amp;77232519487)</f>
        <v>0</v>
      </c>
      <c r="I119" s="62" t="n">
        <f aca="false">COUNTIFS(Данные!$B$2:$B$722,74,Данные!$C$2:$C$722,0,Данные!$A$2:$A$722,"&gt;="&amp;77232524160,Данные!$A$2:$A$722,"&lt;="&amp;77232529999)</f>
        <v>0</v>
      </c>
      <c r="J119" s="62" t="n">
        <f aca="false">COUNTIFS(Данные!$B$2:$B$722,74,Данные!$C$2:$C$722,0,Данные!$A$2:$A$722,"&gt;="&amp;77232544000,Данные!$A$2:$A$722,"&lt;="&amp;77232544999)</f>
        <v>0</v>
      </c>
      <c r="K119" s="62" t="n">
        <f aca="false">COUNTIFS(Данные!$B$2:$B$722,74,Данные!$C$2:$C$722,0,Данные!$A$2:$A$722,"&gt;="&amp;77232295504,Данные!$A$2:$A$722,"&lt;="&amp;77232296999)</f>
        <v>0</v>
      </c>
      <c r="L119" s="62" t="n">
        <f aca="false">COUNTIFS(Данные!$B$2:$B$722,74,Данные!$C$2:$C$722,0,Данные!$A$2:$A$722,"&gt;="&amp;77232785000,Данные!$A$2:$A$722,"&lt;="&amp;77232789999)</f>
        <v>0</v>
      </c>
      <c r="M119" s="62" t="n">
        <f aca="false">COUNTIFS(Данные!$B$2:$B$722,74,Данные!$C$2:$C$722,0,Данные!$A$2:$A$722,"&gt;="&amp;77233150000,Данные!$A$2:$A$722,"&lt;="&amp;77233155999)</f>
        <v>0</v>
      </c>
      <c r="N119" s="62" t="n">
        <f aca="false">COUNTIFS(Данные!$B$2:$B$722,74,Данные!$C$2:$C$722,0,Данные!$A$2:$A$722,"&gt;="&amp;77233235000,Данные!$A$2:$A$722,"&lt;="&amp;77233235999)</f>
        <v>0</v>
      </c>
      <c r="O119" s="62" t="n">
        <f aca="false">COUNTIFS(Данные!$B$2:$B$722,74,Данные!$C$2:$C$722,0,Данные!$A$2:$A$722,"&gt;="&amp;77233239000,Данные!$A$2:$A$722,"&lt;="&amp;77233239999)</f>
        <v>0</v>
      </c>
      <c r="P119" s="62" t="n">
        <f aca="false">COUNTIFS(Данные!$B$2:$B$722,74,Данные!$C$2:$C$722,0,Данные!$A$2:$A$722,"&gt;="&amp;77233272000,Данные!$A$2:$A$722,"&lt;="&amp;77233272999)</f>
        <v>0</v>
      </c>
      <c r="Q119" s="62" t="n">
        <f aca="false">COUNTIFS(Данные!$B$2:$B$722,74,Данные!$C$2:$C$722,0,Данные!$A$2:$A$722,"&gt;="&amp;77233291100,Данные!$A$2:$A$722,"&lt;="&amp;77233292999)</f>
        <v>0</v>
      </c>
      <c r="R119" s="62" t="n">
        <f aca="false">COUNTIFS(Данные!$B$2:$B$722,74,Данные!$C$2:$C$722,0,Данные!$A$2:$A$722,"&gt;="&amp;77233297000,Данные!$A$2:$A$722,"&lt;="&amp;77233298399)</f>
        <v>0</v>
      </c>
      <c r="S119" s="62" t="n">
        <f aca="false">COUNTIFS(Данные!$B$2:$B$722,74,Данные!$C$2:$C$722,0,Данные!$A$2:$A$722,"&gt;="&amp;77235124000,Данные!$A$2:$A$722,"&lt;="&amp;77235128499)</f>
        <v>0</v>
      </c>
      <c r="T119" s="62" t="n">
        <f aca="false">COUNTIFS(Данные!$B$2:$B$722,74,Данные!$C$2:$C$722,0,Данные!$A$2:$A$722,"&gt;="&amp;77235320000,Данные!$A$2:$A$722,"&lt;="&amp;77235320999)</f>
        <v>0</v>
      </c>
      <c r="U119" s="62" t="n">
        <f aca="false">COUNTIFS(Данные!$B$2:$B$722,74,Данные!$C$2:$C$722,0,Данные!$A$2:$A$722,"&gt;="&amp;77233620000,Данные!$A$2:$A$722,"&lt;="&amp;77233623339)</f>
        <v>0</v>
      </c>
      <c r="V119" s="62" t="n">
        <f aca="false">COUNTIFS(Данные!$B$2:$B$722,74,Данные!$C$2:$C$722,0,Данные!$A$2:$A$722,"&gt;="&amp;77233630000,Данные!$A$2:$A$722,"&lt;="&amp;77233630999)</f>
        <v>0</v>
      </c>
      <c r="W119" s="62" t="n">
        <f aca="false">COUNTIFS(Данные!$B$2:$B$722,74,Данные!$C$2:$C$722,0,Данные!$A$2:$A$722,"&gt;="&amp;77233637000,Данные!$A$2:$A$722,"&lt;="&amp;77233637599)</f>
        <v>0</v>
      </c>
      <c r="X119" s="62" t="n">
        <f aca="false">COUNTIFS(Данные!$B$2:$B$722,74,Данные!$C$2:$C$722,0,Данные!$A$2:$A$722,"&gt;="&amp;77233550000,Данные!$A$2:$A$722,"&lt;="&amp;77233550999)</f>
        <v>0</v>
      </c>
      <c r="Y119" s="62" t="n">
        <f aca="false">COUNTIFS(Данные!$B$2:$B$722,74,Данные!$C$2:$C$722,0,Данные!$A$2:$A$722,"&gt;="&amp;77233554000,Данные!$A$2:$A$722,"&lt;="&amp;77233554999)</f>
        <v>0</v>
      </c>
      <c r="Z119" s="62" t="n">
        <f aca="false">COUNTIFS(Данные!$B$2:$B$722,74,Данные!$C$2:$C$722,0,Данные!$A$2:$A$722,"&gt;="&amp;77233555000,Данные!$A$2:$A$722,"&lt;="&amp;77233556999)</f>
        <v>0</v>
      </c>
      <c r="AA119" s="62" t="n">
        <f aca="false">COUNTIFS(Данные!$B$2:$B$722,74,Данные!$C$2:$C$722,0,Данные!$A$2:$A$722,"&gt;="&amp;77233726000,Данные!$A$2:$A$722,"&lt;="&amp;77233726999)</f>
        <v>0</v>
      </c>
      <c r="AB119" s="62" t="n">
        <f aca="false">COUNTIFS(Данные!$B$2:$B$722,74,Данные!$C$2:$C$722,0,Данные!$A$2:$A$722,"&gt;="&amp;77233820000,Данные!$A$2:$A$722,"&lt;="&amp;77233820999)</f>
        <v>0</v>
      </c>
      <c r="AC119" s="62" t="n">
        <f aca="false">COUNTIFS(Данные!$B$2:$B$722,74,Данные!$C$2:$C$722,0,Данные!$A$2:$A$722,"&gt;="&amp;77233850000,Данные!$A$2:$A$722,"&lt;="&amp;77233850999)</f>
        <v>0</v>
      </c>
      <c r="AD119" s="62" t="n">
        <f aca="false">COUNTIFS(Данные!$B$2:$B$722,74,Данные!$C$2:$C$722,0,Данные!$A$2:$A$722,"&gt;="&amp;77233420000,Данные!$A$2:$A$722,"&lt;="&amp;77233420999)</f>
        <v>0</v>
      </c>
      <c r="AE119" s="62" t="n">
        <f aca="false">COUNTIFS(Данные!$B$2:$B$722,74,Данные!$C$2:$C$722,0,Данные!$A$2:$A$722,"&gt;="&amp;77234740000,Данные!$A$2:$A$722,"&lt;="&amp;77234742999)</f>
        <v>0</v>
      </c>
      <c r="AF119" s="62" t="n">
        <f aca="false">COUNTIFS(Данные!$B$2:$B$722,74,Данные!$C$2:$C$722,0,Данные!$A$2:$A$722,"&gt;="&amp;77234767000,Данные!$A$2:$A$722,"&lt;="&amp;77234767999)</f>
        <v>0</v>
      </c>
      <c r="AG119" s="62" t="n">
        <f aca="false">COUNTIFS(Данные!$B$2:$B$722,74,Данные!$C$2:$C$722,0,Данные!$A$2:$A$722,"&gt;="&amp;77234120000,Данные!$A$2:$A$722,"&lt;="&amp;77234120999)</f>
        <v>0</v>
      </c>
      <c r="AH119" s="62" t="n">
        <f aca="false">COUNTIFS(Данные!$B$2:$B$722,74,Данные!$C$2:$C$722,0,Данные!$A$2:$A$722,"&gt;="&amp;77234127000,Данные!$A$2:$A$722,"&lt;="&amp;77234127999)</f>
        <v>0</v>
      </c>
      <c r="AI119" s="62" t="n">
        <f aca="false">COUNTIFS(Данные!$B$2:$B$722,74,Данные!$C$2:$C$722,0,Данные!$A$2:$A$722,"&gt;="&amp;77234220000,Данные!$A$2:$A$722,"&lt;="&amp;77234220999)</f>
        <v>0</v>
      </c>
      <c r="AJ119" s="62" t="n">
        <f aca="false">COUNTIFS(Данные!$B$2:$B$722,74,Данные!$C$2:$C$722,0,Данные!$A$2:$A$722,"&gt;="&amp;77234250000,Данные!$A$2:$A$722,"&lt;="&amp;77234250999)</f>
        <v>0</v>
      </c>
      <c r="AK119" s="62" t="n">
        <f aca="false">COUNTIFS(Данные!$B$2:$B$722,74,Данные!$C$2:$C$722,0,Данные!$A$2:$A$722,"&gt;="&amp;77233922950,Данные!$A$2:$A$722,"&lt;="&amp;77233924999)</f>
        <v>0</v>
      </c>
      <c r="AL119" s="62" t="n">
        <f aca="false">COUNTIFS(Данные!$B$2:$B$722,74,Данные!$C$2:$C$722,0,Данные!$A$2:$A$722,"&gt;="&amp;77234320000,Данные!$A$2:$A$722,"&lt;="&amp;77234320999)</f>
        <v>0</v>
      </c>
      <c r="AM119" s="62" t="n">
        <f aca="false">COUNTIFS(Данные!$B$2:$B$722,74,Данные!$C$2:$C$722,0,Данные!$A$2:$A$722,"&gt;="&amp;77234350000,Данные!$A$2:$A$722,"&lt;="&amp;77234350999)</f>
        <v>0</v>
      </c>
      <c r="AN119" s="62" t="n">
        <f aca="false">COUNTIFS(Данные!$B$2:$B$722,74,Данные!$C$2:$C$722,0,Данные!$A$2:$A$722,"&gt;="&amp;77234020000,Данные!$A$2:$A$722,"&lt;="&amp;77234020999)</f>
        <v>0</v>
      </c>
      <c r="AO119" s="62" t="n">
        <f aca="false">COUNTIFS(Данные!$B$2:$B$722,74,Данные!$C$2:$C$722,0,Данные!$A$2:$A$722,"&gt;="&amp;77234029000,Данные!$A$2:$A$722,"&lt;="&amp;77234029999)</f>
        <v>0</v>
      </c>
      <c r="AP119" s="62" t="n">
        <f aca="false">COUNTIFS(Данные!$B$2:$B$722,74,Данные!$C$2:$C$722,0,Данные!$A$2:$A$722,"&gt;="&amp;77234050000,Данные!$A$2:$A$722,"&lt;="&amp;77234050999)</f>
        <v>0</v>
      </c>
      <c r="AQ119" s="62" t="n">
        <f aca="false">COUNTIFS(Данные!$B$2:$B$722,74,Данные!$C$2:$C$722,0,Данные!$A$2:$A$722,"&gt;="&amp;77234427000,Данные!$A$2:$A$722,"&lt;="&amp;77234428999)</f>
        <v>0</v>
      </c>
      <c r="AR119" s="62" t="n">
        <f aca="false">COUNTIFS(Данные!$B$2:$B$722,74,Данные!$C$2:$C$722,0,Данные!$A$2:$A$722,"&gt;="&amp;77234450000,Данные!$A$2:$A$722,"&lt;="&amp;77234450999)</f>
        <v>0</v>
      </c>
      <c r="AS119" s="62" t="n">
        <f aca="false">COUNTIFS(Данные!$B$2:$B$722,74,Данные!$C$2:$C$722,0,Данные!$A$2:$A$722,"&gt;="&amp;77234620000,Данные!$A$2:$A$722,"&lt;="&amp;77234620999)</f>
        <v>0</v>
      </c>
      <c r="AT119" s="62" t="n">
        <f aca="false">COUNTIFS(Данные!$B$2:$B$722,74,Данные!$C$2:$C$722,0,Данные!$A$2:$A$722,"&gt;="&amp;77234650000,Данные!$A$2:$A$722,"&lt;="&amp;77234650999)</f>
        <v>0</v>
      </c>
      <c r="AU119" s="62" t="n">
        <f aca="false">COUNTIFS(Данные!$B$2:$B$722,74,Данные!$C$2:$C$722,0,Данные!$A$2:$A$722,"&gt;="&amp;77234820000,Данные!$A$2:$A$722,"&lt;="&amp;77234820999)</f>
        <v>0</v>
      </c>
      <c r="AV119" s="62" t="n">
        <f aca="false">COUNTIFS(Данные!$B$2:$B$722,74,Данные!$C$2:$C$722,0,Данные!$A$2:$A$722,"&gt;="&amp;77234850000,Данные!$A$2:$A$722,"&lt;="&amp;77234850999)</f>
        <v>0</v>
      </c>
      <c r="AW119" s="62" t="n">
        <f aca="false">COUNTIFS(Данные!$B$2:$B$722,74,Данные!$C$2:$C$722,0,Данные!$A$2:$A$722,"&gt;="&amp;77233327000,Данные!$A$2:$A$722,"&lt;="&amp;77233327999)</f>
        <v>0</v>
      </c>
      <c r="AX119" s="62" t="n">
        <f aca="false">COUNTIFS(Данные!$B$2:$B$722,74,Данные!$C$2:$C$722,0,Данные!$A$2:$A$722,"&gt;="&amp;77233350000,Данные!$A$2:$A$722,"&lt;="&amp;77233350599)</f>
        <v>0</v>
      </c>
      <c r="AY119" s="62" t="n">
        <f aca="false">COUNTIFS(Данные!$B$2:$B$722,74,Данные!$C$2:$C$722,0,Данные!$A$2:$A$722,"&gt;="&amp;77233351000,Данные!$A$2:$A$722,"&lt;="&amp;77233351999)</f>
        <v>0</v>
      </c>
      <c r="AZ119" s="62" t="n">
        <f aca="false">COUNTIFS(Данные!$B$2:$B$722,74,Данные!$C$2:$C$722,0,Данные!$A$2:$A$722,"&gt;="&amp;7722440000,Данные!$A$2:$A$722,"&lt;="&amp;7722440999)</f>
        <v>0</v>
      </c>
      <c r="BA119" s="63" t="n">
        <f aca="false">COUNTIFS(Данные!$B$2:$B$722,74,Данные!$C$2:$C$722,0,Данные!$A$2:$A$722,"&gt;="&amp;7722442000,Данные!$A$2:$A$722,"&lt;="&amp;7722445659)</f>
        <v>0</v>
      </c>
      <c r="BB119" s="63" t="n">
        <f aca="false">COUNTIFS(Данные!$B$2:$B$722,74,Данные!$C$2:$C$722,0,Данные!$A$2:$A$722,"&gt;="&amp;7722450000,Данные!$A$2:$A$722,"&lt;="&amp;7722450199)</f>
        <v>0</v>
      </c>
      <c r="BC119" s="63" t="n">
        <f aca="false">COUNTIFS(Данные!$B$2:$B$722,74,Данные!$C$2:$C$722,0,Данные!$A$2:$A$722,"&gt;="&amp;7722451000,Данные!$A$2:$A$722,"&lt;="&amp;7722451374)</f>
        <v>0</v>
      </c>
      <c r="BD119" s="63" t="n">
        <f aca="false">COUNTIFS(Данные!$B$2:$B$722,74,Данные!$C$2:$C$722,0,Данные!$A$2:$A$722,"&gt;="&amp;7722452000,Данные!$A$2:$A$722,"&lt;="&amp;7722452299)</f>
        <v>0</v>
      </c>
      <c r="BE119" s="63" t="n">
        <f aca="false">COUNTIFS(Данные!$B$2:$B$722,74,Данные!$C$2:$C$722,0,Данные!$A$2:$A$722,"&gt;="&amp;7722453000,Данные!$A$2:$A$722,"&lt;="&amp;7722453816)</f>
        <v>0</v>
      </c>
      <c r="BF119" s="63" t="n">
        <f aca="false">COUNTIFS(Данные!$B$2:$B$722,74,Данные!$C$2:$C$722,0,Данные!$A$2:$A$722,"&gt;="&amp;7722454000,Данные!$A$2:$A$722,"&lt;="&amp;7722454099)</f>
        <v>0</v>
      </c>
      <c r="BG119" s="63" t="n">
        <f aca="false">COUNTIFS(Данные!$B$2:$B$722,74,Данные!$C$2:$C$722,0,Данные!$A$2:$A$722,"&gt;="&amp;7722458000,Данные!$A$2:$A$722,"&lt;="&amp;7722458999)</f>
        <v>0</v>
      </c>
      <c r="BH119" s="63" t="n">
        <f aca="false">COUNTIFS(Данные!$B$2:$B$722,74,Данные!$C$2:$C$722,0,Данные!$A$2:$A$722,"&gt;="&amp;7722630000,Данные!$A$2:$A$722,"&lt;="&amp;7722638549)</f>
        <v>0</v>
      </c>
      <c r="BI119" s="63" t="n">
        <f aca="false">COUNTIFS(Данные!$B$2:$B$722,74,Данные!$C$2:$C$722,0,Данные!$A$2:$A$722,"&gt;="&amp;7722639400,Данные!$A$2:$A$722,"&lt;="&amp;7722639899)</f>
        <v>0</v>
      </c>
      <c r="BJ119" s="63" t="n">
        <f aca="false">COUNTIFS(Данные!$B$2:$B$722,74,Данные!$C$2:$C$722,0,Данные!$A$2:$A$722,"&gt;="&amp;7725750000,Данные!$A$2:$A$722,"&lt;="&amp;7725750399)</f>
        <v>0</v>
      </c>
      <c r="BK119" s="63" t="n">
        <f aca="false">COUNTIFS(Данные!$B$2:$B$722,74,Данные!$C$2:$C$722,0,Данные!$A$2:$A$722,"&gt;="&amp;7723620000,Данные!$A$2:$A$722,"&lt;="&amp;7723621299)</f>
        <v>0</v>
      </c>
      <c r="BL119" s="63" t="n">
        <f aca="false">COUNTIFS(Данные!$B$2:$B$722,74,Данные!$C$2:$C$722,0,Данные!$A$2:$A$722,"&gt;="&amp;7723621600,Данные!$A$2:$A$722,"&lt;="&amp;7723623399)</f>
        <v>0</v>
      </c>
      <c r="BM119" s="63" t="n">
        <f aca="false">COUNTIFS(Данные!$B$2:$B$722,74,Данные!$C$2:$C$722,0,Данные!$A$2:$A$722,"&gt;="&amp;7725127000,Данные!$A$2:$A$722,"&lt;="&amp;7725127999)</f>
        <v>0</v>
      </c>
      <c r="BN119" s="63" t="n">
        <f aca="false">COUNTIFS(Данные!$B$2:$B$722,74,Данные!$C$2:$C$722,0,Данные!$A$2:$A$722,"&gt;="&amp;7723772000,Данные!$A$2:$A$722,"&lt;="&amp;7723724999)</f>
        <v>0</v>
      </c>
      <c r="BO119" s="62" t="n">
        <f aca="false">COUNTIFS(Данные!$B$2:$B$722,74,Данные!$C$2:$C$722,0,Данные!$A$2:$A$722,"&gt;="&amp;7723765000,Данные!$A$2:$A$722,"&lt;="&amp;7723765499)</f>
        <v>0</v>
      </c>
      <c r="BP119" s="63" t="n">
        <f aca="false">COUNTIFS(Данные!$B$2:$B$722,74,Данные!$C$2:$C$722,0,Данные!$A$2:$A$722,"&gt;="&amp;7723948000,Данные!$A$2:$A$722,"&lt;="&amp;7723948999)</f>
        <v>0</v>
      </c>
      <c r="BQ119" s="63" t="n">
        <f aca="false">COUNTIFS(Данные!$B$2:$B$722,74,Данные!$C$2:$C$722,0,Данные!$A$2:$A$722,"&gt;="&amp;7723950000,Данные!$A$2:$A$722,"&lt;="&amp;7723951099)</f>
        <v>0</v>
      </c>
      <c r="BR119" s="63" t="n">
        <f aca="false">COUNTIFS(Данные!$B$2:$B$722,74,Данные!$C$2:$C$722,0,Данные!$A$2:$A$722,"&gt;="&amp;7723020000,Данные!$A$2:$A$722,"&lt;="&amp;7723020999)</f>
        <v>0</v>
      </c>
      <c r="BS119" s="63" t="n">
        <f aca="false">COUNTIFS(Данные!$B$2:$B$722,74,Данные!$C$2:$C$722,0,Данные!$A$2:$A$722,"&gt;="&amp;7723029000,Данные!$A$2:$A$722,"&lt;="&amp;7723029999)</f>
        <v>0</v>
      </c>
      <c r="BT119" s="63" t="n">
        <f aca="false">COUNTIFS(Данные!$B$2:$B$722,74,Данные!$C$2:$C$722,0,Данные!$A$2:$A$722,"&gt;="&amp;7723055000,Данные!$A$2:$A$722,"&lt;="&amp;7723056549)</f>
        <v>0</v>
      </c>
      <c r="BU119" s="62" t="n">
        <f aca="false">COUNTIFS(Данные!$B$2:$B$722,74,Данные!$C$2:$C$722,0,Данные!$A$2:$A$722,"&gt;="&amp;7725250000,Данные!$A$2:$A$722,"&lt;="&amp;7725250499)</f>
        <v>0</v>
      </c>
      <c r="BV119" s="63" t="n">
        <f aca="false">COUNTIFS(Данные!$B$2:$B$722,74,Данные!$C$2:$C$722,0,Данные!$A$2:$A$722,"&gt;="&amp;7183841400,Данные!$A$2:$A$722,"&lt;="&amp;7183841499)</f>
        <v>0</v>
      </c>
      <c r="BW119" s="40" t="n">
        <v>300</v>
      </c>
      <c r="BX119" s="64" t="n">
        <f aca="false">F119-BW119</f>
        <v>-300</v>
      </c>
    </row>
    <row r="120" s="15" customFormat="true" ht="12" hidden="false" customHeight="true" outlineLevel="0" collapsed="false">
      <c r="A120" s="38"/>
      <c r="B120" s="39"/>
      <c r="C120" s="41" t="n">
        <v>1</v>
      </c>
      <c r="D120" s="41" t="n">
        <v>741</v>
      </c>
      <c r="E120" s="42"/>
      <c r="F120" s="62" t="n">
        <f aca="false">COUNTIFS(Данные!$B$2:$B$722,74,Данные!$C$2:$C$722,1)</f>
        <v>0</v>
      </c>
      <c r="G120" s="62" t="n">
        <f aca="false">COUNTIFS(Данные!$B$2:$B$722,74,Данные!$C$2:$C$722,1,Данные!$A$2:$A$722,"&gt;="&amp;77232210840,Данные!$A$2:$A$722,"&lt;="&amp;77232216999)</f>
        <v>0</v>
      </c>
      <c r="H120" s="62" t="n">
        <f aca="false">COUNTIFS(Данные!$B$2:$B$722,74,Данные!$C$2:$C$722,1,Данные!$A$2:$A$722,"&gt;="&amp;77232510512,Данные!$A$2:$A$722,"&lt;="&amp;77232519487)</f>
        <v>0</v>
      </c>
      <c r="I120" s="62" t="n">
        <f aca="false">COUNTIFS(Данные!$B$2:$B$722,74,Данные!$C$2:$C$722,1,Данные!$A$2:$A$722,"&gt;="&amp;77232524160,Данные!$A$2:$A$722,"&lt;="&amp;77232529999)</f>
        <v>0</v>
      </c>
      <c r="J120" s="62" t="n">
        <f aca="false">COUNTIFS(Данные!$B$2:$B$722,74,Данные!$C$2:$C$722,1,Данные!$A$2:$A$722,"&gt;="&amp;77232544000,Данные!$A$2:$A$722,"&lt;="&amp;77232544999)</f>
        <v>0</v>
      </c>
      <c r="K120" s="62" t="n">
        <f aca="false">COUNTIFS(Данные!$B$2:$B$722,74,Данные!$C$2:$C$722,1,Данные!$A$2:$A$722,"&gt;="&amp;77232295504,Данные!$A$2:$A$722,"&lt;="&amp;77232296999)</f>
        <v>0</v>
      </c>
      <c r="L120" s="62" t="n">
        <f aca="false">COUNTIFS(Данные!$B$2:$B$722,74,Данные!$C$2:$C$722,1,Данные!$A$2:$A$722,"&gt;="&amp;77232785000,Данные!$A$2:$A$722,"&lt;="&amp;77232789999)</f>
        <v>0</v>
      </c>
      <c r="M120" s="62" t="n">
        <f aca="false">COUNTIFS(Данные!$B$2:$B$722,74,Данные!$C$2:$C$722,1,Данные!$A$2:$A$722,"&gt;="&amp;77233150000,Данные!$A$2:$A$722,"&lt;="&amp;77233155999)</f>
        <v>0</v>
      </c>
      <c r="N120" s="62" t="n">
        <f aca="false">COUNTIFS(Данные!$B$2:$B$722,74,Данные!$C$2:$C$722,1,Данные!$A$2:$A$722,"&gt;="&amp;77233235000,Данные!$A$2:$A$722,"&lt;="&amp;77233235999)</f>
        <v>0</v>
      </c>
      <c r="O120" s="62" t="n">
        <f aca="false">COUNTIFS(Данные!$B$2:$B$722,74,Данные!$C$2:$C$722,1,Данные!$A$2:$A$722,"&gt;="&amp;77233239000,Данные!$A$2:$A$722,"&lt;="&amp;77233239999)</f>
        <v>0</v>
      </c>
      <c r="P120" s="62" t="n">
        <f aca="false">COUNTIFS(Данные!$B$2:$B$722,74,Данные!$C$2:$C$722,1,Данные!$A$2:$A$722,"&gt;="&amp;77233272000,Данные!$A$2:$A$722,"&lt;="&amp;77233272999)</f>
        <v>0</v>
      </c>
      <c r="Q120" s="62" t="n">
        <f aca="false">COUNTIFS(Данные!$B$2:$B$722,74,Данные!$C$2:$C$722,1,Данные!$A$2:$A$722,"&gt;="&amp;77233291100,Данные!$A$2:$A$722,"&lt;="&amp;77233292999)</f>
        <v>0</v>
      </c>
      <c r="R120" s="62" t="n">
        <f aca="false">COUNTIFS(Данные!$B$2:$B$722,74,Данные!$C$2:$C$722,1,Данные!$A$2:$A$722,"&gt;="&amp;77233297000,Данные!$A$2:$A$722,"&lt;="&amp;77233298399)</f>
        <v>0</v>
      </c>
      <c r="S120" s="62" t="n">
        <f aca="false">COUNTIFS(Данные!$B$2:$B$722,74,Данные!$C$2:$C$722,1,Данные!$A$2:$A$722,"&gt;="&amp;77235124000,Данные!$A$2:$A$722,"&lt;="&amp;77235128499)</f>
        <v>0</v>
      </c>
      <c r="T120" s="62" t="n">
        <f aca="false">COUNTIFS(Данные!$B$2:$B$722,74,Данные!$C$2:$C$722,1,Данные!$A$2:$A$722,"&gt;="&amp;77235320000,Данные!$A$2:$A$722,"&lt;="&amp;77235320999)</f>
        <v>0</v>
      </c>
      <c r="U120" s="62" t="n">
        <f aca="false">COUNTIFS(Данные!$B$2:$B$722,74,Данные!$C$2:$C$722,1,Данные!$A$2:$A$722,"&gt;="&amp;77233620000,Данные!$A$2:$A$722,"&lt;="&amp;77233623339)</f>
        <v>0</v>
      </c>
      <c r="V120" s="62" t="n">
        <f aca="false">COUNTIFS(Данные!$B$2:$B$722,74,Данные!$C$2:$C$722,1,Данные!$A$2:$A$722,"&gt;="&amp;77233630000,Данные!$A$2:$A$722,"&lt;="&amp;77233630999)</f>
        <v>0</v>
      </c>
      <c r="W120" s="62" t="n">
        <f aca="false">COUNTIFS(Данные!$B$2:$B$722,74,Данные!$C$2:$C$722,1,Данные!$A$2:$A$722,"&gt;="&amp;77233637000,Данные!$A$2:$A$722,"&lt;="&amp;77233637599)</f>
        <v>0</v>
      </c>
      <c r="X120" s="62" t="n">
        <f aca="false">COUNTIFS(Данные!$B$2:$B$722,74,Данные!$C$2:$C$722,1,Данные!$A$2:$A$722,"&gt;="&amp;77233550000,Данные!$A$2:$A$722,"&lt;="&amp;77233550999)</f>
        <v>0</v>
      </c>
      <c r="Y120" s="62" t="n">
        <f aca="false">COUNTIFS(Данные!$B$2:$B$722,74,Данные!$C$2:$C$722,1,Данные!$A$2:$A$722,"&gt;="&amp;77233554000,Данные!$A$2:$A$722,"&lt;="&amp;77233554999)</f>
        <v>0</v>
      </c>
      <c r="Z120" s="62" t="n">
        <f aca="false">COUNTIFS(Данные!$B$2:$B$722,74,Данные!$C$2:$C$722,1,Данные!$A$2:$A$722,"&gt;="&amp;77233555000,Данные!$A$2:$A$722,"&lt;="&amp;77233556999)</f>
        <v>0</v>
      </c>
      <c r="AA120" s="62" t="n">
        <f aca="false">COUNTIFS(Данные!$B$2:$B$722,74,Данные!$C$2:$C$722,1,Данные!$A$2:$A$722,"&gt;="&amp;77233726000,Данные!$A$2:$A$722,"&lt;="&amp;77233726999)</f>
        <v>0</v>
      </c>
      <c r="AB120" s="62" t="n">
        <f aca="false">COUNTIFS(Данные!$B$2:$B$722,74,Данные!$C$2:$C$722,1,Данные!$A$2:$A$722,"&gt;="&amp;77233820000,Данные!$A$2:$A$722,"&lt;="&amp;77233820999)</f>
        <v>0</v>
      </c>
      <c r="AC120" s="62" t="n">
        <f aca="false">COUNTIFS(Данные!$B$2:$B$722,74,Данные!$C$2:$C$722,1,Данные!$A$2:$A$722,"&gt;="&amp;77233850000,Данные!$A$2:$A$722,"&lt;="&amp;77233850999)</f>
        <v>0</v>
      </c>
      <c r="AD120" s="62" t="n">
        <f aca="false">COUNTIFS(Данные!$B$2:$B$722,74,Данные!$C$2:$C$722,1,Данные!$A$2:$A$722,"&gt;="&amp;77233420000,Данные!$A$2:$A$722,"&lt;="&amp;77233420999)</f>
        <v>0</v>
      </c>
      <c r="AE120" s="62" t="n">
        <f aca="false">COUNTIFS(Данные!$B$2:$B$722,74,Данные!$C$2:$C$722,1,Данные!$A$2:$A$722,"&gt;="&amp;77234740000,Данные!$A$2:$A$722,"&lt;="&amp;77234742999)</f>
        <v>0</v>
      </c>
      <c r="AF120" s="62" t="n">
        <f aca="false">COUNTIFS(Данные!$B$2:$B$722,74,Данные!$C$2:$C$722,1,Данные!$A$2:$A$722,"&gt;="&amp;77234767000,Данные!$A$2:$A$722,"&lt;="&amp;77234767999)</f>
        <v>0</v>
      </c>
      <c r="AG120" s="62" t="n">
        <f aca="false">COUNTIFS(Данные!$B$2:$B$722,74,Данные!$C$2:$C$722,1,Данные!$A$2:$A$722,"&gt;="&amp;77234120000,Данные!$A$2:$A$722,"&lt;="&amp;77234120999)</f>
        <v>0</v>
      </c>
      <c r="AH120" s="62" t="n">
        <f aca="false">COUNTIFS(Данные!$B$2:$B$722,74,Данные!$C$2:$C$722,1,Данные!$A$2:$A$722,"&gt;="&amp;77234127000,Данные!$A$2:$A$722,"&lt;="&amp;77234127999)</f>
        <v>0</v>
      </c>
      <c r="AI120" s="62" t="n">
        <f aca="false">COUNTIFS(Данные!$B$2:$B$722,74,Данные!$C$2:$C$722,1,Данные!$A$2:$A$722,"&gt;="&amp;77234220000,Данные!$A$2:$A$722,"&lt;="&amp;77234220999)</f>
        <v>0</v>
      </c>
      <c r="AJ120" s="62" t="n">
        <f aca="false">COUNTIFS(Данные!$B$2:$B$722,74,Данные!$C$2:$C$722,1,Данные!$A$2:$A$722,"&gt;="&amp;77234250000,Данные!$A$2:$A$722,"&lt;="&amp;77234250999)</f>
        <v>0</v>
      </c>
      <c r="AK120" s="62" t="n">
        <f aca="false">COUNTIFS(Данные!$B$2:$B$722,74,Данные!$C$2:$C$722,1,Данные!$A$2:$A$722,"&gt;="&amp;77233922950,Данные!$A$2:$A$722,"&lt;="&amp;77233924999)</f>
        <v>0</v>
      </c>
      <c r="AL120" s="62" t="n">
        <f aca="false">COUNTIFS(Данные!$B$2:$B$722,74,Данные!$C$2:$C$722,1,Данные!$A$2:$A$722,"&gt;="&amp;77234320000,Данные!$A$2:$A$722,"&lt;="&amp;77234320999)</f>
        <v>0</v>
      </c>
      <c r="AM120" s="62" t="n">
        <f aca="false">COUNTIFS(Данные!$B$2:$B$722,74,Данные!$C$2:$C$722,1,Данные!$A$2:$A$722,"&gt;="&amp;77234350000,Данные!$A$2:$A$722,"&lt;="&amp;77234350999)</f>
        <v>0</v>
      </c>
      <c r="AN120" s="62" t="n">
        <f aca="false">COUNTIFS(Данные!$B$2:$B$722,74,Данные!$C$2:$C$722,1,Данные!$A$2:$A$722,"&gt;="&amp;77234020000,Данные!$A$2:$A$722,"&lt;="&amp;77234020999)</f>
        <v>0</v>
      </c>
      <c r="AO120" s="62" t="n">
        <f aca="false">COUNTIFS(Данные!$B$2:$B$722,74,Данные!$C$2:$C$722,1,Данные!$A$2:$A$722,"&gt;="&amp;77234029000,Данные!$A$2:$A$722,"&lt;="&amp;77234029999)</f>
        <v>0</v>
      </c>
      <c r="AP120" s="62" t="n">
        <f aca="false">COUNTIFS(Данные!$B$2:$B$722,74,Данные!$C$2:$C$722,1,Данные!$A$2:$A$722,"&gt;="&amp;77234050000,Данные!$A$2:$A$722,"&lt;="&amp;77234050999)</f>
        <v>0</v>
      </c>
      <c r="AQ120" s="62" t="n">
        <f aca="false">COUNTIFS(Данные!$B$2:$B$722,74,Данные!$C$2:$C$722,1,Данные!$A$2:$A$722,"&gt;="&amp;77234427000,Данные!$A$2:$A$722,"&lt;="&amp;77234428999)</f>
        <v>0</v>
      </c>
      <c r="AR120" s="62" t="n">
        <f aca="false">COUNTIFS(Данные!$B$2:$B$722,74,Данные!$C$2:$C$722,1,Данные!$A$2:$A$722,"&gt;="&amp;77234450000,Данные!$A$2:$A$722,"&lt;="&amp;77234450999)</f>
        <v>0</v>
      </c>
      <c r="AS120" s="62" t="n">
        <f aca="false">COUNTIFS(Данные!$B$2:$B$722,74,Данные!$C$2:$C$722,1,Данные!$A$2:$A$722,"&gt;="&amp;77234620000,Данные!$A$2:$A$722,"&lt;="&amp;77234620999)</f>
        <v>0</v>
      </c>
      <c r="AT120" s="62" t="n">
        <f aca="false">COUNTIFS(Данные!$B$2:$B$722,74,Данные!$C$2:$C$722,1,Данные!$A$2:$A$722,"&gt;="&amp;77234650000,Данные!$A$2:$A$722,"&lt;="&amp;77234650999)</f>
        <v>0</v>
      </c>
      <c r="AU120" s="62" t="n">
        <f aca="false">COUNTIFS(Данные!$B$2:$B$722,74,Данные!$C$2:$C$722,1,Данные!$A$2:$A$722,"&gt;="&amp;77234820000,Данные!$A$2:$A$722,"&lt;="&amp;77234820999)</f>
        <v>0</v>
      </c>
      <c r="AV120" s="62" t="n">
        <f aca="false">COUNTIFS(Данные!$B$2:$B$722,74,Данные!$C$2:$C$722,1,Данные!$A$2:$A$722,"&gt;="&amp;77234850000,Данные!$A$2:$A$722,"&lt;="&amp;77234850999)</f>
        <v>0</v>
      </c>
      <c r="AW120" s="62" t="n">
        <f aca="false">COUNTIFS(Данные!$B$2:$B$722,74,Данные!$C$2:$C$722,1,Данные!$A$2:$A$722,"&gt;="&amp;77233327000,Данные!$A$2:$A$722,"&lt;="&amp;77233327999)</f>
        <v>0</v>
      </c>
      <c r="AX120" s="62" t="n">
        <f aca="false">COUNTIFS(Данные!$B$2:$B$722,74,Данные!$C$2:$C$722,1,Данные!$A$2:$A$722,"&gt;="&amp;77233350000,Данные!$A$2:$A$722,"&lt;="&amp;77233350599)</f>
        <v>0</v>
      </c>
      <c r="AY120" s="62" t="n">
        <f aca="false">COUNTIFS(Данные!$B$2:$B$722,74,Данные!$C$2:$C$722,1,Данные!$A$2:$A$722,"&gt;="&amp;77233351000,Данные!$A$2:$A$722,"&lt;="&amp;77233351999)</f>
        <v>0</v>
      </c>
      <c r="AZ120" s="63" t="n">
        <f aca="false">COUNTIFS(Данные!$B$2:$B$722,74,Данные!$C$2:$C$722,1,Данные!$A$2:$A$722,"&gt;="&amp;7722440000,Данные!$A$2:$A$722,"&lt;="&amp;7722440999)</f>
        <v>0</v>
      </c>
      <c r="BA120" s="63" t="n">
        <f aca="false">COUNTIFS(Данные!$B$2:$B$722,74,Данные!$C$2:$C$722,1,Данные!$A$2:$A$722,"&gt;="&amp;7722442000,Данные!$A$2:$A$722,"&lt;="&amp;7722445659)</f>
        <v>0</v>
      </c>
      <c r="BB120" s="63" t="n">
        <f aca="false">COUNTIFS(Данные!$B$2:$B$722,74,Данные!$C$2:$C$722,1,Данные!$A$2:$A$722,"&gt;="&amp;7722450000,Данные!$A$2:$A$722,"&lt;="&amp;7722450199)</f>
        <v>0</v>
      </c>
      <c r="BC120" s="63" t="n">
        <f aca="false">COUNTIFS(Данные!$B$2:$B$722,74,Данные!$C$2:$C$722,1,Данные!$A$2:$A$722,"&gt;="&amp;7722451000,Данные!$A$2:$A$722,"&lt;="&amp;7722451374)</f>
        <v>0</v>
      </c>
      <c r="BD120" s="63" t="n">
        <f aca="false">COUNTIFS(Данные!$B$2:$B$722,74,Данные!$C$2:$C$722,1,Данные!$A$2:$A$722,"&gt;="&amp;7722452000,Данные!$A$2:$A$722,"&lt;="&amp;7722452299)</f>
        <v>0</v>
      </c>
      <c r="BE120" s="63" t="n">
        <f aca="false">COUNTIFS(Данные!$B$2:$B$722,74,Данные!$C$2:$C$722,1,Данные!$A$2:$A$722,"&gt;="&amp;7722453000,Данные!$A$2:$A$722,"&lt;="&amp;7722453816)</f>
        <v>0</v>
      </c>
      <c r="BF120" s="63" t="n">
        <f aca="false">COUNTIFS(Данные!$B$2:$B$722,74,Данные!$C$2:$C$722,1,Данные!$A$2:$A$722,"&gt;="&amp;7722454000,Данные!$A$2:$A$722,"&lt;="&amp;7722454099)</f>
        <v>0</v>
      </c>
      <c r="BG120" s="63" t="n">
        <f aca="false">COUNTIFS(Данные!$B$2:$B$722,74,Данные!$C$2:$C$722,1,Данные!$A$2:$A$722,"&gt;="&amp;7722458000,Данные!$A$2:$A$722,"&lt;="&amp;7722458999)</f>
        <v>0</v>
      </c>
      <c r="BH120" s="63" t="n">
        <f aca="false">COUNTIFS(Данные!$B$2:$B$722,74,Данные!$C$2:$C$722,1,Данные!$A$2:$A$722,"&gt;="&amp;7722630000,Данные!$A$2:$A$722,"&lt;="&amp;7722638549)</f>
        <v>0</v>
      </c>
      <c r="BI120" s="63" t="n">
        <f aca="false">COUNTIFS(Данные!$B$2:$B$722,74,Данные!$C$2:$C$722,1,Данные!$A$2:$A$722,"&gt;="&amp;7722639400,Данные!$A$2:$A$722,"&lt;="&amp;7722639899)</f>
        <v>0</v>
      </c>
      <c r="BJ120" s="63" t="n">
        <f aca="false">COUNTIFS(Данные!$B$2:$B$722,74,Данные!$C$2:$C$722,1,Данные!$A$2:$A$722,"&gt;="&amp;7725750000,Данные!$A$2:$A$722,"&lt;="&amp;7725750399)</f>
        <v>0</v>
      </c>
      <c r="BK120" s="63" t="n">
        <f aca="false">COUNTIFS(Данные!$B$2:$B$722,74,Данные!$C$2:$C$722,1,Данные!$A$2:$A$722,"&gt;="&amp;7723620000,Данные!$A$2:$A$722,"&lt;="&amp;7723621299)</f>
        <v>0</v>
      </c>
      <c r="BL120" s="63" t="n">
        <f aca="false">COUNTIFS(Данные!$B$2:$B$722,74,Данные!$C$2:$C$722,1,Данные!$A$2:$A$722,"&gt;="&amp;7723621600,Данные!$A$2:$A$722,"&lt;="&amp;7723623399)</f>
        <v>0</v>
      </c>
      <c r="BM120" s="63" t="n">
        <f aca="false">COUNTIFS(Данные!$B$2:$B$722,74,Данные!$C$2:$C$722,1,Данные!$A$2:$A$722,"&gt;="&amp;7725127000,Данные!$A$2:$A$722,"&lt;="&amp;7725127999)</f>
        <v>0</v>
      </c>
      <c r="BN120" s="63" t="n">
        <f aca="false">COUNTIFS(Данные!$B$2:$B$722,74,Данные!$C$2:$C$722,1,Данные!$A$2:$A$722,"&gt;="&amp;7723772000,Данные!$A$2:$A$722,"&lt;="&amp;7723724999)</f>
        <v>0</v>
      </c>
      <c r="BO120" s="62" t="n">
        <f aca="false">COUNTIFS(Данные!$B$2:$B$722,74,Данные!$C$2:$C$722,1,Данные!$A$2:$A$722,"&gt;="&amp;7723765000,Данные!$A$2:$A$722,"&lt;="&amp;7723765499)</f>
        <v>0</v>
      </c>
      <c r="BP120" s="63" t="n">
        <f aca="false">COUNTIFS(Данные!$B$2:$B$722,74,Данные!$C$2:$C$722,1,Данные!$A$2:$A$722,"&gt;="&amp;7723948000,Данные!$A$2:$A$722,"&lt;="&amp;7723948999)</f>
        <v>0</v>
      </c>
      <c r="BQ120" s="63" t="n">
        <f aca="false">COUNTIFS(Данные!$B$2:$B$722,74,Данные!$C$2:$C$722,1,Данные!$A$2:$A$722,"&gt;="&amp;7723950000,Данные!$A$2:$A$722,"&lt;="&amp;7723951099)</f>
        <v>0</v>
      </c>
      <c r="BR120" s="63" t="n">
        <f aca="false">COUNTIFS(Данные!$B$2:$B$722,74,Данные!$C$2:$C$722,1,Данные!$A$2:$A$722,"&gt;="&amp;7723020000,Данные!$A$2:$A$722,"&lt;="&amp;7723020999)</f>
        <v>0</v>
      </c>
      <c r="BS120" s="63" t="n">
        <f aca="false">COUNTIFS(Данные!$B$2:$B$722,74,Данные!$C$2:$C$722,1,Данные!$A$2:$A$722,"&gt;="&amp;7723029000,Данные!$A$2:$A$722,"&lt;="&amp;7723029999)</f>
        <v>0</v>
      </c>
      <c r="BT120" s="63" t="n">
        <f aca="false">COUNTIFS(Данные!$B$2:$B$722,74,Данные!$C$2:$C$722,1,Данные!$A$2:$A$722,"&gt;="&amp;7723055000,Данные!$A$2:$A$722,"&lt;="&amp;7723056549)</f>
        <v>0</v>
      </c>
      <c r="BU120" s="62" t="n">
        <f aca="false">COUNTIFS(Данные!$B$2:$B$722,74,Данные!$C$2:$C$722,1,Данные!$A$2:$A$722,"&gt;="&amp;7725250000,Данные!$A$2:$A$722,"&lt;="&amp;7725250499)</f>
        <v>0</v>
      </c>
      <c r="BV120" s="63" t="n">
        <f aca="false">COUNTIFS(Данные!$B$2:$B$722,74,Данные!$C$2:$C$722,1,Данные!$A$2:$A$722,"&gt;="&amp;7183841400,Данные!$A$2:$A$722,"&lt;="&amp;7183841499)</f>
        <v>0</v>
      </c>
      <c r="BW120" s="40" t="n">
        <v>300</v>
      </c>
      <c r="BX120" s="64" t="n">
        <f aca="false">F120-BW120</f>
        <v>-300</v>
      </c>
    </row>
    <row r="121" s="15" customFormat="true" ht="12" hidden="false" customHeight="true" outlineLevel="0" collapsed="false">
      <c r="A121" s="38"/>
      <c r="B121" s="39"/>
      <c r="C121" s="41" t="n">
        <v>2</v>
      </c>
      <c r="D121" s="41" t="n">
        <v>742</v>
      </c>
      <c r="E121" s="42"/>
      <c r="F121" s="62" t="n">
        <f aca="false">COUNTIFS(Данные!$B$2:$B$722,74,Данные!$C$2:$C$722,2)</f>
        <v>0</v>
      </c>
      <c r="G121" s="62" t="n">
        <f aca="false">COUNTIFS(Данные!$B$2:$B$722,74,Данные!$C$2:$C$722,2,Данные!$A$2:$A$722,"&gt;="&amp;77232210840,Данные!$A$2:$A$722,"&lt;="&amp;77232216999)</f>
        <v>0</v>
      </c>
      <c r="H121" s="62" t="n">
        <f aca="false">COUNTIFS(Данные!$B$2:$B$722,74,Данные!$C$2:$C$722,2,Данные!$A$2:$A$722,"&gt;="&amp;77232510512,Данные!$A$2:$A$722,"&lt;="&amp;77232519487)</f>
        <v>0</v>
      </c>
      <c r="I121" s="62" t="n">
        <f aca="false">COUNTIFS(Данные!$B$2:$B$722,74,Данные!$C$2:$C$722,2,Данные!$A$2:$A$722,"&gt;="&amp;77232524160,Данные!$A$2:$A$722,"&lt;="&amp;77232529999)</f>
        <v>0</v>
      </c>
      <c r="J121" s="62" t="n">
        <f aca="false">COUNTIFS(Данные!$B$2:$B$722,74,Данные!$C$2:$C$722,2,Данные!$A$2:$A$722,"&gt;="&amp;77232544000,Данные!$A$2:$A$722,"&lt;="&amp;77232544999)</f>
        <v>0</v>
      </c>
      <c r="K121" s="62" t="n">
        <f aca="false">COUNTIFS(Данные!$B$2:$B$722,74,Данные!$C$2:$C$722,2,Данные!$A$2:$A$722,"&gt;="&amp;77232295504,Данные!$A$2:$A$722,"&lt;="&amp;77232296999)</f>
        <v>0</v>
      </c>
      <c r="L121" s="62" t="n">
        <f aca="false">COUNTIFS(Данные!$B$2:$B$722,74,Данные!$C$2:$C$722,2,Данные!$A$2:$A$722,"&gt;="&amp;77232785000,Данные!$A$2:$A$722,"&lt;="&amp;77232789999)</f>
        <v>0</v>
      </c>
      <c r="M121" s="62" t="n">
        <f aca="false">COUNTIFS(Данные!$B$2:$B$722,74,Данные!$C$2:$C$722,2,Данные!$A$2:$A$722,"&gt;="&amp;77233150000,Данные!$A$2:$A$722,"&lt;="&amp;77233155999)</f>
        <v>0</v>
      </c>
      <c r="N121" s="62" t="n">
        <f aca="false">COUNTIFS(Данные!$B$2:$B$722,74,Данные!$C$2:$C$722,2,Данные!$A$2:$A$722,"&gt;="&amp;77233235000,Данные!$A$2:$A$722,"&lt;="&amp;77233235999)</f>
        <v>0</v>
      </c>
      <c r="O121" s="62" t="n">
        <f aca="false">COUNTIFS(Данные!$B$2:$B$722,74,Данные!$C$2:$C$722,2,Данные!$A$2:$A$722,"&gt;="&amp;77233239000,Данные!$A$2:$A$722,"&lt;="&amp;77233239999)</f>
        <v>0</v>
      </c>
      <c r="P121" s="62" t="n">
        <f aca="false">COUNTIFS(Данные!$B$2:$B$722,74,Данные!$C$2:$C$722,2,Данные!$A$2:$A$722,"&gt;="&amp;77233272000,Данные!$A$2:$A$722,"&lt;="&amp;77233272999)</f>
        <v>0</v>
      </c>
      <c r="Q121" s="62" t="n">
        <f aca="false">COUNTIFS(Данные!$B$2:$B$722,74,Данные!$C$2:$C$722,2,Данные!$A$2:$A$722,"&gt;="&amp;77233291100,Данные!$A$2:$A$722,"&lt;="&amp;77233292999)</f>
        <v>0</v>
      </c>
      <c r="R121" s="62" t="n">
        <f aca="false">COUNTIFS(Данные!$B$2:$B$722,74,Данные!$C$2:$C$722,2,Данные!$A$2:$A$722,"&gt;="&amp;77233297000,Данные!$A$2:$A$722,"&lt;="&amp;77233298399)</f>
        <v>0</v>
      </c>
      <c r="S121" s="62" t="n">
        <f aca="false">COUNTIFS(Данные!$B$2:$B$722,74,Данные!$C$2:$C$722,2,Данные!$A$2:$A$722,"&gt;="&amp;77235124000,Данные!$A$2:$A$722,"&lt;="&amp;77235128499)</f>
        <v>0</v>
      </c>
      <c r="T121" s="62" t="n">
        <f aca="false">COUNTIFS(Данные!$B$2:$B$722,74,Данные!$C$2:$C$722,2,Данные!$A$2:$A$722,"&gt;="&amp;77235320000,Данные!$A$2:$A$722,"&lt;="&amp;77235320999)</f>
        <v>0</v>
      </c>
      <c r="U121" s="62" t="n">
        <f aca="false">COUNTIFS(Данные!$B$2:$B$722,74,Данные!$C$2:$C$722,2,Данные!$A$2:$A$722,"&gt;="&amp;77233620000,Данные!$A$2:$A$722,"&lt;="&amp;77233623339)</f>
        <v>0</v>
      </c>
      <c r="V121" s="62" t="n">
        <f aca="false">COUNTIFS(Данные!$B$2:$B$722,74,Данные!$C$2:$C$722,2,Данные!$A$2:$A$722,"&gt;="&amp;77233630000,Данные!$A$2:$A$722,"&lt;="&amp;77233630999)</f>
        <v>0</v>
      </c>
      <c r="W121" s="62" t="n">
        <f aca="false">COUNTIFS(Данные!$B$2:$B$722,74,Данные!$C$2:$C$722,2,Данные!$A$2:$A$722,"&gt;="&amp;77233637000,Данные!$A$2:$A$722,"&lt;="&amp;77233637599)</f>
        <v>0</v>
      </c>
      <c r="X121" s="62" t="n">
        <f aca="false">COUNTIFS(Данные!$B$2:$B$722,74,Данные!$C$2:$C$722,2,Данные!$A$2:$A$722,"&gt;="&amp;77233550000,Данные!$A$2:$A$722,"&lt;="&amp;77233550999)</f>
        <v>0</v>
      </c>
      <c r="Y121" s="62" t="n">
        <f aca="false">COUNTIFS(Данные!$B$2:$B$722,74,Данные!$C$2:$C$722,2,Данные!$A$2:$A$722,"&gt;="&amp;77233554000,Данные!$A$2:$A$722,"&lt;="&amp;77233554999)</f>
        <v>0</v>
      </c>
      <c r="Z121" s="62" t="n">
        <f aca="false">COUNTIFS(Данные!$B$2:$B$722,74,Данные!$C$2:$C$722,2,Данные!$A$2:$A$722,"&gt;="&amp;77233555000,Данные!$A$2:$A$722,"&lt;="&amp;77233556999)</f>
        <v>0</v>
      </c>
      <c r="AA121" s="62" t="n">
        <f aca="false">COUNTIFS(Данные!$B$2:$B$722,74,Данные!$C$2:$C$722,2,Данные!$A$2:$A$722,"&gt;="&amp;77233726000,Данные!$A$2:$A$722,"&lt;="&amp;77233726999)</f>
        <v>0</v>
      </c>
      <c r="AB121" s="62" t="n">
        <f aca="false">COUNTIFS(Данные!$B$2:$B$722,74,Данные!$C$2:$C$722,2,Данные!$A$2:$A$722,"&gt;="&amp;77233820000,Данные!$A$2:$A$722,"&lt;="&amp;77233820999)</f>
        <v>0</v>
      </c>
      <c r="AC121" s="62" t="n">
        <f aca="false">COUNTIFS(Данные!$B$2:$B$722,74,Данные!$C$2:$C$722,2,Данные!$A$2:$A$722,"&gt;="&amp;77233850000,Данные!$A$2:$A$722,"&lt;="&amp;77233850999)</f>
        <v>0</v>
      </c>
      <c r="AD121" s="62" t="n">
        <f aca="false">COUNTIFS(Данные!$B$2:$B$722,74,Данные!$C$2:$C$722,2,Данные!$A$2:$A$722,"&gt;="&amp;77233420000,Данные!$A$2:$A$722,"&lt;="&amp;77233420999)</f>
        <v>0</v>
      </c>
      <c r="AE121" s="62" t="n">
        <f aca="false">COUNTIFS(Данные!$B$2:$B$722,74,Данные!$C$2:$C$722,2,Данные!$A$2:$A$722,"&gt;="&amp;77234740000,Данные!$A$2:$A$722,"&lt;="&amp;77234742999)</f>
        <v>0</v>
      </c>
      <c r="AF121" s="62" t="n">
        <f aca="false">COUNTIFS(Данные!$B$2:$B$722,74,Данные!$C$2:$C$722,2,Данные!$A$2:$A$722,"&gt;="&amp;77234767000,Данные!$A$2:$A$722,"&lt;="&amp;77234767999)</f>
        <v>0</v>
      </c>
      <c r="AG121" s="62" t="n">
        <f aca="false">COUNTIFS(Данные!$B$2:$B$722,74,Данные!$C$2:$C$722,2,Данные!$A$2:$A$722,"&gt;="&amp;77234120000,Данные!$A$2:$A$722,"&lt;="&amp;77234120999)</f>
        <v>0</v>
      </c>
      <c r="AH121" s="62" t="n">
        <f aca="false">COUNTIFS(Данные!$B$2:$B$722,74,Данные!$C$2:$C$722,2,Данные!$A$2:$A$722,"&gt;="&amp;77234127000,Данные!$A$2:$A$722,"&lt;="&amp;77234127999)</f>
        <v>0</v>
      </c>
      <c r="AI121" s="62" t="n">
        <f aca="false">COUNTIFS(Данные!$B$2:$B$722,74,Данные!$C$2:$C$722,2,Данные!$A$2:$A$722,"&gt;="&amp;77234220000,Данные!$A$2:$A$722,"&lt;="&amp;77234220999)</f>
        <v>0</v>
      </c>
      <c r="AJ121" s="62" t="n">
        <f aca="false">COUNTIFS(Данные!$B$2:$B$722,74,Данные!$C$2:$C$722,2,Данные!$A$2:$A$722,"&gt;="&amp;77234250000,Данные!$A$2:$A$722,"&lt;="&amp;77234250999)</f>
        <v>0</v>
      </c>
      <c r="AK121" s="62" t="n">
        <f aca="false">COUNTIFS(Данные!$B$2:$B$722,74,Данные!$C$2:$C$722,2,Данные!$A$2:$A$722,"&gt;="&amp;77233922950,Данные!$A$2:$A$722,"&lt;="&amp;77233924999)</f>
        <v>0</v>
      </c>
      <c r="AL121" s="62" t="n">
        <f aca="false">COUNTIFS(Данные!$B$2:$B$722,74,Данные!$C$2:$C$722,2,Данные!$A$2:$A$722,"&gt;="&amp;77234320000,Данные!$A$2:$A$722,"&lt;="&amp;77234320999)</f>
        <v>0</v>
      </c>
      <c r="AM121" s="62" t="n">
        <f aca="false">COUNTIFS(Данные!$B$2:$B$722,74,Данные!$C$2:$C$722,2,Данные!$A$2:$A$722,"&gt;="&amp;77234350000,Данные!$A$2:$A$722,"&lt;="&amp;77234350999)</f>
        <v>0</v>
      </c>
      <c r="AN121" s="62" t="n">
        <f aca="false">COUNTIFS(Данные!$B$2:$B$722,74,Данные!$C$2:$C$722,2,Данные!$A$2:$A$722,"&gt;="&amp;77234020000,Данные!$A$2:$A$722,"&lt;="&amp;77234020999)</f>
        <v>0</v>
      </c>
      <c r="AO121" s="62" t="n">
        <f aca="false">COUNTIFS(Данные!$B$2:$B$722,74,Данные!$C$2:$C$722,2,Данные!$A$2:$A$722,"&gt;="&amp;77234029000,Данные!$A$2:$A$722,"&lt;="&amp;77234029999)</f>
        <v>0</v>
      </c>
      <c r="AP121" s="62" t="n">
        <f aca="false">COUNTIFS(Данные!$B$2:$B$722,74,Данные!$C$2:$C$722,2,Данные!$A$2:$A$722,"&gt;="&amp;77234050000,Данные!$A$2:$A$722,"&lt;="&amp;77234050999)</f>
        <v>0</v>
      </c>
      <c r="AQ121" s="62" t="n">
        <f aca="false">COUNTIFS(Данные!$B$2:$B$722,74,Данные!$C$2:$C$722,2,Данные!$A$2:$A$722,"&gt;="&amp;77234427000,Данные!$A$2:$A$722,"&lt;="&amp;77234428999)</f>
        <v>0</v>
      </c>
      <c r="AR121" s="62" t="n">
        <f aca="false">COUNTIFS(Данные!$B$2:$B$722,74,Данные!$C$2:$C$722,2,Данные!$A$2:$A$722,"&gt;="&amp;77234450000,Данные!$A$2:$A$722,"&lt;="&amp;77234450999)</f>
        <v>0</v>
      </c>
      <c r="AS121" s="62" t="n">
        <f aca="false">COUNTIFS(Данные!$B$2:$B$722,74,Данные!$C$2:$C$722,2,Данные!$A$2:$A$722,"&gt;="&amp;77234620000,Данные!$A$2:$A$722,"&lt;="&amp;77234620999)</f>
        <v>0</v>
      </c>
      <c r="AT121" s="62" t="n">
        <f aca="false">COUNTIFS(Данные!$B$2:$B$722,74,Данные!$C$2:$C$722,2,Данные!$A$2:$A$722,"&gt;="&amp;77234650000,Данные!$A$2:$A$722,"&lt;="&amp;77234650999)</f>
        <v>0</v>
      </c>
      <c r="AU121" s="62" t="n">
        <f aca="false">COUNTIFS(Данные!$B$2:$B$722,74,Данные!$C$2:$C$722,2,Данные!$A$2:$A$722,"&gt;="&amp;77234820000,Данные!$A$2:$A$722,"&lt;="&amp;77234820999)</f>
        <v>0</v>
      </c>
      <c r="AV121" s="62" t="n">
        <f aca="false">COUNTIFS(Данные!$B$2:$B$722,74,Данные!$C$2:$C$722,2,Данные!$A$2:$A$722,"&gt;="&amp;77234850000,Данные!$A$2:$A$722,"&lt;="&amp;77234850999)</f>
        <v>0</v>
      </c>
      <c r="AW121" s="62" t="n">
        <f aca="false">COUNTIFS(Данные!$B$2:$B$722,74,Данные!$C$2:$C$722,2,Данные!$A$2:$A$722,"&gt;="&amp;77233327000,Данные!$A$2:$A$722,"&lt;="&amp;77233327999)</f>
        <v>0</v>
      </c>
      <c r="AX121" s="62" t="n">
        <f aca="false">COUNTIFS(Данные!$B$2:$B$722,74,Данные!$C$2:$C$722,2,Данные!$A$2:$A$722,"&gt;="&amp;77233350000,Данные!$A$2:$A$722,"&lt;="&amp;77233350599)</f>
        <v>0</v>
      </c>
      <c r="AY121" s="62" t="n">
        <f aca="false">COUNTIFS(Данные!$B$2:$B$722,74,Данные!$C$2:$C$722,2,Данные!$A$2:$A$722,"&gt;="&amp;77233351000,Данные!$A$2:$A$722,"&lt;="&amp;77233351999)</f>
        <v>0</v>
      </c>
      <c r="AZ121" s="63" t="n">
        <f aca="false">COUNTIFS(Данные!$B$2:$B$722,74,Данные!$C$2:$C$722,2,Данные!$A$2:$A$722,"&gt;="&amp;7722440000,Данные!$A$2:$A$722,"&lt;="&amp;7722440999)</f>
        <v>0</v>
      </c>
      <c r="BA121" s="63" t="n">
        <f aca="false">COUNTIFS(Данные!$B$2:$B$722,74,Данные!$C$2:$C$722,2,Данные!$A$2:$A$722,"&gt;="&amp;7722442000,Данные!$A$2:$A$722,"&lt;="&amp;7722445659)</f>
        <v>0</v>
      </c>
      <c r="BB121" s="63" t="n">
        <f aca="false">COUNTIFS(Данные!$B$2:$B$722,74,Данные!$C$2:$C$722,2,Данные!$A$2:$A$722,"&gt;="&amp;7722450000,Данные!$A$2:$A$722,"&lt;="&amp;7722450199)</f>
        <v>0</v>
      </c>
      <c r="BC121" s="63" t="n">
        <f aca="false">COUNTIFS(Данные!$B$2:$B$722,74,Данные!$C$2:$C$722,2,Данные!$A$2:$A$722,"&gt;="&amp;7722451000,Данные!$A$2:$A$722,"&lt;="&amp;7722451374)</f>
        <v>0</v>
      </c>
      <c r="BD121" s="63" t="n">
        <f aca="false">COUNTIFS(Данные!$B$2:$B$722,74,Данные!$C$2:$C$722,2,Данные!$A$2:$A$722,"&gt;="&amp;7722452000,Данные!$A$2:$A$722,"&lt;="&amp;7722452299)</f>
        <v>0</v>
      </c>
      <c r="BE121" s="63" t="n">
        <f aca="false">COUNTIFS(Данные!$B$2:$B$722,74,Данные!$C$2:$C$722,2,Данные!$A$2:$A$722,"&gt;="&amp;7722453000,Данные!$A$2:$A$722,"&lt;="&amp;7722453816)</f>
        <v>0</v>
      </c>
      <c r="BF121" s="63" t="n">
        <f aca="false">COUNTIFS(Данные!$B$2:$B$722,74,Данные!$C$2:$C$722,2,Данные!$A$2:$A$722,"&gt;="&amp;7722454000,Данные!$A$2:$A$722,"&lt;="&amp;7722454099)</f>
        <v>0</v>
      </c>
      <c r="BG121" s="63" t="n">
        <f aca="false">COUNTIFS(Данные!$B$2:$B$722,74,Данные!$C$2:$C$722,2,Данные!$A$2:$A$722,"&gt;="&amp;7722458000,Данные!$A$2:$A$722,"&lt;="&amp;7722458999)</f>
        <v>0</v>
      </c>
      <c r="BH121" s="63" t="n">
        <f aca="false">COUNTIFS(Данные!$B$2:$B$722,74,Данные!$C$2:$C$722,2,Данные!$A$2:$A$722,"&gt;="&amp;7722630000,Данные!$A$2:$A$722,"&lt;="&amp;7722638549)</f>
        <v>0</v>
      </c>
      <c r="BI121" s="63" t="n">
        <f aca="false">COUNTIFS(Данные!$B$2:$B$722,74,Данные!$C$2:$C$722,2,Данные!$A$2:$A$722,"&gt;="&amp;7722639400,Данные!$A$2:$A$722,"&lt;="&amp;7722639899)</f>
        <v>0</v>
      </c>
      <c r="BJ121" s="63" t="n">
        <f aca="false">COUNTIFS(Данные!$B$2:$B$722,74,Данные!$C$2:$C$722,2,Данные!$A$2:$A$722,"&gt;="&amp;7725750000,Данные!$A$2:$A$722,"&lt;="&amp;7725750399)</f>
        <v>0</v>
      </c>
      <c r="BK121" s="63" t="n">
        <f aca="false">COUNTIFS(Данные!$B$2:$B$722,74,Данные!$C$2:$C$722,2,Данные!$A$2:$A$722,"&gt;="&amp;7723620000,Данные!$A$2:$A$722,"&lt;="&amp;7723621299)</f>
        <v>0</v>
      </c>
      <c r="BL121" s="63" t="n">
        <f aca="false">COUNTIFS(Данные!$B$2:$B$722,74,Данные!$C$2:$C$722,2,Данные!$A$2:$A$722,"&gt;="&amp;7723621600,Данные!$A$2:$A$722,"&lt;="&amp;7723623399)</f>
        <v>0</v>
      </c>
      <c r="BM121" s="63" t="n">
        <f aca="false">COUNTIFS(Данные!$B$2:$B$722,74,Данные!$C$2:$C$722,2,Данные!$A$2:$A$722,"&gt;="&amp;7725127000,Данные!$A$2:$A$722,"&lt;="&amp;7725127999)</f>
        <v>0</v>
      </c>
      <c r="BN121" s="63" t="n">
        <f aca="false">COUNTIFS(Данные!$B$2:$B$722,74,Данные!$C$2:$C$722,2,Данные!$A$2:$A$722,"&gt;="&amp;7723772000,Данные!$A$2:$A$722,"&lt;="&amp;7723724999)</f>
        <v>0</v>
      </c>
      <c r="BO121" s="62" t="n">
        <f aca="false">COUNTIFS(Данные!$B$2:$B$722,74,Данные!$C$2:$C$722,2,Данные!$A$2:$A$722,"&gt;="&amp;7723765000,Данные!$A$2:$A$722,"&lt;="&amp;7723765499)</f>
        <v>0</v>
      </c>
      <c r="BP121" s="63" t="n">
        <f aca="false">COUNTIFS(Данные!$B$2:$B$722,74,Данные!$C$2:$C$722,2,Данные!$A$2:$A$722,"&gt;="&amp;7723948000,Данные!$A$2:$A$722,"&lt;="&amp;7723948999)</f>
        <v>0</v>
      </c>
      <c r="BQ121" s="63" t="n">
        <f aca="false">COUNTIFS(Данные!$B$2:$B$722,74,Данные!$C$2:$C$722,2,Данные!$A$2:$A$722,"&gt;="&amp;7723950000,Данные!$A$2:$A$722,"&lt;="&amp;7723951099)</f>
        <v>0</v>
      </c>
      <c r="BR121" s="63" t="n">
        <f aca="false">COUNTIFS(Данные!$B$2:$B$722,74,Данные!$C$2:$C$722,2,Данные!$A$2:$A$722,"&gt;="&amp;7723020000,Данные!$A$2:$A$722,"&lt;="&amp;7723020999)</f>
        <v>0</v>
      </c>
      <c r="BS121" s="63" t="n">
        <f aca="false">COUNTIFS(Данные!$B$2:$B$722,74,Данные!$C$2:$C$722,2,Данные!$A$2:$A$722,"&gt;="&amp;7723029000,Данные!$A$2:$A$722,"&lt;="&amp;7723029999)</f>
        <v>0</v>
      </c>
      <c r="BT121" s="63" t="n">
        <f aca="false">COUNTIFS(Данные!$B$2:$B$722,74,Данные!$C$2:$C$722,2,Данные!$A$2:$A$722,"&gt;="&amp;7723055000,Данные!$A$2:$A$722,"&lt;="&amp;7723056549)</f>
        <v>0</v>
      </c>
      <c r="BU121" s="62" t="n">
        <f aca="false">COUNTIFS(Данные!$B$2:$B$722,74,Данные!$C$2:$C$722,2,Данные!$A$2:$A$722,"&gt;="&amp;7725250000,Данные!$A$2:$A$722,"&lt;="&amp;7725250499)</f>
        <v>0</v>
      </c>
      <c r="BV121" s="63" t="n">
        <f aca="false">COUNTIFS(Данные!$B$2:$B$722,74,Данные!$C$2:$C$722,2,Данные!$A$2:$A$722,"&gt;="&amp;7183841400,Данные!$A$2:$A$722,"&lt;="&amp;7183841499)</f>
        <v>0</v>
      </c>
      <c r="BW121" s="40" t="n">
        <v>300</v>
      </c>
      <c r="BX121" s="64" t="n">
        <f aca="false">F121-BW121</f>
        <v>-300</v>
      </c>
    </row>
    <row r="122" s="15" customFormat="true" ht="12" hidden="false" customHeight="true" outlineLevel="0" collapsed="false">
      <c r="A122" s="47" t="n">
        <v>75</v>
      </c>
      <c r="B122" s="48" t="s">
        <v>100</v>
      </c>
      <c r="C122" s="50" t="n">
        <v>0</v>
      </c>
      <c r="D122" s="50" t="n">
        <v>750</v>
      </c>
      <c r="E122" s="51" t="n">
        <f aca="false">SUM(F122:F124)</f>
        <v>13</v>
      </c>
      <c r="F122" s="65" t="n">
        <f aca="false">COUNTIFS(Данные!$B$2:$B$722,75,Данные!$C$2:$C$722,0)</f>
        <v>1</v>
      </c>
      <c r="G122" s="65" t="n">
        <f aca="false">COUNTIFS(Данные!$B$2:$B$722,75,Данные!$C$2:$C$722,0,Данные!$A$2:$A$722,"&gt;="&amp;77232210840,Данные!$A$2:$A$722,"&lt;="&amp;77232216999)</f>
        <v>0</v>
      </c>
      <c r="H122" s="65" t="n">
        <f aca="false">COUNTIFS(Данные!$B$2:$B$722,75,Данные!$C$2:$C$722,0,Данные!$A$2:$A$722,"&gt;="&amp;77232510512,Данные!$A$2:$A$722,"&lt;="&amp;77232519487)</f>
        <v>0</v>
      </c>
      <c r="I122" s="65" t="n">
        <f aca="false">COUNTIFS(Данные!$B$2:$B$722,75,Данные!$C$2:$C$722,0,Данные!$A$2:$A$722,"&gt;="&amp;77232524160,Данные!$A$2:$A$722,"&lt;="&amp;77232529999)</f>
        <v>0</v>
      </c>
      <c r="J122" s="65" t="n">
        <f aca="false">COUNTIFS(Данные!$B$2:$B$722,75,Данные!$C$2:$C$722,0,Данные!$A$2:$A$722,"&gt;="&amp;77232544000,Данные!$A$2:$A$722,"&lt;="&amp;77232544999)</f>
        <v>0</v>
      </c>
      <c r="K122" s="65" t="n">
        <f aca="false">COUNTIFS(Данные!$B$2:$B$722,75,Данные!$C$2:$C$722,0,Данные!$A$2:$A$722,"&gt;="&amp;77232295504,Данные!$A$2:$A$722,"&lt;="&amp;77232296999)</f>
        <v>0</v>
      </c>
      <c r="L122" s="65" t="n">
        <f aca="false">COUNTIFS(Данные!$B$2:$B$722,75,Данные!$C$2:$C$722,0,Данные!$A$2:$A$722,"&gt;="&amp;77232785000,Данные!$A$2:$A$722,"&lt;="&amp;77232789999)</f>
        <v>0</v>
      </c>
      <c r="M122" s="65" t="n">
        <f aca="false">COUNTIFS(Данные!$B$2:$B$722,75,Данные!$C$2:$C$722,0,Данные!$A$2:$A$722,"&gt;="&amp;77233150000,Данные!$A$2:$A$722,"&lt;="&amp;77233155999)</f>
        <v>0</v>
      </c>
      <c r="N122" s="65" t="n">
        <f aca="false">COUNTIFS(Данные!$B$2:$B$722,75,Данные!$C$2:$C$722,0,Данные!$A$2:$A$722,"&gt;="&amp;77233235000,Данные!$A$2:$A$722,"&lt;="&amp;77233235999)</f>
        <v>0</v>
      </c>
      <c r="O122" s="65" t="n">
        <f aca="false">COUNTIFS(Данные!$B$2:$B$722,75,Данные!$C$2:$C$722,0,Данные!$A$2:$A$722,"&gt;="&amp;77233239000,Данные!$A$2:$A$722,"&lt;="&amp;77233239999)</f>
        <v>0</v>
      </c>
      <c r="P122" s="65" t="n">
        <f aca="false">COUNTIFS(Данные!$B$2:$B$722,75,Данные!$C$2:$C$722,0,Данные!$A$2:$A$722,"&gt;="&amp;77233272000,Данные!$A$2:$A$722,"&lt;="&amp;77233272999)</f>
        <v>0</v>
      </c>
      <c r="Q122" s="65" t="n">
        <f aca="false">COUNTIFS(Данные!$B$2:$B$722,75,Данные!$C$2:$C$722,0,Данные!$A$2:$A$722,"&gt;="&amp;77233291100,Данные!$A$2:$A$722,"&lt;="&amp;77233292999)</f>
        <v>0</v>
      </c>
      <c r="R122" s="65" t="n">
        <f aca="false">COUNTIFS(Данные!$B$2:$B$722,75,Данные!$C$2:$C$722,0,Данные!$A$2:$A$722,"&gt;="&amp;77233297000,Данные!$A$2:$A$722,"&lt;="&amp;77233298399)</f>
        <v>0</v>
      </c>
      <c r="S122" s="65" t="n">
        <f aca="false">COUNTIFS(Данные!$B$2:$B$722,75,Данные!$C$2:$C$722,0,Данные!$A$2:$A$722,"&gt;="&amp;77235124000,Данные!$A$2:$A$722,"&lt;="&amp;77235128499)</f>
        <v>0</v>
      </c>
      <c r="T122" s="65" t="n">
        <f aca="false">COUNTIFS(Данные!$B$2:$B$722,75,Данные!$C$2:$C$722,0,Данные!$A$2:$A$722,"&gt;="&amp;77235320000,Данные!$A$2:$A$722,"&lt;="&amp;77235320999)</f>
        <v>0</v>
      </c>
      <c r="U122" s="65" t="n">
        <f aca="false">COUNTIFS(Данные!$B$2:$B$722,75,Данные!$C$2:$C$722,0,Данные!$A$2:$A$722,"&gt;="&amp;77233620000,Данные!$A$2:$A$722,"&lt;="&amp;77233623339)</f>
        <v>0</v>
      </c>
      <c r="V122" s="65" t="n">
        <f aca="false">COUNTIFS(Данные!$B$2:$B$722,75,Данные!$C$2:$C$722,0,Данные!$A$2:$A$722,"&gt;="&amp;77233630000,Данные!$A$2:$A$722,"&lt;="&amp;77233630999)</f>
        <v>0</v>
      </c>
      <c r="W122" s="65" t="n">
        <f aca="false">COUNTIFS(Данные!$B$2:$B$722,75,Данные!$C$2:$C$722,0,Данные!$A$2:$A$722,"&gt;="&amp;77233637000,Данные!$A$2:$A$722,"&lt;="&amp;77233637599)</f>
        <v>0</v>
      </c>
      <c r="X122" s="65" t="n">
        <f aca="false">COUNTIFS(Данные!$B$2:$B$722,75,Данные!$C$2:$C$722,0,Данные!$A$2:$A$722,"&gt;="&amp;77233550000,Данные!$A$2:$A$722,"&lt;="&amp;77233550999)</f>
        <v>0</v>
      </c>
      <c r="Y122" s="65" t="n">
        <f aca="false">COUNTIFS(Данные!$B$2:$B$722,75,Данные!$C$2:$C$722,0,Данные!$A$2:$A$722,"&gt;="&amp;77233554000,Данные!$A$2:$A$722,"&lt;="&amp;77233554999)</f>
        <v>0</v>
      </c>
      <c r="Z122" s="65" t="n">
        <f aca="false">COUNTIFS(Данные!$B$2:$B$722,75,Данные!$C$2:$C$722,0,Данные!$A$2:$A$722,"&gt;="&amp;77233555000,Данные!$A$2:$A$722,"&lt;="&amp;77233556999)</f>
        <v>0</v>
      </c>
      <c r="AA122" s="65" t="n">
        <f aca="false">COUNTIFS(Данные!$B$2:$B$722,75,Данные!$C$2:$C$722,0,Данные!$A$2:$A$722,"&gt;="&amp;77233726000,Данные!$A$2:$A$722,"&lt;="&amp;77233726999)</f>
        <v>0</v>
      </c>
      <c r="AB122" s="65" t="n">
        <f aca="false">COUNTIFS(Данные!$B$2:$B$722,75,Данные!$C$2:$C$722,0,Данные!$A$2:$A$722,"&gt;="&amp;77233820000,Данные!$A$2:$A$722,"&lt;="&amp;77233820999)</f>
        <v>0</v>
      </c>
      <c r="AC122" s="65" t="n">
        <f aca="false">COUNTIFS(Данные!$B$2:$B$722,75,Данные!$C$2:$C$722,0,Данные!$A$2:$A$722,"&gt;="&amp;77233850000,Данные!$A$2:$A$722,"&lt;="&amp;77233850999)</f>
        <v>0</v>
      </c>
      <c r="AD122" s="65" t="n">
        <f aca="false">COUNTIFS(Данные!$B$2:$B$722,75,Данные!$C$2:$C$722,0,Данные!$A$2:$A$722,"&gt;="&amp;77233420000,Данные!$A$2:$A$722,"&lt;="&amp;77233420999)</f>
        <v>0</v>
      </c>
      <c r="AE122" s="65" t="n">
        <f aca="false">COUNTIFS(Данные!$B$2:$B$722,75,Данные!$C$2:$C$722,0,Данные!$A$2:$A$722,"&gt;="&amp;77234740000,Данные!$A$2:$A$722,"&lt;="&amp;77234742999)</f>
        <v>0</v>
      </c>
      <c r="AF122" s="65" t="n">
        <f aca="false">COUNTIFS(Данные!$B$2:$B$722,75,Данные!$C$2:$C$722,0,Данные!$A$2:$A$722,"&gt;="&amp;77234767000,Данные!$A$2:$A$722,"&lt;="&amp;77234767999)</f>
        <v>0</v>
      </c>
      <c r="AG122" s="65" t="n">
        <f aca="false">COUNTIFS(Данные!$B$2:$B$722,75,Данные!$C$2:$C$722,0,Данные!$A$2:$A$722,"&gt;="&amp;77234120000,Данные!$A$2:$A$722,"&lt;="&amp;77234120999)</f>
        <v>0</v>
      </c>
      <c r="AH122" s="65" t="n">
        <f aca="false">COUNTIFS(Данные!$B$2:$B$722,75,Данные!$C$2:$C$722,0,Данные!$A$2:$A$722,"&gt;="&amp;77234127000,Данные!$A$2:$A$722,"&lt;="&amp;77234127999)</f>
        <v>0</v>
      </c>
      <c r="AI122" s="65" t="n">
        <f aca="false">COUNTIFS(Данные!$B$2:$B$722,75,Данные!$C$2:$C$722,0,Данные!$A$2:$A$722,"&gt;="&amp;77234220000,Данные!$A$2:$A$722,"&lt;="&amp;77234220999)</f>
        <v>0</v>
      </c>
      <c r="AJ122" s="65" t="n">
        <f aca="false">COUNTIFS(Данные!$B$2:$B$722,75,Данные!$C$2:$C$722,0,Данные!$A$2:$A$722,"&gt;="&amp;77234250000,Данные!$A$2:$A$722,"&lt;="&amp;77234250999)</f>
        <v>0</v>
      </c>
      <c r="AK122" s="65" t="n">
        <f aca="false">COUNTIFS(Данные!$B$2:$B$722,75,Данные!$C$2:$C$722,0,Данные!$A$2:$A$722,"&gt;="&amp;77233922950,Данные!$A$2:$A$722,"&lt;="&amp;77233924999)</f>
        <v>0</v>
      </c>
      <c r="AL122" s="65" t="n">
        <f aca="false">COUNTIFS(Данные!$B$2:$B$722,75,Данные!$C$2:$C$722,0,Данные!$A$2:$A$722,"&gt;="&amp;77234320000,Данные!$A$2:$A$722,"&lt;="&amp;77234320999)</f>
        <v>0</v>
      </c>
      <c r="AM122" s="65" t="n">
        <f aca="false">COUNTIFS(Данные!$B$2:$B$722,75,Данные!$C$2:$C$722,0,Данные!$A$2:$A$722,"&gt;="&amp;77234350000,Данные!$A$2:$A$722,"&lt;="&amp;77234350999)</f>
        <v>0</v>
      </c>
      <c r="AN122" s="65" t="n">
        <f aca="false">COUNTIFS(Данные!$B$2:$B$722,75,Данные!$C$2:$C$722,0,Данные!$A$2:$A$722,"&gt;="&amp;77234020000,Данные!$A$2:$A$722,"&lt;="&amp;77234020999)</f>
        <v>0</v>
      </c>
      <c r="AO122" s="65" t="n">
        <f aca="false">COUNTIFS(Данные!$B$2:$B$722,75,Данные!$C$2:$C$722,0,Данные!$A$2:$A$722,"&gt;="&amp;77234029000,Данные!$A$2:$A$722,"&lt;="&amp;77234029999)</f>
        <v>0</v>
      </c>
      <c r="AP122" s="65" t="n">
        <f aca="false">COUNTIFS(Данные!$B$2:$B$722,75,Данные!$C$2:$C$722,0,Данные!$A$2:$A$722,"&gt;="&amp;77234050000,Данные!$A$2:$A$722,"&lt;="&amp;77234050999)</f>
        <v>0</v>
      </c>
      <c r="AQ122" s="65" t="n">
        <f aca="false">COUNTIFS(Данные!$B$2:$B$722,75,Данные!$C$2:$C$722,0,Данные!$A$2:$A$722,"&gt;="&amp;77234427000,Данные!$A$2:$A$722,"&lt;="&amp;77234428999)</f>
        <v>0</v>
      </c>
      <c r="AR122" s="65" t="n">
        <f aca="false">COUNTIFS(Данные!$B$2:$B$722,75,Данные!$C$2:$C$722,0,Данные!$A$2:$A$722,"&gt;="&amp;77234450000,Данные!$A$2:$A$722,"&lt;="&amp;77234450999)</f>
        <v>0</v>
      </c>
      <c r="AS122" s="65" t="n">
        <f aca="false">COUNTIFS(Данные!$B$2:$B$722,75,Данные!$C$2:$C$722,0,Данные!$A$2:$A$722,"&gt;="&amp;77234620000,Данные!$A$2:$A$722,"&lt;="&amp;77234620999)</f>
        <v>0</v>
      </c>
      <c r="AT122" s="65" t="n">
        <f aca="false">COUNTIFS(Данные!$B$2:$B$722,75,Данные!$C$2:$C$722,0,Данные!$A$2:$A$722,"&gt;="&amp;77234650000,Данные!$A$2:$A$722,"&lt;="&amp;77234650999)</f>
        <v>0</v>
      </c>
      <c r="AU122" s="65" t="n">
        <f aca="false">COUNTIFS(Данные!$B$2:$B$722,75,Данные!$C$2:$C$722,0,Данные!$A$2:$A$722,"&gt;="&amp;77234820000,Данные!$A$2:$A$722,"&lt;="&amp;77234820999)</f>
        <v>1</v>
      </c>
      <c r="AV122" s="65" t="n">
        <f aca="false">COUNTIFS(Данные!$B$2:$B$722,75,Данные!$C$2:$C$722,0,Данные!$A$2:$A$722,"&gt;="&amp;77234850000,Данные!$A$2:$A$722,"&lt;="&amp;77234850999)</f>
        <v>0</v>
      </c>
      <c r="AW122" s="65" t="n">
        <f aca="false">COUNTIFS(Данные!$B$2:$B$722,75,Данные!$C$2:$C$722,0,Данные!$A$2:$A$722,"&gt;="&amp;77233327000,Данные!$A$2:$A$722,"&lt;="&amp;77233327999)</f>
        <v>0</v>
      </c>
      <c r="AX122" s="65" t="n">
        <f aca="false">COUNTIFS(Данные!$B$2:$B$722,75,Данные!$C$2:$C$722,0,Данные!$A$2:$A$722,"&gt;="&amp;77233350000,Данные!$A$2:$A$722,"&lt;="&amp;77233350599)</f>
        <v>0</v>
      </c>
      <c r="AY122" s="65" t="n">
        <f aca="false">COUNTIFS(Данные!$B$2:$B$722,75,Данные!$C$2:$C$722,0,Данные!$A$2:$A$722,"&gt;="&amp;77233351000,Данные!$A$2:$A$722,"&lt;="&amp;77233351999)</f>
        <v>0</v>
      </c>
      <c r="AZ122" s="66" t="n">
        <f aca="false">COUNTIFS(Данные!$B$2:$B$722,75,Данные!$C$2:$C$722,0,Данные!$A$2:$A$722,"&gt;="&amp;7722440000,Данные!$A$2:$A$722,"&lt;="&amp;7722440999)</f>
        <v>0</v>
      </c>
      <c r="BA122" s="66" t="n">
        <f aca="false">COUNTIFS(Данные!$B$2:$B$722,75,Данные!$C$2:$C$722,0,Данные!$A$2:$A$722,"&gt;="&amp;7722442000,Данные!$A$2:$A$722,"&lt;="&amp;7722445659)</f>
        <v>0</v>
      </c>
      <c r="BB122" s="66" t="n">
        <f aca="false">COUNTIFS(Данные!$B$2:$B$722,75,Данные!$C$2:$C$722,0,Данные!$A$2:$A$722,"&gt;="&amp;7722450000,Данные!$A$2:$A$722,"&lt;="&amp;7722450199)</f>
        <v>0</v>
      </c>
      <c r="BC122" s="66" t="n">
        <f aca="false">COUNTIFS(Данные!$B$2:$B$722,75,Данные!$C$2:$C$722,0,Данные!$A$2:$A$722,"&gt;="&amp;7722451000,Данные!$A$2:$A$722,"&lt;="&amp;7722451374)</f>
        <v>0</v>
      </c>
      <c r="BD122" s="66" t="n">
        <f aca="false">COUNTIFS(Данные!$B$2:$B$722,75,Данные!$C$2:$C$722,0,Данные!$A$2:$A$722,"&gt;="&amp;7722452000,Данные!$A$2:$A$722,"&lt;="&amp;7722452299)</f>
        <v>0</v>
      </c>
      <c r="BE122" s="66" t="n">
        <f aca="false">COUNTIFS(Данные!$B$2:$B$722,75,Данные!$C$2:$C$722,0,Данные!$A$2:$A$722,"&gt;="&amp;7722453000,Данные!$A$2:$A$722,"&lt;="&amp;7722453816)</f>
        <v>0</v>
      </c>
      <c r="BF122" s="66" t="n">
        <f aca="false">COUNTIFS(Данные!$B$2:$B$722,75,Данные!$C$2:$C$722,0,Данные!$A$2:$A$722,"&gt;="&amp;7722454000,Данные!$A$2:$A$722,"&lt;="&amp;7722454099)</f>
        <v>0</v>
      </c>
      <c r="BG122" s="66" t="n">
        <f aca="false">COUNTIFS(Данные!$B$2:$B$722,75,Данные!$C$2:$C$722,0,Данные!$A$2:$A$722,"&gt;="&amp;7722458000,Данные!$A$2:$A$722,"&lt;="&amp;7722458999)</f>
        <v>0</v>
      </c>
      <c r="BH122" s="66" t="n">
        <f aca="false">COUNTIFS(Данные!$B$2:$B$722,75,Данные!$C$2:$C$722,0,Данные!$A$2:$A$722,"&gt;="&amp;7722630000,Данные!$A$2:$A$722,"&lt;="&amp;7722638549)</f>
        <v>0</v>
      </c>
      <c r="BI122" s="66" t="n">
        <f aca="false">COUNTIFS(Данные!$B$2:$B$722,75,Данные!$C$2:$C$722,0,Данные!$A$2:$A$722,"&gt;="&amp;7722639400,Данные!$A$2:$A$722,"&lt;="&amp;7722639899)</f>
        <v>0</v>
      </c>
      <c r="BJ122" s="66" t="n">
        <f aca="false">COUNTIFS(Данные!$B$2:$B$722,75,Данные!$C$2:$C$722,0,Данные!$A$2:$A$722,"&gt;="&amp;7725750000,Данные!$A$2:$A$722,"&lt;="&amp;7725750399)</f>
        <v>0</v>
      </c>
      <c r="BK122" s="66" t="n">
        <f aca="false">COUNTIFS(Данные!$B$2:$B$722,75,Данные!$C$2:$C$722,0,Данные!$A$2:$A$722,"&gt;="&amp;7723620000,Данные!$A$2:$A$722,"&lt;="&amp;7723621299)</f>
        <v>0</v>
      </c>
      <c r="BL122" s="66" t="n">
        <f aca="false">COUNTIFS(Данные!$B$2:$B$722,75,Данные!$C$2:$C$722,0,Данные!$A$2:$A$722,"&gt;="&amp;7723621600,Данные!$A$2:$A$722,"&lt;="&amp;7723623399)</f>
        <v>0</v>
      </c>
      <c r="BM122" s="66" t="n">
        <f aca="false">COUNTIFS(Данные!$B$2:$B$722,75,Данные!$C$2:$C$722,0,Данные!$A$2:$A$722,"&gt;="&amp;7725127000,Данные!$A$2:$A$722,"&lt;="&amp;7725127999)</f>
        <v>0</v>
      </c>
      <c r="BN122" s="66" t="n">
        <f aca="false">COUNTIFS(Данные!$B$2:$B$722,75,Данные!$C$2:$C$722,0,Данные!$A$2:$A$722,"&gt;="&amp;7723772000,Данные!$A$2:$A$722,"&lt;="&amp;7723724999)</f>
        <v>0</v>
      </c>
      <c r="BO122" s="65" t="n">
        <f aca="false">COUNTIFS(Данные!$B$2:$B$722,75,Данные!$C$2:$C$722,0,Данные!$A$2:$A$722,"&gt;="&amp;7723765000,Данные!$A$2:$A$722,"&lt;="&amp;7723765499)</f>
        <v>0</v>
      </c>
      <c r="BP122" s="66" t="n">
        <f aca="false">COUNTIFS(Данные!$B$2:$B$722,75,Данные!$C$2:$C$722,0,Данные!$A$2:$A$722,"&gt;="&amp;7723948000,Данные!$A$2:$A$722,"&lt;="&amp;7723948999)</f>
        <v>0</v>
      </c>
      <c r="BQ122" s="66" t="n">
        <f aca="false">COUNTIFS(Данные!$B$2:$B$722,75,Данные!$C$2:$C$722,0,Данные!$A$2:$A$722,"&gt;="&amp;7723950000,Данные!$A$2:$A$722,"&lt;="&amp;7723951099)</f>
        <v>0</v>
      </c>
      <c r="BR122" s="66" t="n">
        <f aca="false">COUNTIFS(Данные!$B$2:$B$722,75,Данные!$C$2:$C$722,0,Данные!$A$2:$A$722,"&gt;="&amp;7723020000,Данные!$A$2:$A$722,"&lt;="&amp;7723020999)</f>
        <v>0</v>
      </c>
      <c r="BS122" s="66" t="n">
        <f aca="false">COUNTIFS(Данные!$B$2:$B$722,75,Данные!$C$2:$C$722,0,Данные!$A$2:$A$722,"&gt;="&amp;7723029000,Данные!$A$2:$A$722,"&lt;="&amp;7723029999)</f>
        <v>0</v>
      </c>
      <c r="BT122" s="66" t="n">
        <f aca="false">COUNTIFS(Данные!$B$2:$B$722,75,Данные!$C$2:$C$722,0,Данные!$A$2:$A$722,"&gt;="&amp;7723055000,Данные!$A$2:$A$722,"&lt;="&amp;7723056549)</f>
        <v>0</v>
      </c>
      <c r="BU122" s="65" t="n">
        <f aca="false">COUNTIFS(Данные!$B$2:$B$722,75,Данные!$C$2:$C$722,0,Данные!$A$2:$A$722,"&gt;="&amp;7725250000,Данные!$A$2:$A$722,"&lt;="&amp;7725250499)</f>
        <v>0</v>
      </c>
      <c r="BV122" s="66" t="n">
        <f aca="false">COUNTIFS(Данные!$B$2:$B$722,75,Данные!$C$2:$C$722,0,Данные!$A$2:$A$722,"&gt;="&amp;7183841400,Данные!$A$2:$A$722,"&lt;="&amp;7183841499)</f>
        <v>0</v>
      </c>
      <c r="BW122" s="49" t="n">
        <v>300</v>
      </c>
      <c r="BX122" s="67" t="n">
        <f aca="false">F122-BW122</f>
        <v>-299</v>
      </c>
    </row>
    <row r="123" s="15" customFormat="true" ht="12" hidden="false" customHeight="true" outlineLevel="0" collapsed="false">
      <c r="A123" s="47"/>
      <c r="B123" s="48"/>
      <c r="C123" s="50" t="n">
        <v>1</v>
      </c>
      <c r="D123" s="50" t="n">
        <v>751</v>
      </c>
      <c r="E123" s="51"/>
      <c r="F123" s="65" t="n">
        <f aca="false">COUNTIFS(Данные!$B$2:$B$722,75,Данные!$C$2:$C$722,1)</f>
        <v>3</v>
      </c>
      <c r="G123" s="65" t="n">
        <f aca="false">COUNTIFS(Данные!$B$2:$B$722,75,Данные!$C$2:$C$722,1,Данные!$A$2:$A$722,"&gt;="&amp;77232210840,Данные!$A$2:$A$722,"&lt;="&amp;77232216999)</f>
        <v>0</v>
      </c>
      <c r="H123" s="65" t="n">
        <f aca="false">COUNTIFS(Данные!$B$2:$B$722,75,Данные!$C$2:$C$722,1,Данные!$A$2:$A$722,"&gt;="&amp;77232510512,Данные!$A$2:$A$722,"&lt;="&amp;77232519487)</f>
        <v>0</v>
      </c>
      <c r="I123" s="65" t="n">
        <f aca="false">COUNTIFS(Данные!$B$2:$B$722,75,Данные!$C$2:$C$722,1,Данные!$A$2:$A$722,"&gt;="&amp;77232524160,Данные!$A$2:$A$722,"&lt;="&amp;77232529999)</f>
        <v>0</v>
      </c>
      <c r="J123" s="65" t="n">
        <f aca="false">COUNTIFS(Данные!$B$2:$B$722,75,Данные!$C$2:$C$722,1,Данные!$A$2:$A$722,"&gt;="&amp;77232544000,Данные!$A$2:$A$722,"&lt;="&amp;77232544999)</f>
        <v>0</v>
      </c>
      <c r="K123" s="65" t="n">
        <f aca="false">COUNTIFS(Данные!$B$2:$B$722,75,Данные!$C$2:$C$722,1,Данные!$A$2:$A$722,"&gt;="&amp;77232295504,Данные!$A$2:$A$722,"&lt;="&amp;77232296999)</f>
        <v>0</v>
      </c>
      <c r="L123" s="65" t="n">
        <f aca="false">COUNTIFS(Данные!$B$2:$B$722,75,Данные!$C$2:$C$722,1,Данные!$A$2:$A$722,"&gt;="&amp;77232785000,Данные!$A$2:$A$722,"&lt;="&amp;77232789999)</f>
        <v>0</v>
      </c>
      <c r="M123" s="65" t="n">
        <f aca="false">COUNTIFS(Данные!$B$2:$B$722,75,Данные!$C$2:$C$722,1,Данные!$A$2:$A$722,"&gt;="&amp;77233150000,Данные!$A$2:$A$722,"&lt;="&amp;77233155999)</f>
        <v>0</v>
      </c>
      <c r="N123" s="65" t="n">
        <f aca="false">COUNTIFS(Данные!$B$2:$B$722,75,Данные!$C$2:$C$722,1,Данные!$A$2:$A$722,"&gt;="&amp;77233235000,Данные!$A$2:$A$722,"&lt;="&amp;77233235999)</f>
        <v>0</v>
      </c>
      <c r="O123" s="65" t="n">
        <f aca="false">COUNTIFS(Данные!$B$2:$B$722,75,Данные!$C$2:$C$722,1,Данные!$A$2:$A$722,"&gt;="&amp;77233239000,Данные!$A$2:$A$722,"&lt;="&amp;77233239999)</f>
        <v>0</v>
      </c>
      <c r="P123" s="65" t="n">
        <f aca="false">COUNTIFS(Данные!$B$2:$B$722,75,Данные!$C$2:$C$722,1,Данные!$A$2:$A$722,"&gt;="&amp;77233272000,Данные!$A$2:$A$722,"&lt;="&amp;77233272999)</f>
        <v>0</v>
      </c>
      <c r="Q123" s="65" t="n">
        <f aca="false">COUNTIFS(Данные!$B$2:$B$722,75,Данные!$C$2:$C$722,1,Данные!$A$2:$A$722,"&gt;="&amp;77233291100,Данные!$A$2:$A$722,"&lt;="&amp;77233292999)</f>
        <v>0</v>
      </c>
      <c r="R123" s="65" t="n">
        <f aca="false">COUNTIFS(Данные!$B$2:$B$722,75,Данные!$C$2:$C$722,1,Данные!$A$2:$A$722,"&gt;="&amp;77233297000,Данные!$A$2:$A$722,"&lt;="&amp;77233298399)</f>
        <v>0</v>
      </c>
      <c r="S123" s="65" t="n">
        <f aca="false">COUNTIFS(Данные!$B$2:$B$722,75,Данные!$C$2:$C$722,1,Данные!$A$2:$A$722,"&gt;="&amp;77235124000,Данные!$A$2:$A$722,"&lt;="&amp;77235128499)</f>
        <v>0</v>
      </c>
      <c r="T123" s="65" t="n">
        <f aca="false">COUNTIFS(Данные!$B$2:$B$722,75,Данные!$C$2:$C$722,1,Данные!$A$2:$A$722,"&gt;="&amp;77235320000,Данные!$A$2:$A$722,"&lt;="&amp;77235320999)</f>
        <v>0</v>
      </c>
      <c r="U123" s="65" t="n">
        <f aca="false">COUNTIFS(Данные!$B$2:$B$722,75,Данные!$C$2:$C$722,1,Данные!$A$2:$A$722,"&gt;="&amp;77233620000,Данные!$A$2:$A$722,"&lt;="&amp;77233623339)</f>
        <v>0</v>
      </c>
      <c r="V123" s="65" t="n">
        <f aca="false">COUNTIFS(Данные!$B$2:$B$722,75,Данные!$C$2:$C$722,1,Данные!$A$2:$A$722,"&gt;="&amp;77233630000,Данные!$A$2:$A$722,"&lt;="&amp;77233630999)</f>
        <v>0</v>
      </c>
      <c r="W123" s="65" t="n">
        <f aca="false">COUNTIFS(Данные!$B$2:$B$722,75,Данные!$C$2:$C$722,1,Данные!$A$2:$A$722,"&gt;="&amp;77233637000,Данные!$A$2:$A$722,"&lt;="&amp;77233637599)</f>
        <v>0</v>
      </c>
      <c r="X123" s="65" t="n">
        <f aca="false">COUNTIFS(Данные!$B$2:$B$722,75,Данные!$C$2:$C$722,1,Данные!$A$2:$A$722,"&gt;="&amp;77233550000,Данные!$A$2:$A$722,"&lt;="&amp;77233550999)</f>
        <v>0</v>
      </c>
      <c r="Y123" s="65" t="n">
        <f aca="false">COUNTIFS(Данные!$B$2:$B$722,75,Данные!$C$2:$C$722,1,Данные!$A$2:$A$722,"&gt;="&amp;77233554000,Данные!$A$2:$A$722,"&lt;="&amp;77233554999)</f>
        <v>0</v>
      </c>
      <c r="Z123" s="65" t="n">
        <f aca="false">COUNTIFS(Данные!$B$2:$B$722,75,Данные!$C$2:$C$722,1,Данные!$A$2:$A$722,"&gt;="&amp;77233555000,Данные!$A$2:$A$722,"&lt;="&amp;77233556999)</f>
        <v>0</v>
      </c>
      <c r="AA123" s="65" t="n">
        <f aca="false">COUNTIFS(Данные!$B$2:$B$722,75,Данные!$C$2:$C$722,1,Данные!$A$2:$A$722,"&gt;="&amp;77233726000,Данные!$A$2:$A$722,"&lt;="&amp;77233726999)</f>
        <v>0</v>
      </c>
      <c r="AB123" s="65" t="n">
        <f aca="false">COUNTIFS(Данные!$B$2:$B$722,75,Данные!$C$2:$C$722,1,Данные!$A$2:$A$722,"&gt;="&amp;77233820000,Данные!$A$2:$A$722,"&lt;="&amp;77233820999)</f>
        <v>0</v>
      </c>
      <c r="AC123" s="65" t="n">
        <f aca="false">COUNTIFS(Данные!$B$2:$B$722,75,Данные!$C$2:$C$722,1,Данные!$A$2:$A$722,"&gt;="&amp;77233850000,Данные!$A$2:$A$722,"&lt;="&amp;77233850999)</f>
        <v>0</v>
      </c>
      <c r="AD123" s="65" t="n">
        <f aca="false">COUNTIFS(Данные!$B$2:$B$722,75,Данные!$C$2:$C$722,1,Данные!$A$2:$A$722,"&gt;="&amp;77233420000,Данные!$A$2:$A$722,"&lt;="&amp;77233420999)</f>
        <v>0</v>
      </c>
      <c r="AE123" s="65" t="n">
        <f aca="false">COUNTIFS(Данные!$B$2:$B$722,75,Данные!$C$2:$C$722,1,Данные!$A$2:$A$722,"&gt;="&amp;77234740000,Данные!$A$2:$A$722,"&lt;="&amp;77234742999)</f>
        <v>0</v>
      </c>
      <c r="AF123" s="65" t="n">
        <f aca="false">COUNTIFS(Данные!$B$2:$B$722,75,Данные!$C$2:$C$722,1,Данные!$A$2:$A$722,"&gt;="&amp;77234767000,Данные!$A$2:$A$722,"&lt;="&amp;77234767999)</f>
        <v>0</v>
      </c>
      <c r="AG123" s="65" t="n">
        <f aca="false">COUNTIFS(Данные!$B$2:$B$722,75,Данные!$C$2:$C$722,1,Данные!$A$2:$A$722,"&gt;="&amp;77234120000,Данные!$A$2:$A$722,"&lt;="&amp;77234120999)</f>
        <v>0</v>
      </c>
      <c r="AH123" s="65" t="n">
        <f aca="false">COUNTIFS(Данные!$B$2:$B$722,75,Данные!$C$2:$C$722,1,Данные!$A$2:$A$722,"&gt;="&amp;77234127000,Данные!$A$2:$A$722,"&lt;="&amp;77234127999)</f>
        <v>0</v>
      </c>
      <c r="AI123" s="65" t="n">
        <f aca="false">COUNTIFS(Данные!$B$2:$B$722,75,Данные!$C$2:$C$722,1,Данные!$A$2:$A$722,"&gt;="&amp;77234220000,Данные!$A$2:$A$722,"&lt;="&amp;77234220999)</f>
        <v>0</v>
      </c>
      <c r="AJ123" s="65" t="n">
        <f aca="false">COUNTIFS(Данные!$B$2:$B$722,75,Данные!$C$2:$C$722,1,Данные!$A$2:$A$722,"&gt;="&amp;77234250000,Данные!$A$2:$A$722,"&lt;="&amp;77234250999)</f>
        <v>0</v>
      </c>
      <c r="AK123" s="65" t="n">
        <f aca="false">COUNTIFS(Данные!$B$2:$B$722,75,Данные!$C$2:$C$722,1,Данные!$A$2:$A$722,"&gt;="&amp;77233922950,Данные!$A$2:$A$722,"&lt;="&amp;77233924999)</f>
        <v>0</v>
      </c>
      <c r="AL123" s="65" t="n">
        <f aca="false">COUNTIFS(Данные!$B$2:$B$722,75,Данные!$C$2:$C$722,1,Данные!$A$2:$A$722,"&gt;="&amp;77234320000,Данные!$A$2:$A$722,"&lt;="&amp;77234320999)</f>
        <v>0</v>
      </c>
      <c r="AM123" s="65" t="n">
        <f aca="false">COUNTIFS(Данные!$B$2:$B$722,75,Данные!$C$2:$C$722,1,Данные!$A$2:$A$722,"&gt;="&amp;77234350000,Данные!$A$2:$A$722,"&lt;="&amp;77234350999)</f>
        <v>0</v>
      </c>
      <c r="AN123" s="65" t="n">
        <f aca="false">COUNTIFS(Данные!$B$2:$B$722,75,Данные!$C$2:$C$722,1,Данные!$A$2:$A$722,"&gt;="&amp;77234020000,Данные!$A$2:$A$722,"&lt;="&amp;77234020999)</f>
        <v>0</v>
      </c>
      <c r="AO123" s="65" t="n">
        <f aca="false">COUNTIFS(Данные!$B$2:$B$722,75,Данные!$C$2:$C$722,1,Данные!$A$2:$A$722,"&gt;="&amp;77234029000,Данные!$A$2:$A$722,"&lt;="&amp;77234029999)</f>
        <v>0</v>
      </c>
      <c r="AP123" s="65" t="n">
        <f aca="false">COUNTIFS(Данные!$B$2:$B$722,75,Данные!$C$2:$C$722,1,Данные!$A$2:$A$722,"&gt;="&amp;77234050000,Данные!$A$2:$A$722,"&lt;="&amp;77234050999)</f>
        <v>0</v>
      </c>
      <c r="AQ123" s="65" t="n">
        <f aca="false">COUNTIFS(Данные!$B$2:$B$722,75,Данные!$C$2:$C$722,1,Данные!$A$2:$A$722,"&gt;="&amp;77234427000,Данные!$A$2:$A$722,"&lt;="&amp;77234428999)</f>
        <v>0</v>
      </c>
      <c r="AR123" s="65" t="n">
        <f aca="false">COUNTIFS(Данные!$B$2:$B$722,75,Данные!$C$2:$C$722,1,Данные!$A$2:$A$722,"&gt;="&amp;77234450000,Данные!$A$2:$A$722,"&lt;="&amp;77234450999)</f>
        <v>0</v>
      </c>
      <c r="AS123" s="65" t="n">
        <f aca="false">COUNTIFS(Данные!$B$2:$B$722,75,Данные!$C$2:$C$722,1,Данные!$A$2:$A$722,"&gt;="&amp;77234620000,Данные!$A$2:$A$722,"&lt;="&amp;77234620999)</f>
        <v>0</v>
      </c>
      <c r="AT123" s="65" t="n">
        <f aca="false">COUNTIFS(Данные!$B$2:$B$722,75,Данные!$C$2:$C$722,1,Данные!$A$2:$A$722,"&gt;="&amp;77234650000,Данные!$A$2:$A$722,"&lt;="&amp;77234650999)</f>
        <v>0</v>
      </c>
      <c r="AU123" s="65" t="n">
        <f aca="false">COUNTIFS(Данные!$B$2:$B$722,75,Данные!$C$2:$C$722,1,Данные!$A$2:$A$722,"&gt;="&amp;77234820000,Данные!$A$2:$A$722,"&lt;="&amp;77234820999)</f>
        <v>3</v>
      </c>
      <c r="AV123" s="65" t="n">
        <f aca="false">COUNTIFS(Данные!$B$2:$B$722,75,Данные!$C$2:$C$722,1,Данные!$A$2:$A$722,"&gt;="&amp;77234850000,Данные!$A$2:$A$722,"&lt;="&amp;77234850999)</f>
        <v>0</v>
      </c>
      <c r="AW123" s="65" t="n">
        <f aca="false">COUNTIFS(Данные!$B$2:$B$722,75,Данные!$C$2:$C$722,1,Данные!$A$2:$A$722,"&gt;="&amp;77233327000,Данные!$A$2:$A$722,"&lt;="&amp;77233327999)</f>
        <v>0</v>
      </c>
      <c r="AX123" s="65" t="n">
        <f aca="false">COUNTIFS(Данные!$B$2:$B$722,75,Данные!$C$2:$C$722,1,Данные!$A$2:$A$722,"&gt;="&amp;77233350000,Данные!$A$2:$A$722,"&lt;="&amp;77233350599)</f>
        <v>0</v>
      </c>
      <c r="AY123" s="65" t="n">
        <f aca="false">COUNTIFS(Данные!$B$2:$B$722,75,Данные!$C$2:$C$722,1,Данные!$A$2:$A$722,"&gt;="&amp;77233351000,Данные!$A$2:$A$722,"&lt;="&amp;77233351999)</f>
        <v>0</v>
      </c>
      <c r="AZ123" s="66" t="n">
        <f aca="false">COUNTIFS(Данные!$B$2:$B$722,75,Данные!$C$2:$C$722,1,Данные!$A$2:$A$722,"&gt;="&amp;7722440000,Данные!$A$2:$A$722,"&lt;="&amp;7722440999)</f>
        <v>0</v>
      </c>
      <c r="BA123" s="66" t="n">
        <f aca="false">COUNTIFS(Данные!$B$2:$B$722,75,Данные!$C$2:$C$722,1,Данные!$A$2:$A$722,"&gt;="&amp;7722442000,Данные!$A$2:$A$722,"&lt;="&amp;7722445659)</f>
        <v>0</v>
      </c>
      <c r="BB123" s="66" t="n">
        <f aca="false">COUNTIFS(Данные!$B$2:$B$722,75,Данные!$C$2:$C$722,1,Данные!$A$2:$A$722,"&gt;="&amp;7722450000,Данные!$A$2:$A$722,"&lt;="&amp;7722450199)</f>
        <v>0</v>
      </c>
      <c r="BC123" s="66" t="n">
        <f aca="false">COUNTIFS(Данные!$B$2:$B$722,75,Данные!$C$2:$C$722,1,Данные!$A$2:$A$722,"&gt;="&amp;7722451000,Данные!$A$2:$A$722,"&lt;="&amp;7722451374)</f>
        <v>0</v>
      </c>
      <c r="BD123" s="66" t="n">
        <f aca="false">COUNTIFS(Данные!$B$2:$B$722,75,Данные!$C$2:$C$722,1,Данные!$A$2:$A$722,"&gt;="&amp;7722452000,Данные!$A$2:$A$722,"&lt;="&amp;7722452299)</f>
        <v>0</v>
      </c>
      <c r="BE123" s="66" t="n">
        <f aca="false">COUNTIFS(Данные!$B$2:$B$722,75,Данные!$C$2:$C$722,1,Данные!$A$2:$A$722,"&gt;="&amp;7722453000,Данные!$A$2:$A$722,"&lt;="&amp;7722453816)</f>
        <v>0</v>
      </c>
      <c r="BF123" s="66" t="n">
        <f aca="false">COUNTIFS(Данные!$B$2:$B$722,75,Данные!$C$2:$C$722,1,Данные!$A$2:$A$722,"&gt;="&amp;7722454000,Данные!$A$2:$A$722,"&lt;="&amp;7722454099)</f>
        <v>0</v>
      </c>
      <c r="BG123" s="66" t="n">
        <f aca="false">COUNTIFS(Данные!$B$2:$B$722,75,Данные!$C$2:$C$722,1,Данные!$A$2:$A$722,"&gt;="&amp;7722458000,Данные!$A$2:$A$722,"&lt;="&amp;7722458999)</f>
        <v>0</v>
      </c>
      <c r="BH123" s="66" t="n">
        <f aca="false">COUNTIFS(Данные!$B$2:$B$722,75,Данные!$C$2:$C$722,1,Данные!$A$2:$A$722,"&gt;="&amp;7722630000,Данные!$A$2:$A$722,"&lt;="&amp;7722638549)</f>
        <v>0</v>
      </c>
      <c r="BI123" s="66" t="n">
        <f aca="false">COUNTIFS(Данные!$B$2:$B$722,75,Данные!$C$2:$C$722,1,Данные!$A$2:$A$722,"&gt;="&amp;7722639400,Данные!$A$2:$A$722,"&lt;="&amp;7722639899)</f>
        <v>0</v>
      </c>
      <c r="BJ123" s="66" t="n">
        <f aca="false">COUNTIFS(Данные!$B$2:$B$722,75,Данные!$C$2:$C$722,1,Данные!$A$2:$A$722,"&gt;="&amp;7725750000,Данные!$A$2:$A$722,"&lt;="&amp;7725750399)</f>
        <v>0</v>
      </c>
      <c r="BK123" s="66" t="n">
        <f aca="false">COUNTIFS(Данные!$B$2:$B$722,75,Данные!$C$2:$C$722,1,Данные!$A$2:$A$722,"&gt;="&amp;7723620000,Данные!$A$2:$A$722,"&lt;="&amp;7723621299)</f>
        <v>0</v>
      </c>
      <c r="BL123" s="66" t="n">
        <f aca="false">COUNTIFS(Данные!$B$2:$B$722,75,Данные!$C$2:$C$722,1,Данные!$A$2:$A$722,"&gt;="&amp;7723621600,Данные!$A$2:$A$722,"&lt;="&amp;7723623399)</f>
        <v>0</v>
      </c>
      <c r="BM123" s="66" t="n">
        <f aca="false">COUNTIFS(Данные!$B$2:$B$722,75,Данные!$C$2:$C$722,1,Данные!$A$2:$A$722,"&gt;="&amp;7725127000,Данные!$A$2:$A$722,"&lt;="&amp;7725127999)</f>
        <v>0</v>
      </c>
      <c r="BN123" s="66" t="n">
        <f aca="false">COUNTIFS(Данные!$B$2:$B$722,75,Данные!$C$2:$C$722,1,Данные!$A$2:$A$722,"&gt;="&amp;7723772000,Данные!$A$2:$A$722,"&lt;="&amp;7723724999)</f>
        <v>0</v>
      </c>
      <c r="BO123" s="65" t="n">
        <f aca="false">COUNTIFS(Данные!$B$2:$B$722,75,Данные!$C$2:$C$722,1,Данные!$A$2:$A$722,"&gt;="&amp;7723765000,Данные!$A$2:$A$722,"&lt;="&amp;7723765499)</f>
        <v>0</v>
      </c>
      <c r="BP123" s="66" t="n">
        <f aca="false">COUNTIFS(Данные!$B$2:$B$722,75,Данные!$C$2:$C$722,1,Данные!$A$2:$A$722,"&gt;="&amp;7723948000,Данные!$A$2:$A$722,"&lt;="&amp;7723948999)</f>
        <v>0</v>
      </c>
      <c r="BQ123" s="66" t="n">
        <f aca="false">COUNTIFS(Данные!$B$2:$B$722,75,Данные!$C$2:$C$722,1,Данные!$A$2:$A$722,"&gt;="&amp;7723950000,Данные!$A$2:$A$722,"&lt;="&amp;7723951099)</f>
        <v>0</v>
      </c>
      <c r="BR123" s="66" t="n">
        <f aca="false">COUNTIFS(Данные!$B$2:$B$722,75,Данные!$C$2:$C$722,1,Данные!$A$2:$A$722,"&gt;="&amp;7723020000,Данные!$A$2:$A$722,"&lt;="&amp;7723020999)</f>
        <v>0</v>
      </c>
      <c r="BS123" s="66" t="n">
        <f aca="false">COUNTIFS(Данные!$B$2:$B$722,75,Данные!$C$2:$C$722,1,Данные!$A$2:$A$722,"&gt;="&amp;7723029000,Данные!$A$2:$A$722,"&lt;="&amp;7723029999)</f>
        <v>0</v>
      </c>
      <c r="BT123" s="66" t="n">
        <f aca="false">COUNTIFS(Данные!$B$2:$B$722,75,Данные!$C$2:$C$722,1,Данные!$A$2:$A$722,"&gt;="&amp;7723055000,Данные!$A$2:$A$722,"&lt;="&amp;7723056549)</f>
        <v>0</v>
      </c>
      <c r="BU123" s="65" t="n">
        <f aca="false">COUNTIFS(Данные!$B$2:$B$722,75,Данные!$C$2:$C$722,1,Данные!$A$2:$A$722,"&gt;="&amp;7725250000,Данные!$A$2:$A$722,"&lt;="&amp;7725250499)</f>
        <v>0</v>
      </c>
      <c r="BV123" s="66" t="n">
        <f aca="false">COUNTIFS(Данные!$B$2:$B$722,75,Данные!$C$2:$C$722,1,Данные!$A$2:$A$722,"&gt;="&amp;7183841400,Данные!$A$2:$A$722,"&lt;="&amp;7183841499)</f>
        <v>0</v>
      </c>
      <c r="BW123" s="49" t="n">
        <v>300</v>
      </c>
      <c r="BX123" s="67" t="n">
        <f aca="false">F123-BW123</f>
        <v>-297</v>
      </c>
    </row>
    <row r="124" s="15" customFormat="true" ht="12" hidden="false" customHeight="true" outlineLevel="0" collapsed="false">
      <c r="A124" s="47"/>
      <c r="B124" s="48"/>
      <c r="C124" s="50" t="n">
        <v>2</v>
      </c>
      <c r="D124" s="50" t="n">
        <v>752</v>
      </c>
      <c r="E124" s="51"/>
      <c r="F124" s="65" t="n">
        <f aca="false">COUNTIFS(Данные!$B$2:$B$722,75,Данные!$C$2:$C$722,2)</f>
        <v>9</v>
      </c>
      <c r="G124" s="65" t="n">
        <f aca="false">COUNTIFS(Данные!$B$2:$B$722,75,Данные!$C$2:$C$722,2,Данные!$A$2:$A$722,"&gt;="&amp;77232210840,Данные!$A$2:$A$722,"&lt;="&amp;77232216999)</f>
        <v>0</v>
      </c>
      <c r="H124" s="65" t="n">
        <f aca="false">COUNTIFS(Данные!$B$2:$B$722,75,Данные!$C$2:$C$722,2,Данные!$A$2:$A$722,"&gt;="&amp;77232510512,Данные!$A$2:$A$722,"&lt;="&amp;77232519487)</f>
        <v>0</v>
      </c>
      <c r="I124" s="65" t="n">
        <f aca="false">COUNTIFS(Данные!$B$2:$B$722,75,Данные!$C$2:$C$722,2,Данные!$A$2:$A$722,"&gt;="&amp;77232524160,Данные!$A$2:$A$722,"&lt;="&amp;77232529999)</f>
        <v>0</v>
      </c>
      <c r="J124" s="65" t="n">
        <f aca="false">COUNTIFS(Данные!$B$2:$B$722,75,Данные!$C$2:$C$722,2,Данные!$A$2:$A$722,"&gt;="&amp;77232544000,Данные!$A$2:$A$722,"&lt;="&amp;77232544999)</f>
        <v>0</v>
      </c>
      <c r="K124" s="65" t="n">
        <f aca="false">COUNTIFS(Данные!$B$2:$B$722,75,Данные!$C$2:$C$722,2,Данные!$A$2:$A$722,"&gt;="&amp;77232295504,Данные!$A$2:$A$722,"&lt;="&amp;77232296999)</f>
        <v>0</v>
      </c>
      <c r="L124" s="65" t="n">
        <f aca="false">COUNTIFS(Данные!$B$2:$B$722,75,Данные!$C$2:$C$722,2,Данные!$A$2:$A$722,"&gt;="&amp;77232785000,Данные!$A$2:$A$722,"&lt;="&amp;77232789999)</f>
        <v>0</v>
      </c>
      <c r="M124" s="65" t="n">
        <f aca="false">COUNTIFS(Данные!$B$2:$B$722,75,Данные!$C$2:$C$722,2,Данные!$A$2:$A$722,"&gt;="&amp;77233150000,Данные!$A$2:$A$722,"&lt;="&amp;77233155999)</f>
        <v>0</v>
      </c>
      <c r="N124" s="65" t="n">
        <f aca="false">COUNTIFS(Данные!$B$2:$B$722,75,Данные!$C$2:$C$722,2,Данные!$A$2:$A$722,"&gt;="&amp;77233235000,Данные!$A$2:$A$722,"&lt;="&amp;77233235999)</f>
        <v>0</v>
      </c>
      <c r="O124" s="65" t="n">
        <f aca="false">COUNTIFS(Данные!$B$2:$B$722,75,Данные!$C$2:$C$722,2,Данные!$A$2:$A$722,"&gt;="&amp;77233239000,Данные!$A$2:$A$722,"&lt;="&amp;77233239999)</f>
        <v>0</v>
      </c>
      <c r="P124" s="65" t="n">
        <f aca="false">COUNTIFS(Данные!$B$2:$B$722,75,Данные!$C$2:$C$722,2,Данные!$A$2:$A$722,"&gt;="&amp;77233272000,Данные!$A$2:$A$722,"&lt;="&amp;77233272999)</f>
        <v>0</v>
      </c>
      <c r="Q124" s="65" t="n">
        <f aca="false">COUNTIFS(Данные!$B$2:$B$722,75,Данные!$C$2:$C$722,2,Данные!$A$2:$A$722,"&gt;="&amp;77233291100,Данные!$A$2:$A$722,"&lt;="&amp;77233292999)</f>
        <v>0</v>
      </c>
      <c r="R124" s="65" t="n">
        <f aca="false">COUNTIFS(Данные!$B$2:$B$722,75,Данные!$C$2:$C$722,2,Данные!$A$2:$A$722,"&gt;="&amp;77233297000,Данные!$A$2:$A$722,"&lt;="&amp;77233298399)</f>
        <v>0</v>
      </c>
      <c r="S124" s="65" t="n">
        <f aca="false">COUNTIFS(Данные!$B$2:$B$722,75,Данные!$C$2:$C$722,2,Данные!$A$2:$A$722,"&gt;="&amp;77235124000,Данные!$A$2:$A$722,"&lt;="&amp;77235128499)</f>
        <v>0</v>
      </c>
      <c r="T124" s="65" t="n">
        <f aca="false">COUNTIFS(Данные!$B$2:$B$722,75,Данные!$C$2:$C$722,2,Данные!$A$2:$A$722,"&gt;="&amp;77235320000,Данные!$A$2:$A$722,"&lt;="&amp;77235320999)</f>
        <v>0</v>
      </c>
      <c r="U124" s="65" t="n">
        <f aca="false">COUNTIFS(Данные!$B$2:$B$722,75,Данные!$C$2:$C$722,2,Данные!$A$2:$A$722,"&gt;="&amp;77233620000,Данные!$A$2:$A$722,"&lt;="&amp;77233623339)</f>
        <v>0</v>
      </c>
      <c r="V124" s="65" t="n">
        <f aca="false">COUNTIFS(Данные!$B$2:$B$722,75,Данные!$C$2:$C$722,2,Данные!$A$2:$A$722,"&gt;="&amp;77233630000,Данные!$A$2:$A$722,"&lt;="&amp;77233630999)</f>
        <v>0</v>
      </c>
      <c r="W124" s="65" t="n">
        <f aca="false">COUNTIFS(Данные!$B$2:$B$722,75,Данные!$C$2:$C$722,2,Данные!$A$2:$A$722,"&gt;="&amp;77233637000,Данные!$A$2:$A$722,"&lt;="&amp;77233637599)</f>
        <v>0</v>
      </c>
      <c r="X124" s="65" t="n">
        <f aca="false">COUNTIFS(Данные!$B$2:$B$722,75,Данные!$C$2:$C$722,2,Данные!$A$2:$A$722,"&gt;="&amp;77233550000,Данные!$A$2:$A$722,"&lt;="&amp;77233550999)</f>
        <v>0</v>
      </c>
      <c r="Y124" s="65" t="n">
        <f aca="false">COUNTIFS(Данные!$B$2:$B$722,75,Данные!$C$2:$C$722,2,Данные!$A$2:$A$722,"&gt;="&amp;77233554000,Данные!$A$2:$A$722,"&lt;="&amp;77233554999)</f>
        <v>0</v>
      </c>
      <c r="Z124" s="65" t="n">
        <f aca="false">COUNTIFS(Данные!$B$2:$B$722,75,Данные!$C$2:$C$722,2,Данные!$A$2:$A$722,"&gt;="&amp;77233555000,Данные!$A$2:$A$722,"&lt;="&amp;77233556999)</f>
        <v>0</v>
      </c>
      <c r="AA124" s="65" t="n">
        <f aca="false">COUNTIFS(Данные!$B$2:$B$722,75,Данные!$C$2:$C$722,2,Данные!$A$2:$A$722,"&gt;="&amp;77233726000,Данные!$A$2:$A$722,"&lt;="&amp;77233726999)</f>
        <v>0</v>
      </c>
      <c r="AB124" s="65" t="n">
        <f aca="false">COUNTIFS(Данные!$B$2:$B$722,75,Данные!$C$2:$C$722,2,Данные!$A$2:$A$722,"&gt;="&amp;77233820000,Данные!$A$2:$A$722,"&lt;="&amp;77233820999)</f>
        <v>0</v>
      </c>
      <c r="AC124" s="65" t="n">
        <f aca="false">COUNTIFS(Данные!$B$2:$B$722,75,Данные!$C$2:$C$722,2,Данные!$A$2:$A$722,"&gt;="&amp;77233850000,Данные!$A$2:$A$722,"&lt;="&amp;77233850999)</f>
        <v>0</v>
      </c>
      <c r="AD124" s="65" t="n">
        <f aca="false">COUNTIFS(Данные!$B$2:$B$722,75,Данные!$C$2:$C$722,2,Данные!$A$2:$A$722,"&gt;="&amp;77233420000,Данные!$A$2:$A$722,"&lt;="&amp;77233420999)</f>
        <v>0</v>
      </c>
      <c r="AE124" s="65" t="n">
        <f aca="false">COUNTIFS(Данные!$B$2:$B$722,75,Данные!$C$2:$C$722,2,Данные!$A$2:$A$722,"&gt;="&amp;77234740000,Данные!$A$2:$A$722,"&lt;="&amp;77234742999)</f>
        <v>0</v>
      </c>
      <c r="AF124" s="65" t="n">
        <f aca="false">COUNTIFS(Данные!$B$2:$B$722,75,Данные!$C$2:$C$722,2,Данные!$A$2:$A$722,"&gt;="&amp;77234767000,Данные!$A$2:$A$722,"&lt;="&amp;77234767999)</f>
        <v>0</v>
      </c>
      <c r="AG124" s="65" t="n">
        <f aca="false">COUNTIFS(Данные!$B$2:$B$722,75,Данные!$C$2:$C$722,2,Данные!$A$2:$A$722,"&gt;="&amp;77234120000,Данные!$A$2:$A$722,"&lt;="&amp;77234120999)</f>
        <v>0</v>
      </c>
      <c r="AH124" s="65" t="n">
        <f aca="false">COUNTIFS(Данные!$B$2:$B$722,75,Данные!$C$2:$C$722,2,Данные!$A$2:$A$722,"&gt;="&amp;77234127000,Данные!$A$2:$A$722,"&lt;="&amp;77234127999)</f>
        <v>0</v>
      </c>
      <c r="AI124" s="65" t="n">
        <f aca="false">COUNTIFS(Данные!$B$2:$B$722,75,Данные!$C$2:$C$722,2,Данные!$A$2:$A$722,"&gt;="&amp;77234220000,Данные!$A$2:$A$722,"&lt;="&amp;77234220999)</f>
        <v>0</v>
      </c>
      <c r="AJ124" s="65" t="n">
        <f aca="false">COUNTIFS(Данные!$B$2:$B$722,75,Данные!$C$2:$C$722,2,Данные!$A$2:$A$722,"&gt;="&amp;77234250000,Данные!$A$2:$A$722,"&lt;="&amp;77234250999)</f>
        <v>0</v>
      </c>
      <c r="AK124" s="65" t="n">
        <f aca="false">COUNTIFS(Данные!$B$2:$B$722,75,Данные!$C$2:$C$722,2,Данные!$A$2:$A$722,"&gt;="&amp;77233922950,Данные!$A$2:$A$722,"&lt;="&amp;77233924999)</f>
        <v>0</v>
      </c>
      <c r="AL124" s="65" t="n">
        <f aca="false">COUNTIFS(Данные!$B$2:$B$722,75,Данные!$C$2:$C$722,2,Данные!$A$2:$A$722,"&gt;="&amp;77234320000,Данные!$A$2:$A$722,"&lt;="&amp;77234320999)</f>
        <v>0</v>
      </c>
      <c r="AM124" s="65" t="n">
        <f aca="false">COUNTIFS(Данные!$B$2:$B$722,75,Данные!$C$2:$C$722,2,Данные!$A$2:$A$722,"&gt;="&amp;77234350000,Данные!$A$2:$A$722,"&lt;="&amp;77234350999)</f>
        <v>0</v>
      </c>
      <c r="AN124" s="65" t="n">
        <f aca="false">COUNTIFS(Данные!$B$2:$B$722,75,Данные!$C$2:$C$722,2,Данные!$A$2:$A$722,"&gt;="&amp;77234020000,Данные!$A$2:$A$722,"&lt;="&amp;77234020999)</f>
        <v>0</v>
      </c>
      <c r="AO124" s="65" t="n">
        <f aca="false">COUNTIFS(Данные!$B$2:$B$722,75,Данные!$C$2:$C$722,2,Данные!$A$2:$A$722,"&gt;="&amp;77234029000,Данные!$A$2:$A$722,"&lt;="&amp;77234029999)</f>
        <v>0</v>
      </c>
      <c r="AP124" s="65" t="n">
        <f aca="false">COUNTIFS(Данные!$B$2:$B$722,75,Данные!$C$2:$C$722,2,Данные!$A$2:$A$722,"&gt;="&amp;77234050000,Данные!$A$2:$A$722,"&lt;="&amp;77234050999)</f>
        <v>0</v>
      </c>
      <c r="AQ124" s="65" t="n">
        <f aca="false">COUNTIFS(Данные!$B$2:$B$722,75,Данные!$C$2:$C$722,2,Данные!$A$2:$A$722,"&gt;="&amp;77234427000,Данные!$A$2:$A$722,"&lt;="&amp;77234428999)</f>
        <v>0</v>
      </c>
      <c r="AR124" s="65" t="n">
        <f aca="false">COUNTIFS(Данные!$B$2:$B$722,75,Данные!$C$2:$C$722,2,Данные!$A$2:$A$722,"&gt;="&amp;77234450000,Данные!$A$2:$A$722,"&lt;="&amp;77234450999)</f>
        <v>0</v>
      </c>
      <c r="AS124" s="65" t="n">
        <f aca="false">COUNTIFS(Данные!$B$2:$B$722,75,Данные!$C$2:$C$722,2,Данные!$A$2:$A$722,"&gt;="&amp;77234620000,Данные!$A$2:$A$722,"&lt;="&amp;77234620999)</f>
        <v>0</v>
      </c>
      <c r="AT124" s="65" t="n">
        <f aca="false">COUNTIFS(Данные!$B$2:$B$722,75,Данные!$C$2:$C$722,2,Данные!$A$2:$A$722,"&gt;="&amp;77234650000,Данные!$A$2:$A$722,"&lt;="&amp;77234650999)</f>
        <v>0</v>
      </c>
      <c r="AU124" s="65" t="n">
        <f aca="false">COUNTIFS(Данные!$B$2:$B$722,75,Данные!$C$2:$C$722,2,Данные!$A$2:$A$722,"&gt;="&amp;77234820000,Данные!$A$2:$A$722,"&lt;="&amp;77234820999)</f>
        <v>5</v>
      </c>
      <c r="AV124" s="65" t="n">
        <f aca="false">COUNTIFS(Данные!$B$2:$B$722,75,Данные!$C$2:$C$722,2,Данные!$A$2:$A$722,"&gt;="&amp;77234850000,Данные!$A$2:$A$722,"&lt;="&amp;77234850999)</f>
        <v>2</v>
      </c>
      <c r="AW124" s="65" t="n">
        <f aca="false">COUNTIFS(Данные!$B$2:$B$722,75,Данные!$C$2:$C$722,2,Данные!$A$2:$A$722,"&gt;="&amp;77233327000,Данные!$A$2:$A$722,"&lt;="&amp;77233327999)</f>
        <v>0</v>
      </c>
      <c r="AX124" s="65" t="n">
        <f aca="false">COUNTIFS(Данные!$B$2:$B$722,75,Данные!$C$2:$C$722,2,Данные!$A$2:$A$722,"&gt;="&amp;77233350000,Данные!$A$2:$A$722,"&lt;="&amp;77233350599)</f>
        <v>0</v>
      </c>
      <c r="AY124" s="65" t="n">
        <f aca="false">COUNTIFS(Данные!$B$2:$B$722,75,Данные!$C$2:$C$722,2,Данные!$A$2:$A$722,"&gt;="&amp;77233351000,Данные!$A$2:$A$722,"&lt;="&amp;77233351999)</f>
        <v>0</v>
      </c>
      <c r="AZ124" s="66" t="n">
        <f aca="false">COUNTIFS(Данные!$B$2:$B$722,75,Данные!$C$2:$C$722,2,Данные!$A$2:$A$722,"&gt;="&amp;7722440000,Данные!$A$2:$A$722,"&lt;="&amp;7722440999)</f>
        <v>0</v>
      </c>
      <c r="BA124" s="66" t="n">
        <f aca="false">COUNTIFS(Данные!$B$2:$B$722,75,Данные!$C$2:$C$722,2,Данные!$A$2:$A$722,"&gt;="&amp;7722442000,Данные!$A$2:$A$722,"&lt;="&amp;7722445659)</f>
        <v>0</v>
      </c>
      <c r="BB124" s="66" t="n">
        <f aca="false">COUNTIFS(Данные!$B$2:$B$722,75,Данные!$C$2:$C$722,2,Данные!$A$2:$A$722,"&gt;="&amp;7722450000,Данные!$A$2:$A$722,"&lt;="&amp;7722450199)</f>
        <v>0</v>
      </c>
      <c r="BC124" s="66" t="n">
        <f aca="false">COUNTIFS(Данные!$B$2:$B$722,75,Данные!$C$2:$C$722,2,Данные!$A$2:$A$722,"&gt;="&amp;7722451000,Данные!$A$2:$A$722,"&lt;="&amp;7722451374)</f>
        <v>0</v>
      </c>
      <c r="BD124" s="66" t="n">
        <f aca="false">COUNTIFS(Данные!$B$2:$B$722,75,Данные!$C$2:$C$722,2,Данные!$A$2:$A$722,"&gt;="&amp;7722452000,Данные!$A$2:$A$722,"&lt;="&amp;7722452299)</f>
        <v>0</v>
      </c>
      <c r="BE124" s="66" t="n">
        <f aca="false">COUNTIFS(Данные!$B$2:$B$722,75,Данные!$C$2:$C$722,2,Данные!$A$2:$A$722,"&gt;="&amp;7722453000,Данные!$A$2:$A$722,"&lt;="&amp;7722453816)</f>
        <v>0</v>
      </c>
      <c r="BF124" s="66" t="n">
        <f aca="false">COUNTIFS(Данные!$B$2:$B$722,75,Данные!$C$2:$C$722,2,Данные!$A$2:$A$722,"&gt;="&amp;7722454000,Данные!$A$2:$A$722,"&lt;="&amp;7722454099)</f>
        <v>0</v>
      </c>
      <c r="BG124" s="66" t="n">
        <f aca="false">COUNTIFS(Данные!$B$2:$B$722,75,Данные!$C$2:$C$722,2,Данные!$A$2:$A$722,"&gt;="&amp;7722458000,Данные!$A$2:$A$722,"&lt;="&amp;7722458999)</f>
        <v>0</v>
      </c>
      <c r="BH124" s="66" t="n">
        <f aca="false">COUNTIFS(Данные!$B$2:$B$722,75,Данные!$C$2:$C$722,2,Данные!$A$2:$A$722,"&gt;="&amp;7722630000,Данные!$A$2:$A$722,"&lt;="&amp;7722638549)</f>
        <v>0</v>
      </c>
      <c r="BI124" s="66" t="n">
        <f aca="false">COUNTIFS(Данные!$B$2:$B$722,75,Данные!$C$2:$C$722,2,Данные!$A$2:$A$722,"&gt;="&amp;7722639400,Данные!$A$2:$A$722,"&lt;="&amp;7722639899)</f>
        <v>0</v>
      </c>
      <c r="BJ124" s="66" t="n">
        <f aca="false">COUNTIFS(Данные!$B$2:$B$722,75,Данные!$C$2:$C$722,2,Данные!$A$2:$A$722,"&gt;="&amp;7725750000,Данные!$A$2:$A$722,"&lt;="&amp;7725750399)</f>
        <v>0</v>
      </c>
      <c r="BK124" s="66" t="n">
        <f aca="false">COUNTIFS(Данные!$B$2:$B$722,75,Данные!$C$2:$C$722,2,Данные!$A$2:$A$722,"&gt;="&amp;7723620000,Данные!$A$2:$A$722,"&lt;="&amp;7723621299)</f>
        <v>0</v>
      </c>
      <c r="BL124" s="66" t="n">
        <f aca="false">COUNTIFS(Данные!$B$2:$B$722,75,Данные!$C$2:$C$722,2,Данные!$A$2:$A$722,"&gt;="&amp;7723621600,Данные!$A$2:$A$722,"&lt;="&amp;7723623399)</f>
        <v>0</v>
      </c>
      <c r="BM124" s="66" t="n">
        <f aca="false">COUNTIFS(Данные!$B$2:$B$722,75,Данные!$C$2:$C$722,2,Данные!$A$2:$A$722,"&gt;="&amp;7725127000,Данные!$A$2:$A$722,"&lt;="&amp;7725127999)</f>
        <v>0</v>
      </c>
      <c r="BN124" s="66" t="n">
        <f aca="false">COUNTIFS(Данные!$B$2:$B$722,75,Данные!$C$2:$C$722,2,Данные!$A$2:$A$722,"&gt;="&amp;7723772000,Данные!$A$2:$A$722,"&lt;="&amp;7723724999)</f>
        <v>0</v>
      </c>
      <c r="BO124" s="65" t="n">
        <f aca="false">COUNTIFS(Данные!$B$2:$B$722,75,Данные!$C$2:$C$722,2,Данные!$A$2:$A$722,"&gt;="&amp;7723765000,Данные!$A$2:$A$722,"&lt;="&amp;7723765499)</f>
        <v>0</v>
      </c>
      <c r="BP124" s="66" t="n">
        <f aca="false">COUNTIFS(Данные!$B$2:$B$722,75,Данные!$C$2:$C$722,2,Данные!$A$2:$A$722,"&gt;="&amp;7723948000,Данные!$A$2:$A$722,"&lt;="&amp;7723948999)</f>
        <v>0</v>
      </c>
      <c r="BQ124" s="66" t="n">
        <f aca="false">COUNTIFS(Данные!$B$2:$B$722,75,Данные!$C$2:$C$722,2,Данные!$A$2:$A$722,"&gt;="&amp;7723950000,Данные!$A$2:$A$722,"&lt;="&amp;7723951099)</f>
        <v>0</v>
      </c>
      <c r="BR124" s="66" t="n">
        <f aca="false">COUNTIFS(Данные!$B$2:$B$722,75,Данные!$C$2:$C$722,2,Данные!$A$2:$A$722,"&gt;="&amp;7723020000,Данные!$A$2:$A$722,"&lt;="&amp;7723020999)</f>
        <v>0</v>
      </c>
      <c r="BS124" s="66" t="n">
        <f aca="false">COUNTIFS(Данные!$B$2:$B$722,75,Данные!$C$2:$C$722,2,Данные!$A$2:$A$722,"&gt;="&amp;7723029000,Данные!$A$2:$A$722,"&lt;="&amp;7723029999)</f>
        <v>0</v>
      </c>
      <c r="BT124" s="66" t="n">
        <f aca="false">COUNTIFS(Данные!$B$2:$B$722,75,Данные!$C$2:$C$722,2,Данные!$A$2:$A$722,"&gt;="&amp;7723055000,Данные!$A$2:$A$722,"&lt;="&amp;7723056549)</f>
        <v>0</v>
      </c>
      <c r="BU124" s="65" t="n">
        <f aca="false">COUNTIFS(Данные!$B$2:$B$722,75,Данные!$C$2:$C$722,2,Данные!$A$2:$A$722,"&gt;="&amp;7725250000,Данные!$A$2:$A$722,"&lt;="&amp;7725250499)</f>
        <v>0</v>
      </c>
      <c r="BV124" s="66" t="n">
        <f aca="false">COUNTIFS(Данные!$B$2:$B$722,75,Данные!$C$2:$C$722,2,Данные!$A$2:$A$722,"&gt;="&amp;7183841400,Данные!$A$2:$A$722,"&lt;="&amp;7183841499)</f>
        <v>0</v>
      </c>
      <c r="BW124" s="49" t="n">
        <v>300</v>
      </c>
      <c r="BX124" s="67" t="n">
        <f aca="false">F124-BW124</f>
        <v>-291</v>
      </c>
    </row>
    <row r="125" s="15" customFormat="true" ht="12" hidden="false" customHeight="true" outlineLevel="0" collapsed="false">
      <c r="A125" s="38" t="n">
        <v>76</v>
      </c>
      <c r="B125" s="39" t="s">
        <v>101</v>
      </c>
      <c r="C125" s="41" t="n">
        <v>3</v>
      </c>
      <c r="D125" s="41" t="n">
        <v>760</v>
      </c>
      <c r="E125" s="42" t="n">
        <f aca="false">SUM(F125:F127)</f>
        <v>0</v>
      </c>
      <c r="F125" s="62" t="n">
        <f aca="false">COUNTIFS(Данные!$B$2:$B$722,76,Данные!$C$2:$C$722,3)</f>
        <v>0</v>
      </c>
      <c r="G125" s="62" t="n">
        <f aca="false">COUNTIFS(Данные!$B$2:$B$722,76,Данные!$C$2:$C$722,3,Данные!$A$2:$A$722,"&gt;="&amp;77232210840,Данные!$A$2:$A$722,"&lt;="&amp;77232216999)</f>
        <v>0</v>
      </c>
      <c r="H125" s="62" t="n">
        <f aca="false">COUNTIFS(Данные!$B$2:$B$722,76,Данные!$C$2:$C$722,3,Данные!$A$2:$A$722,"&gt;="&amp;77232510512,Данные!$A$2:$A$722,"&lt;="&amp;77232519487)</f>
        <v>0</v>
      </c>
      <c r="I125" s="62" t="n">
        <f aca="false">COUNTIFS(Данные!$B$2:$B$722,76,Данные!$C$2:$C$722,3,Данные!$A$2:$A$722,"&gt;="&amp;77232524160,Данные!$A$2:$A$722,"&lt;="&amp;77232529999)</f>
        <v>0</v>
      </c>
      <c r="J125" s="62" t="n">
        <f aca="false">COUNTIFS(Данные!$B$2:$B$722,76,Данные!$C$2:$C$722,3,Данные!$A$2:$A$722,"&gt;="&amp;77232544000,Данные!$A$2:$A$722,"&lt;="&amp;77232544999)</f>
        <v>0</v>
      </c>
      <c r="K125" s="62" t="n">
        <f aca="false">COUNTIFS(Данные!$B$2:$B$722,76,Данные!$C$2:$C$722,3,Данные!$A$2:$A$722,"&gt;="&amp;77232295504,Данные!$A$2:$A$722,"&lt;="&amp;77232296999)</f>
        <v>0</v>
      </c>
      <c r="L125" s="62" t="n">
        <f aca="false">COUNTIFS(Данные!$B$2:$B$722,76,Данные!$C$2:$C$722,3,Данные!$A$2:$A$722,"&gt;="&amp;77232785000,Данные!$A$2:$A$722,"&lt;="&amp;77232789999)</f>
        <v>0</v>
      </c>
      <c r="M125" s="62" t="n">
        <f aca="false">COUNTIFS(Данные!$B$2:$B$722,76,Данные!$C$2:$C$722,3,Данные!$A$2:$A$722,"&gt;="&amp;77233150000,Данные!$A$2:$A$722,"&lt;="&amp;77233155999)</f>
        <v>0</v>
      </c>
      <c r="N125" s="62" t="n">
        <f aca="false">COUNTIFS(Данные!$B$2:$B$722,76,Данные!$C$2:$C$722,3,Данные!$A$2:$A$722,"&gt;="&amp;77233235000,Данные!$A$2:$A$722,"&lt;="&amp;77233235999)</f>
        <v>0</v>
      </c>
      <c r="O125" s="62" t="n">
        <f aca="false">COUNTIFS(Данные!$B$2:$B$722,76,Данные!$C$2:$C$722,3,Данные!$A$2:$A$722,"&gt;="&amp;77233239000,Данные!$A$2:$A$722,"&lt;="&amp;77233239999)</f>
        <v>0</v>
      </c>
      <c r="P125" s="62" t="n">
        <f aca="false">COUNTIFS(Данные!$B$2:$B$722,76,Данные!$C$2:$C$722,3,Данные!$A$2:$A$722,"&gt;="&amp;77233272000,Данные!$A$2:$A$722,"&lt;="&amp;77233272999)</f>
        <v>0</v>
      </c>
      <c r="Q125" s="62" t="n">
        <f aca="false">COUNTIFS(Данные!$B$2:$B$722,76,Данные!$C$2:$C$722,3,Данные!$A$2:$A$722,"&gt;="&amp;77233291100,Данные!$A$2:$A$722,"&lt;="&amp;77233292999)</f>
        <v>0</v>
      </c>
      <c r="R125" s="62" t="n">
        <f aca="false">COUNTIFS(Данные!$B$2:$B$722,76,Данные!$C$2:$C$722,3,Данные!$A$2:$A$722,"&gt;="&amp;77233297000,Данные!$A$2:$A$722,"&lt;="&amp;77233298399)</f>
        <v>0</v>
      </c>
      <c r="S125" s="62" t="n">
        <f aca="false">COUNTIFS(Данные!$B$2:$B$722,76,Данные!$C$2:$C$722,3,Данные!$A$2:$A$722,"&gt;="&amp;77235124000,Данные!$A$2:$A$722,"&lt;="&amp;77235128499)</f>
        <v>0</v>
      </c>
      <c r="T125" s="62" t="n">
        <f aca="false">COUNTIFS(Данные!$B$2:$B$722,76,Данные!$C$2:$C$722,3,Данные!$A$2:$A$722,"&gt;="&amp;77235320000,Данные!$A$2:$A$722,"&lt;="&amp;77235320999)</f>
        <v>0</v>
      </c>
      <c r="U125" s="62" t="n">
        <f aca="false">COUNTIFS(Данные!$B$2:$B$722,76,Данные!$C$2:$C$722,3,Данные!$A$2:$A$722,"&gt;="&amp;77233620000,Данные!$A$2:$A$722,"&lt;="&amp;77233623339)</f>
        <v>0</v>
      </c>
      <c r="V125" s="62" t="n">
        <f aca="false">COUNTIFS(Данные!$B$2:$B$722,76,Данные!$C$2:$C$722,3,Данные!$A$2:$A$722,"&gt;="&amp;77233630000,Данные!$A$2:$A$722,"&lt;="&amp;77233630999)</f>
        <v>0</v>
      </c>
      <c r="W125" s="62" t="n">
        <f aca="false">COUNTIFS(Данные!$B$2:$B$722,76,Данные!$C$2:$C$722,3,Данные!$A$2:$A$722,"&gt;="&amp;77233637000,Данные!$A$2:$A$722,"&lt;="&amp;77233637599)</f>
        <v>0</v>
      </c>
      <c r="X125" s="62" t="n">
        <f aca="false">COUNTIFS(Данные!$B$2:$B$722,76,Данные!$C$2:$C$722,3,Данные!$A$2:$A$722,"&gt;="&amp;77233550000,Данные!$A$2:$A$722,"&lt;="&amp;77233550999)</f>
        <v>0</v>
      </c>
      <c r="Y125" s="62" t="n">
        <f aca="false">COUNTIFS(Данные!$B$2:$B$722,76,Данные!$C$2:$C$722,3,Данные!$A$2:$A$722,"&gt;="&amp;77233554000,Данные!$A$2:$A$722,"&lt;="&amp;77233554999)</f>
        <v>0</v>
      </c>
      <c r="Z125" s="62" t="n">
        <f aca="false">COUNTIFS(Данные!$B$2:$B$722,76,Данные!$C$2:$C$722,3,Данные!$A$2:$A$722,"&gt;="&amp;77233555000,Данные!$A$2:$A$722,"&lt;="&amp;77233556999)</f>
        <v>0</v>
      </c>
      <c r="AA125" s="62" t="n">
        <f aca="false">COUNTIFS(Данные!$B$2:$B$722,76,Данные!$C$2:$C$722,3,Данные!$A$2:$A$722,"&gt;="&amp;77233726000,Данные!$A$2:$A$722,"&lt;="&amp;77233726999)</f>
        <v>0</v>
      </c>
      <c r="AB125" s="62" t="n">
        <f aca="false">COUNTIFS(Данные!$B$2:$B$722,76,Данные!$C$2:$C$722,3,Данные!$A$2:$A$722,"&gt;="&amp;77233820000,Данные!$A$2:$A$722,"&lt;="&amp;77233820999)</f>
        <v>0</v>
      </c>
      <c r="AC125" s="62" t="n">
        <f aca="false">COUNTIFS(Данные!$B$2:$B$722,76,Данные!$C$2:$C$722,3,Данные!$A$2:$A$722,"&gt;="&amp;77233850000,Данные!$A$2:$A$722,"&lt;="&amp;77233850999)</f>
        <v>0</v>
      </c>
      <c r="AD125" s="62" t="n">
        <f aca="false">COUNTIFS(Данные!$B$2:$B$722,76,Данные!$C$2:$C$722,3,Данные!$A$2:$A$722,"&gt;="&amp;77233420000,Данные!$A$2:$A$722,"&lt;="&amp;77233420999)</f>
        <v>0</v>
      </c>
      <c r="AE125" s="62" t="n">
        <f aca="false">COUNTIFS(Данные!$B$2:$B$722,76,Данные!$C$2:$C$722,3,Данные!$A$2:$A$722,"&gt;="&amp;77234740000,Данные!$A$2:$A$722,"&lt;="&amp;77234742999)</f>
        <v>0</v>
      </c>
      <c r="AF125" s="62" t="n">
        <f aca="false">COUNTIFS(Данные!$B$2:$B$722,76,Данные!$C$2:$C$722,3,Данные!$A$2:$A$722,"&gt;="&amp;77234767000,Данные!$A$2:$A$722,"&lt;="&amp;77234767999)</f>
        <v>0</v>
      </c>
      <c r="AG125" s="62" t="n">
        <f aca="false">COUNTIFS(Данные!$B$2:$B$722,76,Данные!$C$2:$C$722,3,Данные!$A$2:$A$722,"&gt;="&amp;77234120000,Данные!$A$2:$A$722,"&lt;="&amp;77234120999)</f>
        <v>0</v>
      </c>
      <c r="AH125" s="62" t="n">
        <f aca="false">COUNTIFS(Данные!$B$2:$B$722,76,Данные!$C$2:$C$722,3,Данные!$A$2:$A$722,"&gt;="&amp;77234127000,Данные!$A$2:$A$722,"&lt;="&amp;77234127999)</f>
        <v>0</v>
      </c>
      <c r="AI125" s="62" t="n">
        <f aca="false">COUNTIFS(Данные!$B$2:$B$722,76,Данные!$C$2:$C$722,3,Данные!$A$2:$A$722,"&gt;="&amp;77234220000,Данные!$A$2:$A$722,"&lt;="&amp;77234220999)</f>
        <v>0</v>
      </c>
      <c r="AJ125" s="62" t="n">
        <f aca="false">COUNTIFS(Данные!$B$2:$B$722,76,Данные!$C$2:$C$722,3,Данные!$A$2:$A$722,"&gt;="&amp;77234250000,Данные!$A$2:$A$722,"&lt;="&amp;77234250999)</f>
        <v>0</v>
      </c>
      <c r="AK125" s="62" t="n">
        <f aca="false">COUNTIFS(Данные!$B$2:$B$722,76,Данные!$C$2:$C$722,3,Данные!$A$2:$A$722,"&gt;="&amp;77233922950,Данные!$A$2:$A$722,"&lt;="&amp;77233924999)</f>
        <v>0</v>
      </c>
      <c r="AL125" s="62" t="n">
        <f aca="false">COUNTIFS(Данные!$B$2:$B$722,76,Данные!$C$2:$C$722,3,Данные!$A$2:$A$722,"&gt;="&amp;77234320000,Данные!$A$2:$A$722,"&lt;="&amp;77234320999)</f>
        <v>0</v>
      </c>
      <c r="AM125" s="62" t="n">
        <f aca="false">COUNTIFS(Данные!$B$2:$B$722,76,Данные!$C$2:$C$722,3,Данные!$A$2:$A$722,"&gt;="&amp;77234350000,Данные!$A$2:$A$722,"&lt;="&amp;77234350999)</f>
        <v>0</v>
      </c>
      <c r="AN125" s="62" t="n">
        <f aca="false">COUNTIFS(Данные!$B$2:$B$722,76,Данные!$C$2:$C$722,3,Данные!$A$2:$A$722,"&gt;="&amp;77234020000,Данные!$A$2:$A$722,"&lt;="&amp;77234020999)</f>
        <v>0</v>
      </c>
      <c r="AO125" s="62" t="n">
        <f aca="false">COUNTIFS(Данные!$B$2:$B$722,76,Данные!$C$2:$C$722,3,Данные!$A$2:$A$722,"&gt;="&amp;77234029000,Данные!$A$2:$A$722,"&lt;="&amp;77234029999)</f>
        <v>0</v>
      </c>
      <c r="AP125" s="62" t="n">
        <f aca="false">COUNTIFS(Данные!$B$2:$B$722,76,Данные!$C$2:$C$722,3,Данные!$A$2:$A$722,"&gt;="&amp;77234050000,Данные!$A$2:$A$722,"&lt;="&amp;77234050999)</f>
        <v>0</v>
      </c>
      <c r="AQ125" s="62" t="n">
        <f aca="false">COUNTIFS(Данные!$B$2:$B$722,76,Данные!$C$2:$C$722,3,Данные!$A$2:$A$722,"&gt;="&amp;77234427000,Данные!$A$2:$A$722,"&lt;="&amp;77234428999)</f>
        <v>0</v>
      </c>
      <c r="AR125" s="62" t="n">
        <f aca="false">COUNTIFS(Данные!$B$2:$B$722,76,Данные!$C$2:$C$722,3,Данные!$A$2:$A$722,"&gt;="&amp;77234450000,Данные!$A$2:$A$722,"&lt;="&amp;77234450999)</f>
        <v>0</v>
      </c>
      <c r="AS125" s="62" t="n">
        <f aca="false">COUNTIFS(Данные!$B$2:$B$722,76,Данные!$C$2:$C$722,3,Данные!$A$2:$A$722,"&gt;="&amp;77234620000,Данные!$A$2:$A$722,"&lt;="&amp;77234620999)</f>
        <v>0</v>
      </c>
      <c r="AT125" s="62" t="n">
        <f aca="false">COUNTIFS(Данные!$B$2:$B$722,76,Данные!$C$2:$C$722,3,Данные!$A$2:$A$722,"&gt;="&amp;77234650000,Данные!$A$2:$A$722,"&lt;="&amp;77234650999)</f>
        <v>0</v>
      </c>
      <c r="AU125" s="62" t="n">
        <f aca="false">COUNTIFS(Данные!$B$2:$B$722,76,Данные!$C$2:$C$722,3,Данные!$A$2:$A$722,"&gt;="&amp;77234820000,Данные!$A$2:$A$722,"&lt;="&amp;77234820999)</f>
        <v>0</v>
      </c>
      <c r="AV125" s="62" t="n">
        <f aca="false">COUNTIFS(Данные!$B$2:$B$722,76,Данные!$C$2:$C$722,3,Данные!$A$2:$A$722,"&gt;="&amp;77234850000,Данные!$A$2:$A$722,"&lt;="&amp;77234850999)</f>
        <v>0</v>
      </c>
      <c r="AW125" s="62" t="n">
        <f aca="false">COUNTIFS(Данные!$B$2:$B$722,76,Данные!$C$2:$C$722,3,Данные!$A$2:$A$722,"&gt;="&amp;77233327000,Данные!$A$2:$A$722,"&lt;="&amp;77233327999)</f>
        <v>0</v>
      </c>
      <c r="AX125" s="62" t="n">
        <f aca="false">COUNTIFS(Данные!$B$2:$B$722,76,Данные!$C$2:$C$722,3,Данные!$A$2:$A$722,"&gt;="&amp;77233350000,Данные!$A$2:$A$722,"&lt;="&amp;77233350599)</f>
        <v>0</v>
      </c>
      <c r="AY125" s="62" t="n">
        <f aca="false">COUNTIFS(Данные!$B$2:$B$722,76,Данные!$C$2:$C$722,3,Данные!$A$2:$A$722,"&gt;="&amp;77233351000,Данные!$A$2:$A$722,"&lt;="&amp;77233351999)</f>
        <v>0</v>
      </c>
      <c r="AZ125" s="62" t="n">
        <f aca="false">COUNTIFS(Данные!$B$2:$B$722,76,Данные!$C$2:$C$722,3,Данные!$A$2:$A$722,"&gt;="&amp;7722440000,Данные!$A$2:$A$722,"&lt;="&amp;7722440999)</f>
        <v>0</v>
      </c>
      <c r="BA125" s="63" t="n">
        <f aca="false">COUNTIFS(Данные!$B$2:$B$722,76,Данные!$C$2:$C$722,3,Данные!$A$2:$A$722,"&gt;="&amp;7722442000,Данные!$A$2:$A$722,"&lt;="&amp;7722445659)</f>
        <v>0</v>
      </c>
      <c r="BB125" s="63" t="n">
        <f aca="false">COUNTIFS(Данные!$B$2:$B$722,76,Данные!$C$2:$C$722,3,Данные!$A$2:$A$722,"&gt;="&amp;7722450000,Данные!$A$2:$A$722,"&lt;="&amp;7722450199)</f>
        <v>0</v>
      </c>
      <c r="BC125" s="63" t="n">
        <f aca="false">COUNTIFS(Данные!$B$2:$B$722,76,Данные!$C$2:$C$722,3,Данные!$A$2:$A$722,"&gt;="&amp;7722451000,Данные!$A$2:$A$722,"&lt;="&amp;7722451374)</f>
        <v>0</v>
      </c>
      <c r="BD125" s="63" t="n">
        <f aca="false">COUNTIFS(Данные!$B$2:$B$722,76,Данные!$C$2:$C$722,3,Данные!$A$2:$A$722,"&gt;="&amp;7722452000,Данные!$A$2:$A$722,"&lt;="&amp;7722452299)</f>
        <v>0</v>
      </c>
      <c r="BE125" s="63" t="n">
        <f aca="false">COUNTIFS(Данные!$B$2:$B$722,76,Данные!$C$2:$C$722,3,Данные!$A$2:$A$722,"&gt;="&amp;7722453000,Данные!$A$2:$A$722,"&lt;="&amp;7722453816)</f>
        <v>0</v>
      </c>
      <c r="BF125" s="63" t="n">
        <f aca="false">COUNTIFS(Данные!$B$2:$B$722,76,Данные!$C$2:$C$722,3,Данные!$A$2:$A$722,"&gt;="&amp;7722454000,Данные!$A$2:$A$722,"&lt;="&amp;7722454099)</f>
        <v>0</v>
      </c>
      <c r="BG125" s="63" t="n">
        <f aca="false">COUNTIFS(Данные!$B$2:$B$722,76,Данные!$C$2:$C$722,3,Данные!$A$2:$A$722,"&gt;="&amp;7722458000,Данные!$A$2:$A$722,"&lt;="&amp;7722458999)</f>
        <v>0</v>
      </c>
      <c r="BH125" s="63" t="n">
        <f aca="false">COUNTIFS(Данные!$B$2:$B$722,76,Данные!$C$2:$C$722,3,Данные!$A$2:$A$722,"&gt;="&amp;7722630000,Данные!$A$2:$A$722,"&lt;="&amp;7722638549)</f>
        <v>0</v>
      </c>
      <c r="BI125" s="63" t="n">
        <f aca="false">COUNTIFS(Данные!$B$2:$B$722,76,Данные!$C$2:$C$722,3,Данные!$A$2:$A$722,"&gt;="&amp;7722639400,Данные!$A$2:$A$722,"&lt;="&amp;7722639899)</f>
        <v>0</v>
      </c>
      <c r="BJ125" s="63" t="n">
        <f aca="false">COUNTIFS(Данные!$B$2:$B$722,76,Данные!$C$2:$C$722,3,Данные!$A$2:$A$722,"&gt;="&amp;7725750000,Данные!$A$2:$A$722,"&lt;="&amp;7725750399)</f>
        <v>0</v>
      </c>
      <c r="BK125" s="63" t="n">
        <f aca="false">COUNTIFS(Данные!$B$2:$B$722,76,Данные!$C$2:$C$722,3,Данные!$A$2:$A$722,"&gt;="&amp;7723620000,Данные!$A$2:$A$722,"&lt;="&amp;7723621299)</f>
        <v>0</v>
      </c>
      <c r="BL125" s="63" t="n">
        <f aca="false">COUNTIFS(Данные!$B$2:$B$722,76,Данные!$C$2:$C$722,3,Данные!$A$2:$A$722,"&gt;="&amp;7723621600,Данные!$A$2:$A$722,"&lt;="&amp;7723623399)</f>
        <v>0</v>
      </c>
      <c r="BM125" s="63" t="n">
        <f aca="false">COUNTIFS(Данные!$B$2:$B$722,76,Данные!$C$2:$C$722,3,Данные!$A$2:$A$722,"&gt;="&amp;7725127000,Данные!$A$2:$A$722,"&lt;="&amp;7725127999)</f>
        <v>0</v>
      </c>
      <c r="BN125" s="63" t="n">
        <f aca="false">COUNTIFS(Данные!$B$2:$B$722,76,Данные!$C$2:$C$722,3,Данные!$A$2:$A$722,"&gt;="&amp;7723772000,Данные!$A$2:$A$722,"&lt;="&amp;7723724999)</f>
        <v>0</v>
      </c>
      <c r="BO125" s="62" t="n">
        <f aca="false">COUNTIFS(Данные!$B$2:$B$722,76,Данные!$C$2:$C$722,3,Данные!$A$2:$A$722,"&gt;="&amp;7723765000,Данные!$A$2:$A$722,"&lt;="&amp;7723765499)</f>
        <v>0</v>
      </c>
      <c r="BP125" s="63" t="n">
        <f aca="false">COUNTIFS(Данные!$B$2:$B$722,76,Данные!$C$2:$C$722,3,Данные!$A$2:$A$722,"&gt;="&amp;7723948000,Данные!$A$2:$A$722,"&lt;="&amp;7723948999)</f>
        <v>0</v>
      </c>
      <c r="BQ125" s="63" t="n">
        <f aca="false">COUNTIFS(Данные!$B$2:$B$722,76,Данные!$C$2:$C$722,3,Данные!$A$2:$A$722,"&gt;="&amp;7723950000,Данные!$A$2:$A$722,"&lt;="&amp;7723951099)</f>
        <v>0</v>
      </c>
      <c r="BR125" s="63" t="n">
        <f aca="false">COUNTIFS(Данные!$B$2:$B$722,76,Данные!$C$2:$C$722,3,Данные!$A$2:$A$722,"&gt;="&amp;7723020000,Данные!$A$2:$A$722,"&lt;="&amp;7723020999)</f>
        <v>0</v>
      </c>
      <c r="BS125" s="63" t="n">
        <f aca="false">COUNTIFS(Данные!$B$2:$B$722,76,Данные!$C$2:$C$722,3,Данные!$A$2:$A$722,"&gt;="&amp;7723029000,Данные!$A$2:$A$722,"&lt;="&amp;7723029999)</f>
        <v>0</v>
      </c>
      <c r="BT125" s="63" t="n">
        <f aca="false">COUNTIFS(Данные!$B$2:$B$722,76,Данные!$C$2:$C$722,3,Данные!$A$2:$A$722,"&gt;="&amp;7723055000,Данные!$A$2:$A$722,"&lt;="&amp;7723056549)</f>
        <v>0</v>
      </c>
      <c r="BU125" s="62" t="n">
        <f aca="false">COUNTIFS(Данные!$B$2:$B$722,76,Данные!$C$2:$C$722,3,Данные!$A$2:$A$722,"&gt;="&amp;7725250000,Данные!$A$2:$A$722,"&lt;="&amp;7725250499)</f>
        <v>0</v>
      </c>
      <c r="BV125" s="63" t="n">
        <f aca="false">COUNTIFS(Данные!$B$2:$B$722,76,Данные!$C$2:$C$722,3,Данные!$A$2:$A$722,"&gt;="&amp;7183841400,Данные!$A$2:$A$722,"&lt;="&amp;7183841499)</f>
        <v>0</v>
      </c>
      <c r="BW125" s="40" t="n">
        <v>300</v>
      </c>
      <c r="BX125" s="64" t="n">
        <f aca="false">F125-BW125</f>
        <v>-300</v>
      </c>
    </row>
    <row r="126" s="15" customFormat="true" ht="12" hidden="false" customHeight="true" outlineLevel="0" collapsed="false">
      <c r="A126" s="38"/>
      <c r="B126" s="39"/>
      <c r="C126" s="41" t="n">
        <v>4</v>
      </c>
      <c r="D126" s="41" t="n">
        <v>761</v>
      </c>
      <c r="E126" s="42"/>
      <c r="F126" s="62" t="n">
        <f aca="false">COUNTIFS(Данные!$B$2:$B$722,76,Данные!$C$2:$C$722,4)</f>
        <v>0</v>
      </c>
      <c r="G126" s="62" t="n">
        <f aca="false">COUNTIFS(Данные!$B$2:$B$722,76,Данные!$C$2:$C$722,4,Данные!$A$2:$A$722,"&gt;="&amp;77232210840,Данные!$A$2:$A$722,"&lt;="&amp;77232216999)</f>
        <v>0</v>
      </c>
      <c r="H126" s="62" t="n">
        <f aca="false">COUNTIFS(Данные!$B$2:$B$722,76,Данные!$C$2:$C$722,4,Данные!$A$2:$A$722,"&gt;="&amp;77232510512,Данные!$A$2:$A$722,"&lt;="&amp;77232519487)</f>
        <v>0</v>
      </c>
      <c r="I126" s="62" t="n">
        <f aca="false">COUNTIFS(Данные!$B$2:$B$722,76,Данные!$C$2:$C$722,4,Данные!$A$2:$A$722,"&gt;="&amp;77232524160,Данные!$A$2:$A$722,"&lt;="&amp;77232529999)</f>
        <v>0</v>
      </c>
      <c r="J126" s="62" t="n">
        <f aca="false">COUNTIFS(Данные!$B$2:$B$722,76,Данные!$C$2:$C$722,4,Данные!$A$2:$A$722,"&gt;="&amp;77232544000,Данные!$A$2:$A$722,"&lt;="&amp;77232544999)</f>
        <v>0</v>
      </c>
      <c r="K126" s="62" t="n">
        <f aca="false">COUNTIFS(Данные!$B$2:$B$722,76,Данные!$C$2:$C$722,4,Данные!$A$2:$A$722,"&gt;="&amp;77232295504,Данные!$A$2:$A$722,"&lt;="&amp;77232296999)</f>
        <v>0</v>
      </c>
      <c r="L126" s="62" t="n">
        <f aca="false">COUNTIFS(Данные!$B$2:$B$722,76,Данные!$C$2:$C$722,4,Данные!$A$2:$A$722,"&gt;="&amp;77232785000,Данные!$A$2:$A$722,"&lt;="&amp;77232789999)</f>
        <v>0</v>
      </c>
      <c r="M126" s="62" t="n">
        <f aca="false">COUNTIFS(Данные!$B$2:$B$722,76,Данные!$C$2:$C$722,4,Данные!$A$2:$A$722,"&gt;="&amp;77233150000,Данные!$A$2:$A$722,"&lt;="&amp;77233155999)</f>
        <v>0</v>
      </c>
      <c r="N126" s="62" t="n">
        <f aca="false">COUNTIFS(Данные!$B$2:$B$722,76,Данные!$C$2:$C$722,4,Данные!$A$2:$A$722,"&gt;="&amp;77233235000,Данные!$A$2:$A$722,"&lt;="&amp;77233235999)</f>
        <v>0</v>
      </c>
      <c r="O126" s="62" t="n">
        <f aca="false">COUNTIFS(Данные!$B$2:$B$722,76,Данные!$C$2:$C$722,4,Данные!$A$2:$A$722,"&gt;="&amp;77233239000,Данные!$A$2:$A$722,"&lt;="&amp;77233239999)</f>
        <v>0</v>
      </c>
      <c r="P126" s="62" t="n">
        <f aca="false">COUNTIFS(Данные!$B$2:$B$722,76,Данные!$C$2:$C$722,4,Данные!$A$2:$A$722,"&gt;="&amp;77233272000,Данные!$A$2:$A$722,"&lt;="&amp;77233272999)</f>
        <v>0</v>
      </c>
      <c r="Q126" s="62" t="n">
        <f aca="false">COUNTIFS(Данные!$B$2:$B$722,76,Данные!$C$2:$C$722,4,Данные!$A$2:$A$722,"&gt;="&amp;77233291100,Данные!$A$2:$A$722,"&lt;="&amp;77233292999)</f>
        <v>0</v>
      </c>
      <c r="R126" s="62" t="n">
        <f aca="false">COUNTIFS(Данные!$B$2:$B$722,76,Данные!$C$2:$C$722,4,Данные!$A$2:$A$722,"&gt;="&amp;77233297000,Данные!$A$2:$A$722,"&lt;="&amp;77233298399)</f>
        <v>0</v>
      </c>
      <c r="S126" s="62" t="n">
        <f aca="false">COUNTIFS(Данные!$B$2:$B$722,76,Данные!$C$2:$C$722,4,Данные!$A$2:$A$722,"&gt;="&amp;77235124000,Данные!$A$2:$A$722,"&lt;="&amp;77235128499)</f>
        <v>0</v>
      </c>
      <c r="T126" s="62" t="n">
        <f aca="false">COUNTIFS(Данные!$B$2:$B$722,76,Данные!$C$2:$C$722,4,Данные!$A$2:$A$722,"&gt;="&amp;77235320000,Данные!$A$2:$A$722,"&lt;="&amp;77235320999)</f>
        <v>0</v>
      </c>
      <c r="U126" s="62" t="n">
        <f aca="false">COUNTIFS(Данные!$B$2:$B$722,76,Данные!$C$2:$C$722,4,Данные!$A$2:$A$722,"&gt;="&amp;77233620000,Данные!$A$2:$A$722,"&lt;="&amp;77233623339)</f>
        <v>0</v>
      </c>
      <c r="V126" s="62" t="n">
        <f aca="false">COUNTIFS(Данные!$B$2:$B$722,76,Данные!$C$2:$C$722,4,Данные!$A$2:$A$722,"&gt;="&amp;77233630000,Данные!$A$2:$A$722,"&lt;="&amp;77233630999)</f>
        <v>0</v>
      </c>
      <c r="W126" s="62" t="n">
        <f aca="false">COUNTIFS(Данные!$B$2:$B$722,76,Данные!$C$2:$C$722,4,Данные!$A$2:$A$722,"&gt;="&amp;77233637000,Данные!$A$2:$A$722,"&lt;="&amp;77233637599)</f>
        <v>0</v>
      </c>
      <c r="X126" s="62" t="n">
        <f aca="false">COUNTIFS(Данные!$B$2:$B$722,76,Данные!$C$2:$C$722,4,Данные!$A$2:$A$722,"&gt;="&amp;77233550000,Данные!$A$2:$A$722,"&lt;="&amp;77233550999)</f>
        <v>0</v>
      </c>
      <c r="Y126" s="62" t="n">
        <f aca="false">COUNTIFS(Данные!$B$2:$B$722,76,Данные!$C$2:$C$722,4,Данные!$A$2:$A$722,"&gt;="&amp;77233554000,Данные!$A$2:$A$722,"&lt;="&amp;77233554999)</f>
        <v>0</v>
      </c>
      <c r="Z126" s="62" t="n">
        <f aca="false">COUNTIFS(Данные!$B$2:$B$722,76,Данные!$C$2:$C$722,4,Данные!$A$2:$A$722,"&gt;="&amp;77233555000,Данные!$A$2:$A$722,"&lt;="&amp;77233556999)</f>
        <v>0</v>
      </c>
      <c r="AA126" s="62" t="n">
        <f aca="false">COUNTIFS(Данные!$B$2:$B$722,76,Данные!$C$2:$C$722,4,Данные!$A$2:$A$722,"&gt;="&amp;77233726000,Данные!$A$2:$A$722,"&lt;="&amp;77233726999)</f>
        <v>0</v>
      </c>
      <c r="AB126" s="62" t="n">
        <f aca="false">COUNTIFS(Данные!$B$2:$B$722,76,Данные!$C$2:$C$722,4,Данные!$A$2:$A$722,"&gt;="&amp;77233820000,Данные!$A$2:$A$722,"&lt;="&amp;77233820999)</f>
        <v>0</v>
      </c>
      <c r="AC126" s="62" t="n">
        <f aca="false">COUNTIFS(Данные!$B$2:$B$722,76,Данные!$C$2:$C$722,4,Данные!$A$2:$A$722,"&gt;="&amp;77233850000,Данные!$A$2:$A$722,"&lt;="&amp;77233850999)</f>
        <v>0</v>
      </c>
      <c r="AD126" s="62" t="n">
        <f aca="false">COUNTIFS(Данные!$B$2:$B$722,76,Данные!$C$2:$C$722,4,Данные!$A$2:$A$722,"&gt;="&amp;77233420000,Данные!$A$2:$A$722,"&lt;="&amp;77233420999)</f>
        <v>0</v>
      </c>
      <c r="AE126" s="62" t="n">
        <f aca="false">COUNTIFS(Данные!$B$2:$B$722,76,Данные!$C$2:$C$722,4,Данные!$A$2:$A$722,"&gt;="&amp;77234740000,Данные!$A$2:$A$722,"&lt;="&amp;77234742999)</f>
        <v>0</v>
      </c>
      <c r="AF126" s="62" t="n">
        <f aca="false">COUNTIFS(Данные!$B$2:$B$722,76,Данные!$C$2:$C$722,4,Данные!$A$2:$A$722,"&gt;="&amp;77234767000,Данные!$A$2:$A$722,"&lt;="&amp;77234767999)</f>
        <v>0</v>
      </c>
      <c r="AG126" s="62" t="n">
        <f aca="false">COUNTIFS(Данные!$B$2:$B$722,76,Данные!$C$2:$C$722,4,Данные!$A$2:$A$722,"&gt;="&amp;77234120000,Данные!$A$2:$A$722,"&lt;="&amp;77234120999)</f>
        <v>0</v>
      </c>
      <c r="AH126" s="62" t="n">
        <f aca="false">COUNTIFS(Данные!$B$2:$B$722,76,Данные!$C$2:$C$722,4,Данные!$A$2:$A$722,"&gt;="&amp;77234127000,Данные!$A$2:$A$722,"&lt;="&amp;77234127999)</f>
        <v>0</v>
      </c>
      <c r="AI126" s="62" t="n">
        <f aca="false">COUNTIFS(Данные!$B$2:$B$722,76,Данные!$C$2:$C$722,4,Данные!$A$2:$A$722,"&gt;="&amp;77234220000,Данные!$A$2:$A$722,"&lt;="&amp;77234220999)</f>
        <v>0</v>
      </c>
      <c r="AJ126" s="62" t="n">
        <f aca="false">COUNTIFS(Данные!$B$2:$B$722,76,Данные!$C$2:$C$722,4,Данные!$A$2:$A$722,"&gt;="&amp;77234250000,Данные!$A$2:$A$722,"&lt;="&amp;77234250999)</f>
        <v>0</v>
      </c>
      <c r="AK126" s="62" t="n">
        <f aca="false">COUNTIFS(Данные!$B$2:$B$722,76,Данные!$C$2:$C$722,4,Данные!$A$2:$A$722,"&gt;="&amp;77233922950,Данные!$A$2:$A$722,"&lt;="&amp;77233924999)</f>
        <v>0</v>
      </c>
      <c r="AL126" s="62" t="n">
        <f aca="false">COUNTIFS(Данные!$B$2:$B$722,76,Данные!$C$2:$C$722,4,Данные!$A$2:$A$722,"&gt;="&amp;77234320000,Данные!$A$2:$A$722,"&lt;="&amp;77234320999)</f>
        <v>0</v>
      </c>
      <c r="AM126" s="62" t="n">
        <f aca="false">COUNTIFS(Данные!$B$2:$B$722,76,Данные!$C$2:$C$722,4,Данные!$A$2:$A$722,"&gt;="&amp;77234350000,Данные!$A$2:$A$722,"&lt;="&amp;77234350999)</f>
        <v>0</v>
      </c>
      <c r="AN126" s="62" t="n">
        <f aca="false">COUNTIFS(Данные!$B$2:$B$722,76,Данные!$C$2:$C$722,4,Данные!$A$2:$A$722,"&gt;="&amp;77234020000,Данные!$A$2:$A$722,"&lt;="&amp;77234020999)</f>
        <v>0</v>
      </c>
      <c r="AO126" s="62" t="n">
        <f aca="false">COUNTIFS(Данные!$B$2:$B$722,76,Данные!$C$2:$C$722,4,Данные!$A$2:$A$722,"&gt;="&amp;77234029000,Данные!$A$2:$A$722,"&lt;="&amp;77234029999)</f>
        <v>0</v>
      </c>
      <c r="AP126" s="62" t="n">
        <f aca="false">COUNTIFS(Данные!$B$2:$B$722,76,Данные!$C$2:$C$722,4,Данные!$A$2:$A$722,"&gt;="&amp;77234050000,Данные!$A$2:$A$722,"&lt;="&amp;77234050999)</f>
        <v>0</v>
      </c>
      <c r="AQ126" s="62" t="n">
        <f aca="false">COUNTIFS(Данные!$B$2:$B$722,76,Данные!$C$2:$C$722,4,Данные!$A$2:$A$722,"&gt;="&amp;77234427000,Данные!$A$2:$A$722,"&lt;="&amp;77234428999)</f>
        <v>0</v>
      </c>
      <c r="AR126" s="62" t="n">
        <f aca="false">COUNTIFS(Данные!$B$2:$B$722,76,Данные!$C$2:$C$722,4,Данные!$A$2:$A$722,"&gt;="&amp;77234450000,Данные!$A$2:$A$722,"&lt;="&amp;77234450999)</f>
        <v>0</v>
      </c>
      <c r="AS126" s="62" t="n">
        <f aca="false">COUNTIFS(Данные!$B$2:$B$722,76,Данные!$C$2:$C$722,4,Данные!$A$2:$A$722,"&gt;="&amp;77234620000,Данные!$A$2:$A$722,"&lt;="&amp;77234620999)</f>
        <v>0</v>
      </c>
      <c r="AT126" s="62" t="n">
        <f aca="false">COUNTIFS(Данные!$B$2:$B$722,76,Данные!$C$2:$C$722,4,Данные!$A$2:$A$722,"&gt;="&amp;77234650000,Данные!$A$2:$A$722,"&lt;="&amp;77234650999)</f>
        <v>0</v>
      </c>
      <c r="AU126" s="62" t="n">
        <f aca="false">COUNTIFS(Данные!$B$2:$B$722,76,Данные!$C$2:$C$722,4,Данные!$A$2:$A$722,"&gt;="&amp;77234820000,Данные!$A$2:$A$722,"&lt;="&amp;77234820999)</f>
        <v>0</v>
      </c>
      <c r="AV126" s="62" t="n">
        <f aca="false">COUNTIFS(Данные!$B$2:$B$722,76,Данные!$C$2:$C$722,4,Данные!$A$2:$A$722,"&gt;="&amp;77234850000,Данные!$A$2:$A$722,"&lt;="&amp;77234850999)</f>
        <v>0</v>
      </c>
      <c r="AW126" s="62" t="n">
        <f aca="false">COUNTIFS(Данные!$B$2:$B$722,76,Данные!$C$2:$C$722,4,Данные!$A$2:$A$722,"&gt;="&amp;77233327000,Данные!$A$2:$A$722,"&lt;="&amp;77233327999)</f>
        <v>0</v>
      </c>
      <c r="AX126" s="62" t="n">
        <f aca="false">COUNTIFS(Данные!$B$2:$B$722,76,Данные!$C$2:$C$722,4,Данные!$A$2:$A$722,"&gt;="&amp;77233350000,Данные!$A$2:$A$722,"&lt;="&amp;77233350599)</f>
        <v>0</v>
      </c>
      <c r="AY126" s="62" t="n">
        <f aca="false">COUNTIFS(Данные!$B$2:$B$722,76,Данные!$C$2:$C$722,4,Данные!$A$2:$A$722,"&gt;="&amp;77233351000,Данные!$A$2:$A$722,"&lt;="&amp;77233351999)</f>
        <v>0</v>
      </c>
      <c r="AZ126" s="63" t="n">
        <f aca="false">COUNTIFS(Данные!$B$2:$B$722,76,Данные!$C$2:$C$722,4,Данные!$A$2:$A$722,"&gt;="&amp;7722440000,Данные!$A$2:$A$722,"&lt;="&amp;7722440999)</f>
        <v>0</v>
      </c>
      <c r="BA126" s="63" t="n">
        <f aca="false">COUNTIFS(Данные!$B$2:$B$722,76,Данные!$C$2:$C$722,4,Данные!$A$2:$A$722,"&gt;="&amp;7722442000,Данные!$A$2:$A$722,"&lt;="&amp;7722445659)</f>
        <v>0</v>
      </c>
      <c r="BB126" s="63" t="n">
        <f aca="false">COUNTIFS(Данные!$B$2:$B$722,76,Данные!$C$2:$C$722,4,Данные!$A$2:$A$722,"&gt;="&amp;7722450000,Данные!$A$2:$A$722,"&lt;="&amp;7722450199)</f>
        <v>0</v>
      </c>
      <c r="BC126" s="63" t="n">
        <f aca="false">COUNTIFS(Данные!$B$2:$B$722,76,Данные!$C$2:$C$722,4,Данные!$A$2:$A$722,"&gt;="&amp;7722451000,Данные!$A$2:$A$722,"&lt;="&amp;7722451374)</f>
        <v>0</v>
      </c>
      <c r="BD126" s="63" t="n">
        <f aca="false">COUNTIFS(Данные!$B$2:$B$722,76,Данные!$C$2:$C$722,4,Данные!$A$2:$A$722,"&gt;="&amp;7722452000,Данные!$A$2:$A$722,"&lt;="&amp;7722452299)</f>
        <v>0</v>
      </c>
      <c r="BE126" s="63" t="n">
        <f aca="false">COUNTIFS(Данные!$B$2:$B$722,76,Данные!$C$2:$C$722,4,Данные!$A$2:$A$722,"&gt;="&amp;7722453000,Данные!$A$2:$A$722,"&lt;="&amp;7722453816)</f>
        <v>0</v>
      </c>
      <c r="BF126" s="63" t="n">
        <f aca="false">COUNTIFS(Данные!$B$2:$B$722,76,Данные!$C$2:$C$722,4,Данные!$A$2:$A$722,"&gt;="&amp;7722454000,Данные!$A$2:$A$722,"&lt;="&amp;7722454099)</f>
        <v>0</v>
      </c>
      <c r="BG126" s="63" t="n">
        <f aca="false">COUNTIFS(Данные!$B$2:$B$722,76,Данные!$C$2:$C$722,4,Данные!$A$2:$A$722,"&gt;="&amp;7722458000,Данные!$A$2:$A$722,"&lt;="&amp;7722458999)</f>
        <v>0</v>
      </c>
      <c r="BH126" s="63" t="n">
        <f aca="false">COUNTIFS(Данные!$B$2:$B$722,76,Данные!$C$2:$C$722,4,Данные!$A$2:$A$722,"&gt;="&amp;7722630000,Данные!$A$2:$A$722,"&lt;="&amp;7722638549)</f>
        <v>0</v>
      </c>
      <c r="BI126" s="63" t="n">
        <f aca="false">COUNTIFS(Данные!$B$2:$B$722,76,Данные!$C$2:$C$722,4,Данные!$A$2:$A$722,"&gt;="&amp;7722639400,Данные!$A$2:$A$722,"&lt;="&amp;7722639899)</f>
        <v>0</v>
      </c>
      <c r="BJ126" s="63" t="n">
        <f aca="false">COUNTIFS(Данные!$B$2:$B$722,76,Данные!$C$2:$C$722,4,Данные!$A$2:$A$722,"&gt;="&amp;7725750000,Данные!$A$2:$A$722,"&lt;="&amp;7725750399)</f>
        <v>0</v>
      </c>
      <c r="BK126" s="63" t="n">
        <f aca="false">COUNTIFS(Данные!$B$2:$B$722,76,Данные!$C$2:$C$722,4,Данные!$A$2:$A$722,"&gt;="&amp;7723620000,Данные!$A$2:$A$722,"&lt;="&amp;7723621299)</f>
        <v>0</v>
      </c>
      <c r="BL126" s="63" t="n">
        <f aca="false">COUNTIFS(Данные!$B$2:$B$722,76,Данные!$C$2:$C$722,4,Данные!$A$2:$A$722,"&gt;="&amp;7723621600,Данные!$A$2:$A$722,"&lt;="&amp;7723623399)</f>
        <v>0</v>
      </c>
      <c r="BM126" s="63" t="n">
        <f aca="false">COUNTIFS(Данные!$B$2:$B$722,76,Данные!$C$2:$C$722,4,Данные!$A$2:$A$722,"&gt;="&amp;7725127000,Данные!$A$2:$A$722,"&lt;="&amp;7725127999)</f>
        <v>0</v>
      </c>
      <c r="BN126" s="63" t="n">
        <f aca="false">COUNTIFS(Данные!$B$2:$B$722,76,Данные!$C$2:$C$722,4,Данные!$A$2:$A$722,"&gt;="&amp;7723772000,Данные!$A$2:$A$722,"&lt;="&amp;7723724999)</f>
        <v>0</v>
      </c>
      <c r="BO126" s="62" t="n">
        <f aca="false">COUNTIFS(Данные!$B$2:$B$722,76,Данные!$C$2:$C$722,4,Данные!$A$2:$A$722,"&gt;="&amp;7723765000,Данные!$A$2:$A$722,"&lt;="&amp;7723765499)</f>
        <v>0</v>
      </c>
      <c r="BP126" s="63" t="n">
        <f aca="false">COUNTIFS(Данные!$B$2:$B$722,76,Данные!$C$2:$C$722,4,Данные!$A$2:$A$722,"&gt;="&amp;7723948000,Данные!$A$2:$A$722,"&lt;="&amp;7723948999)</f>
        <v>0</v>
      </c>
      <c r="BQ126" s="63" t="n">
        <f aca="false">COUNTIFS(Данные!$B$2:$B$722,76,Данные!$C$2:$C$722,4,Данные!$A$2:$A$722,"&gt;="&amp;7723950000,Данные!$A$2:$A$722,"&lt;="&amp;7723951099)</f>
        <v>0</v>
      </c>
      <c r="BR126" s="63" t="n">
        <f aca="false">COUNTIFS(Данные!$B$2:$B$722,76,Данные!$C$2:$C$722,4,Данные!$A$2:$A$722,"&gt;="&amp;7723020000,Данные!$A$2:$A$722,"&lt;="&amp;7723020999)</f>
        <v>0</v>
      </c>
      <c r="BS126" s="63" t="n">
        <f aca="false">COUNTIFS(Данные!$B$2:$B$722,76,Данные!$C$2:$C$722,4,Данные!$A$2:$A$722,"&gt;="&amp;7723029000,Данные!$A$2:$A$722,"&lt;="&amp;7723029999)</f>
        <v>0</v>
      </c>
      <c r="BT126" s="63" t="n">
        <f aca="false">COUNTIFS(Данные!$B$2:$B$722,76,Данные!$C$2:$C$722,4,Данные!$A$2:$A$722,"&gt;="&amp;7723055000,Данные!$A$2:$A$722,"&lt;="&amp;7723056549)</f>
        <v>0</v>
      </c>
      <c r="BU126" s="62" t="n">
        <f aca="false">COUNTIFS(Данные!$B$2:$B$722,76,Данные!$C$2:$C$722,4,Данные!$A$2:$A$722,"&gt;="&amp;7725250000,Данные!$A$2:$A$722,"&lt;="&amp;7725250499)</f>
        <v>0</v>
      </c>
      <c r="BV126" s="63" t="n">
        <f aca="false">COUNTIFS(Данные!$B$2:$B$722,76,Данные!$C$2:$C$722,4,Данные!$A$2:$A$722,"&gt;="&amp;7183841400,Данные!$A$2:$A$722,"&lt;="&amp;7183841499)</f>
        <v>0</v>
      </c>
      <c r="BW126" s="40" t="n">
        <v>300</v>
      </c>
      <c r="BX126" s="64" t="n">
        <f aca="false">F126-BW126</f>
        <v>-300</v>
      </c>
    </row>
    <row r="127" s="15" customFormat="true" ht="12" hidden="false" customHeight="true" outlineLevel="0" collapsed="false">
      <c r="A127" s="38"/>
      <c r="B127" s="39"/>
      <c r="C127" s="41" t="n">
        <v>5</v>
      </c>
      <c r="D127" s="41" t="n">
        <v>762</v>
      </c>
      <c r="E127" s="42"/>
      <c r="F127" s="62" t="n">
        <f aca="false">COUNTIFS(Данные!$B$2:$B$722,76,Данные!$C$2:$C$722,5)</f>
        <v>0</v>
      </c>
      <c r="G127" s="62" t="n">
        <f aca="false">COUNTIFS(Данные!$B$2:$B$722,76,Данные!$C$2:$C$722,5,Данные!$A$2:$A$722,"&gt;="&amp;77232210840,Данные!$A$2:$A$722,"&lt;="&amp;77232216999)</f>
        <v>0</v>
      </c>
      <c r="H127" s="62" t="n">
        <f aca="false">COUNTIFS(Данные!$B$2:$B$722,76,Данные!$C$2:$C$722,5,Данные!$A$2:$A$722,"&gt;="&amp;77232510512,Данные!$A$2:$A$722,"&lt;="&amp;77232519487)</f>
        <v>0</v>
      </c>
      <c r="I127" s="62" t="n">
        <f aca="false">COUNTIFS(Данные!$B$2:$B$722,76,Данные!$C$2:$C$722,5,Данные!$A$2:$A$722,"&gt;="&amp;77232524160,Данные!$A$2:$A$722,"&lt;="&amp;77232529999)</f>
        <v>0</v>
      </c>
      <c r="J127" s="62" t="n">
        <f aca="false">COUNTIFS(Данные!$B$2:$B$722,76,Данные!$C$2:$C$722,5,Данные!$A$2:$A$722,"&gt;="&amp;77232544000,Данные!$A$2:$A$722,"&lt;="&amp;77232544999)</f>
        <v>0</v>
      </c>
      <c r="K127" s="62" t="n">
        <f aca="false">COUNTIFS(Данные!$B$2:$B$722,76,Данные!$C$2:$C$722,5,Данные!$A$2:$A$722,"&gt;="&amp;77232295504,Данные!$A$2:$A$722,"&lt;="&amp;77232296999)</f>
        <v>0</v>
      </c>
      <c r="L127" s="62" t="n">
        <f aca="false">COUNTIFS(Данные!$B$2:$B$722,76,Данные!$C$2:$C$722,5,Данные!$A$2:$A$722,"&gt;="&amp;77232785000,Данные!$A$2:$A$722,"&lt;="&amp;77232789999)</f>
        <v>0</v>
      </c>
      <c r="M127" s="62" t="n">
        <f aca="false">COUNTIFS(Данные!$B$2:$B$722,76,Данные!$C$2:$C$722,5,Данные!$A$2:$A$722,"&gt;="&amp;77233150000,Данные!$A$2:$A$722,"&lt;="&amp;77233155999)</f>
        <v>0</v>
      </c>
      <c r="N127" s="62" t="n">
        <f aca="false">COUNTIFS(Данные!$B$2:$B$722,76,Данные!$C$2:$C$722,5,Данные!$A$2:$A$722,"&gt;="&amp;77233235000,Данные!$A$2:$A$722,"&lt;="&amp;77233235999)</f>
        <v>0</v>
      </c>
      <c r="O127" s="62" t="n">
        <f aca="false">COUNTIFS(Данные!$B$2:$B$722,76,Данные!$C$2:$C$722,5,Данные!$A$2:$A$722,"&gt;="&amp;77233239000,Данные!$A$2:$A$722,"&lt;="&amp;77233239999)</f>
        <v>0</v>
      </c>
      <c r="P127" s="62" t="n">
        <f aca="false">COUNTIFS(Данные!$B$2:$B$722,76,Данные!$C$2:$C$722,5,Данные!$A$2:$A$722,"&gt;="&amp;77233272000,Данные!$A$2:$A$722,"&lt;="&amp;77233272999)</f>
        <v>0</v>
      </c>
      <c r="Q127" s="62" t="n">
        <f aca="false">COUNTIFS(Данные!$B$2:$B$722,76,Данные!$C$2:$C$722,5,Данные!$A$2:$A$722,"&gt;="&amp;77233291100,Данные!$A$2:$A$722,"&lt;="&amp;77233292999)</f>
        <v>0</v>
      </c>
      <c r="R127" s="62" t="n">
        <f aca="false">COUNTIFS(Данные!$B$2:$B$722,76,Данные!$C$2:$C$722,5,Данные!$A$2:$A$722,"&gt;="&amp;77233297000,Данные!$A$2:$A$722,"&lt;="&amp;77233298399)</f>
        <v>0</v>
      </c>
      <c r="S127" s="62" t="n">
        <f aca="false">COUNTIFS(Данные!$B$2:$B$722,76,Данные!$C$2:$C$722,5,Данные!$A$2:$A$722,"&gt;="&amp;77235124000,Данные!$A$2:$A$722,"&lt;="&amp;77235128499)</f>
        <v>0</v>
      </c>
      <c r="T127" s="62" t="n">
        <f aca="false">COUNTIFS(Данные!$B$2:$B$722,76,Данные!$C$2:$C$722,5,Данные!$A$2:$A$722,"&gt;="&amp;77235320000,Данные!$A$2:$A$722,"&lt;="&amp;77235320999)</f>
        <v>0</v>
      </c>
      <c r="U127" s="62" t="n">
        <f aca="false">COUNTIFS(Данные!$B$2:$B$722,76,Данные!$C$2:$C$722,5,Данные!$A$2:$A$722,"&gt;="&amp;77233620000,Данные!$A$2:$A$722,"&lt;="&amp;77233623339)</f>
        <v>0</v>
      </c>
      <c r="V127" s="62" t="n">
        <f aca="false">COUNTIFS(Данные!$B$2:$B$722,76,Данные!$C$2:$C$722,5,Данные!$A$2:$A$722,"&gt;="&amp;77233630000,Данные!$A$2:$A$722,"&lt;="&amp;77233630999)</f>
        <v>0</v>
      </c>
      <c r="W127" s="62" t="n">
        <f aca="false">COUNTIFS(Данные!$B$2:$B$722,76,Данные!$C$2:$C$722,5,Данные!$A$2:$A$722,"&gt;="&amp;77233637000,Данные!$A$2:$A$722,"&lt;="&amp;77233637599)</f>
        <v>0</v>
      </c>
      <c r="X127" s="62" t="n">
        <f aca="false">COUNTIFS(Данные!$B$2:$B$722,76,Данные!$C$2:$C$722,5,Данные!$A$2:$A$722,"&gt;="&amp;77233550000,Данные!$A$2:$A$722,"&lt;="&amp;77233550999)</f>
        <v>0</v>
      </c>
      <c r="Y127" s="62" t="n">
        <f aca="false">COUNTIFS(Данные!$B$2:$B$722,76,Данные!$C$2:$C$722,5,Данные!$A$2:$A$722,"&gt;="&amp;77233554000,Данные!$A$2:$A$722,"&lt;="&amp;77233554999)</f>
        <v>0</v>
      </c>
      <c r="Z127" s="62" t="n">
        <f aca="false">COUNTIFS(Данные!$B$2:$B$722,76,Данные!$C$2:$C$722,5,Данные!$A$2:$A$722,"&gt;="&amp;77233555000,Данные!$A$2:$A$722,"&lt;="&amp;77233556999)</f>
        <v>0</v>
      </c>
      <c r="AA127" s="62" t="n">
        <f aca="false">COUNTIFS(Данные!$B$2:$B$722,76,Данные!$C$2:$C$722,5,Данные!$A$2:$A$722,"&gt;="&amp;77233726000,Данные!$A$2:$A$722,"&lt;="&amp;77233726999)</f>
        <v>0</v>
      </c>
      <c r="AB127" s="62" t="n">
        <f aca="false">COUNTIFS(Данные!$B$2:$B$722,76,Данные!$C$2:$C$722,5,Данные!$A$2:$A$722,"&gt;="&amp;77233820000,Данные!$A$2:$A$722,"&lt;="&amp;77233820999)</f>
        <v>0</v>
      </c>
      <c r="AC127" s="62" t="n">
        <f aca="false">COUNTIFS(Данные!$B$2:$B$722,76,Данные!$C$2:$C$722,5,Данные!$A$2:$A$722,"&gt;="&amp;77233850000,Данные!$A$2:$A$722,"&lt;="&amp;77233850999)</f>
        <v>0</v>
      </c>
      <c r="AD127" s="62" t="n">
        <f aca="false">COUNTIFS(Данные!$B$2:$B$722,76,Данные!$C$2:$C$722,5,Данные!$A$2:$A$722,"&gt;="&amp;77233420000,Данные!$A$2:$A$722,"&lt;="&amp;77233420999)</f>
        <v>0</v>
      </c>
      <c r="AE127" s="62" t="n">
        <f aca="false">COUNTIFS(Данные!$B$2:$B$722,76,Данные!$C$2:$C$722,5,Данные!$A$2:$A$722,"&gt;="&amp;77234740000,Данные!$A$2:$A$722,"&lt;="&amp;77234742999)</f>
        <v>0</v>
      </c>
      <c r="AF127" s="62" t="n">
        <f aca="false">COUNTIFS(Данные!$B$2:$B$722,76,Данные!$C$2:$C$722,5,Данные!$A$2:$A$722,"&gt;="&amp;77234767000,Данные!$A$2:$A$722,"&lt;="&amp;77234767999)</f>
        <v>0</v>
      </c>
      <c r="AG127" s="62" t="n">
        <f aca="false">COUNTIFS(Данные!$B$2:$B$722,76,Данные!$C$2:$C$722,5,Данные!$A$2:$A$722,"&gt;="&amp;77234120000,Данные!$A$2:$A$722,"&lt;="&amp;77234120999)</f>
        <v>0</v>
      </c>
      <c r="AH127" s="62" t="n">
        <f aca="false">COUNTIFS(Данные!$B$2:$B$722,76,Данные!$C$2:$C$722,5,Данные!$A$2:$A$722,"&gt;="&amp;77234127000,Данные!$A$2:$A$722,"&lt;="&amp;77234127999)</f>
        <v>0</v>
      </c>
      <c r="AI127" s="62" t="n">
        <f aca="false">COUNTIFS(Данные!$B$2:$B$722,76,Данные!$C$2:$C$722,5,Данные!$A$2:$A$722,"&gt;="&amp;77234220000,Данные!$A$2:$A$722,"&lt;="&amp;77234220999)</f>
        <v>0</v>
      </c>
      <c r="AJ127" s="62" t="n">
        <f aca="false">COUNTIFS(Данные!$B$2:$B$722,76,Данные!$C$2:$C$722,5,Данные!$A$2:$A$722,"&gt;="&amp;77234250000,Данные!$A$2:$A$722,"&lt;="&amp;77234250999)</f>
        <v>0</v>
      </c>
      <c r="AK127" s="62" t="n">
        <f aca="false">COUNTIFS(Данные!$B$2:$B$722,76,Данные!$C$2:$C$722,5,Данные!$A$2:$A$722,"&gt;="&amp;77233922950,Данные!$A$2:$A$722,"&lt;="&amp;77233924999)</f>
        <v>0</v>
      </c>
      <c r="AL127" s="62" t="n">
        <f aca="false">COUNTIFS(Данные!$B$2:$B$722,76,Данные!$C$2:$C$722,5,Данные!$A$2:$A$722,"&gt;="&amp;77234320000,Данные!$A$2:$A$722,"&lt;="&amp;77234320999)</f>
        <v>0</v>
      </c>
      <c r="AM127" s="62" t="n">
        <f aca="false">COUNTIFS(Данные!$B$2:$B$722,76,Данные!$C$2:$C$722,5,Данные!$A$2:$A$722,"&gt;="&amp;77234350000,Данные!$A$2:$A$722,"&lt;="&amp;77234350999)</f>
        <v>0</v>
      </c>
      <c r="AN127" s="62" t="n">
        <f aca="false">COUNTIFS(Данные!$B$2:$B$722,76,Данные!$C$2:$C$722,5,Данные!$A$2:$A$722,"&gt;="&amp;77234020000,Данные!$A$2:$A$722,"&lt;="&amp;77234020999)</f>
        <v>0</v>
      </c>
      <c r="AO127" s="62" t="n">
        <f aca="false">COUNTIFS(Данные!$B$2:$B$722,76,Данные!$C$2:$C$722,5,Данные!$A$2:$A$722,"&gt;="&amp;77234029000,Данные!$A$2:$A$722,"&lt;="&amp;77234029999)</f>
        <v>0</v>
      </c>
      <c r="AP127" s="62" t="n">
        <f aca="false">COUNTIFS(Данные!$B$2:$B$722,76,Данные!$C$2:$C$722,5,Данные!$A$2:$A$722,"&gt;="&amp;77234050000,Данные!$A$2:$A$722,"&lt;="&amp;77234050999)</f>
        <v>0</v>
      </c>
      <c r="AQ127" s="62" t="n">
        <f aca="false">COUNTIFS(Данные!$B$2:$B$722,76,Данные!$C$2:$C$722,5,Данные!$A$2:$A$722,"&gt;="&amp;77234427000,Данные!$A$2:$A$722,"&lt;="&amp;77234428999)</f>
        <v>0</v>
      </c>
      <c r="AR127" s="62" t="n">
        <f aca="false">COUNTIFS(Данные!$B$2:$B$722,76,Данные!$C$2:$C$722,5,Данные!$A$2:$A$722,"&gt;="&amp;77234450000,Данные!$A$2:$A$722,"&lt;="&amp;77234450999)</f>
        <v>0</v>
      </c>
      <c r="AS127" s="62" t="n">
        <f aca="false">COUNTIFS(Данные!$B$2:$B$722,76,Данные!$C$2:$C$722,5,Данные!$A$2:$A$722,"&gt;="&amp;77234620000,Данные!$A$2:$A$722,"&lt;="&amp;77234620999)</f>
        <v>0</v>
      </c>
      <c r="AT127" s="62" t="n">
        <f aca="false">COUNTIFS(Данные!$B$2:$B$722,76,Данные!$C$2:$C$722,5,Данные!$A$2:$A$722,"&gt;="&amp;77234650000,Данные!$A$2:$A$722,"&lt;="&amp;77234650999)</f>
        <v>0</v>
      </c>
      <c r="AU127" s="62" t="n">
        <f aca="false">COUNTIFS(Данные!$B$2:$B$722,76,Данные!$C$2:$C$722,5,Данные!$A$2:$A$722,"&gt;="&amp;77234820000,Данные!$A$2:$A$722,"&lt;="&amp;77234820999)</f>
        <v>0</v>
      </c>
      <c r="AV127" s="62" t="n">
        <f aca="false">COUNTIFS(Данные!$B$2:$B$722,76,Данные!$C$2:$C$722,5,Данные!$A$2:$A$722,"&gt;="&amp;77234850000,Данные!$A$2:$A$722,"&lt;="&amp;77234850999)</f>
        <v>0</v>
      </c>
      <c r="AW127" s="62" t="n">
        <f aca="false">COUNTIFS(Данные!$B$2:$B$722,76,Данные!$C$2:$C$722,5,Данные!$A$2:$A$722,"&gt;="&amp;77233327000,Данные!$A$2:$A$722,"&lt;="&amp;77233327999)</f>
        <v>0</v>
      </c>
      <c r="AX127" s="62" t="n">
        <f aca="false">COUNTIFS(Данные!$B$2:$B$722,76,Данные!$C$2:$C$722,5,Данные!$A$2:$A$722,"&gt;="&amp;77233350000,Данные!$A$2:$A$722,"&lt;="&amp;77233350599)</f>
        <v>0</v>
      </c>
      <c r="AY127" s="62" t="n">
        <f aca="false">COUNTIFS(Данные!$B$2:$B$722,76,Данные!$C$2:$C$722,5,Данные!$A$2:$A$722,"&gt;="&amp;77233351000,Данные!$A$2:$A$722,"&lt;="&amp;77233351999)</f>
        <v>0</v>
      </c>
      <c r="AZ127" s="63" t="n">
        <f aca="false">COUNTIFS(Данные!$B$2:$B$722,76,Данные!$C$2:$C$722,5,Данные!$A$2:$A$722,"&gt;="&amp;7722440000,Данные!$A$2:$A$722,"&lt;="&amp;7722440999)</f>
        <v>0</v>
      </c>
      <c r="BA127" s="63" t="n">
        <f aca="false">COUNTIFS(Данные!$B$2:$B$722,76,Данные!$C$2:$C$722,5,Данные!$A$2:$A$722,"&gt;="&amp;7722442000,Данные!$A$2:$A$722,"&lt;="&amp;7722445659)</f>
        <v>0</v>
      </c>
      <c r="BB127" s="63" t="n">
        <f aca="false">COUNTIFS(Данные!$B$2:$B$722,76,Данные!$C$2:$C$722,5,Данные!$A$2:$A$722,"&gt;="&amp;7722450000,Данные!$A$2:$A$722,"&lt;="&amp;7722450199)</f>
        <v>0</v>
      </c>
      <c r="BC127" s="63" t="n">
        <f aca="false">COUNTIFS(Данные!$B$2:$B$722,76,Данные!$C$2:$C$722,5,Данные!$A$2:$A$722,"&gt;="&amp;7722451000,Данные!$A$2:$A$722,"&lt;="&amp;7722451374)</f>
        <v>0</v>
      </c>
      <c r="BD127" s="63" t="n">
        <f aca="false">COUNTIFS(Данные!$B$2:$B$722,76,Данные!$C$2:$C$722,5,Данные!$A$2:$A$722,"&gt;="&amp;7722452000,Данные!$A$2:$A$722,"&lt;="&amp;7722452299)</f>
        <v>0</v>
      </c>
      <c r="BE127" s="63" t="n">
        <f aca="false">COUNTIFS(Данные!$B$2:$B$722,76,Данные!$C$2:$C$722,5,Данные!$A$2:$A$722,"&gt;="&amp;7722453000,Данные!$A$2:$A$722,"&lt;="&amp;7722453816)</f>
        <v>0</v>
      </c>
      <c r="BF127" s="63" t="n">
        <f aca="false">COUNTIFS(Данные!$B$2:$B$722,76,Данные!$C$2:$C$722,5,Данные!$A$2:$A$722,"&gt;="&amp;7722454000,Данные!$A$2:$A$722,"&lt;="&amp;7722454099)</f>
        <v>0</v>
      </c>
      <c r="BG127" s="63" t="n">
        <f aca="false">COUNTIFS(Данные!$B$2:$B$722,76,Данные!$C$2:$C$722,5,Данные!$A$2:$A$722,"&gt;="&amp;7722458000,Данные!$A$2:$A$722,"&lt;="&amp;7722458999)</f>
        <v>0</v>
      </c>
      <c r="BH127" s="63" t="n">
        <f aca="false">COUNTIFS(Данные!$B$2:$B$722,76,Данные!$C$2:$C$722,5,Данные!$A$2:$A$722,"&gt;="&amp;7722630000,Данные!$A$2:$A$722,"&lt;="&amp;7722638549)</f>
        <v>0</v>
      </c>
      <c r="BI127" s="63" t="n">
        <f aca="false">COUNTIFS(Данные!$B$2:$B$722,76,Данные!$C$2:$C$722,5,Данные!$A$2:$A$722,"&gt;="&amp;7722639400,Данные!$A$2:$A$722,"&lt;="&amp;7722639899)</f>
        <v>0</v>
      </c>
      <c r="BJ127" s="63" t="n">
        <f aca="false">COUNTIFS(Данные!$B$2:$B$722,76,Данные!$C$2:$C$722,5,Данные!$A$2:$A$722,"&gt;="&amp;7725750000,Данные!$A$2:$A$722,"&lt;="&amp;7725750399)</f>
        <v>0</v>
      </c>
      <c r="BK127" s="63" t="n">
        <f aca="false">COUNTIFS(Данные!$B$2:$B$722,76,Данные!$C$2:$C$722,5,Данные!$A$2:$A$722,"&gt;="&amp;7723620000,Данные!$A$2:$A$722,"&lt;="&amp;7723621299)</f>
        <v>0</v>
      </c>
      <c r="BL127" s="63" t="n">
        <f aca="false">COUNTIFS(Данные!$B$2:$B$722,76,Данные!$C$2:$C$722,5,Данные!$A$2:$A$722,"&gt;="&amp;7723621600,Данные!$A$2:$A$722,"&lt;="&amp;7723623399)</f>
        <v>0</v>
      </c>
      <c r="BM127" s="63" t="n">
        <f aca="false">COUNTIFS(Данные!$B$2:$B$722,76,Данные!$C$2:$C$722,5,Данные!$A$2:$A$722,"&gt;="&amp;7725127000,Данные!$A$2:$A$722,"&lt;="&amp;7725127999)</f>
        <v>0</v>
      </c>
      <c r="BN127" s="63" t="n">
        <f aca="false">COUNTIFS(Данные!$B$2:$B$722,76,Данные!$C$2:$C$722,5,Данные!$A$2:$A$722,"&gt;="&amp;7723772000,Данные!$A$2:$A$722,"&lt;="&amp;7723724999)</f>
        <v>0</v>
      </c>
      <c r="BO127" s="62" t="n">
        <f aca="false">COUNTIFS(Данные!$B$2:$B$722,76,Данные!$C$2:$C$722,5,Данные!$A$2:$A$722,"&gt;="&amp;7723765000,Данные!$A$2:$A$722,"&lt;="&amp;7723765499)</f>
        <v>0</v>
      </c>
      <c r="BP127" s="63" t="n">
        <f aca="false">COUNTIFS(Данные!$B$2:$B$722,76,Данные!$C$2:$C$722,5,Данные!$A$2:$A$722,"&gt;="&amp;7723948000,Данные!$A$2:$A$722,"&lt;="&amp;7723948999)</f>
        <v>0</v>
      </c>
      <c r="BQ127" s="63" t="n">
        <f aca="false">COUNTIFS(Данные!$B$2:$B$722,76,Данные!$C$2:$C$722,5,Данные!$A$2:$A$722,"&gt;="&amp;7723950000,Данные!$A$2:$A$722,"&lt;="&amp;7723951099)</f>
        <v>0</v>
      </c>
      <c r="BR127" s="63" t="n">
        <f aca="false">COUNTIFS(Данные!$B$2:$B$722,76,Данные!$C$2:$C$722,5,Данные!$A$2:$A$722,"&gt;="&amp;7723020000,Данные!$A$2:$A$722,"&lt;="&amp;7723020999)</f>
        <v>0</v>
      </c>
      <c r="BS127" s="63" t="n">
        <f aca="false">COUNTIFS(Данные!$B$2:$B$722,76,Данные!$C$2:$C$722,5,Данные!$A$2:$A$722,"&gt;="&amp;7723029000,Данные!$A$2:$A$722,"&lt;="&amp;7723029999)</f>
        <v>0</v>
      </c>
      <c r="BT127" s="63" t="n">
        <f aca="false">COUNTIFS(Данные!$B$2:$B$722,76,Данные!$C$2:$C$722,5,Данные!$A$2:$A$722,"&gt;="&amp;7723055000,Данные!$A$2:$A$722,"&lt;="&amp;7723056549)</f>
        <v>0</v>
      </c>
      <c r="BU127" s="62" t="n">
        <f aca="false">COUNTIFS(Данные!$B$2:$B$722,76,Данные!$C$2:$C$722,5,Данные!$A$2:$A$722,"&gt;="&amp;7725250000,Данные!$A$2:$A$722,"&lt;="&amp;7725250499)</f>
        <v>0</v>
      </c>
      <c r="BV127" s="63" t="n">
        <f aca="false">COUNTIFS(Данные!$B$2:$B$722,76,Данные!$C$2:$C$722,5,Данные!$A$2:$A$722,"&gt;="&amp;7183841400,Данные!$A$2:$A$722,"&lt;="&amp;7183841499)</f>
        <v>0</v>
      </c>
      <c r="BW127" s="40" t="n">
        <v>300</v>
      </c>
      <c r="BX127" s="64" t="n">
        <f aca="false">F127-BW127</f>
        <v>-300</v>
      </c>
    </row>
    <row r="128" s="15" customFormat="true" ht="12" hidden="false" customHeight="true" outlineLevel="0" collapsed="false">
      <c r="A128" s="47" t="n">
        <v>77</v>
      </c>
      <c r="B128" s="48" t="s">
        <v>102</v>
      </c>
      <c r="C128" s="50" t="n">
        <v>0</v>
      </c>
      <c r="D128" s="50" t="n">
        <v>770</v>
      </c>
      <c r="E128" s="51" t="n">
        <f aca="false">SUM(F128:F130)</f>
        <v>1</v>
      </c>
      <c r="F128" s="65" t="n">
        <f aca="false">COUNTIFS(Данные!$B$2:$B$722,77,Данные!$C$2:$C$722,0)</f>
        <v>0</v>
      </c>
      <c r="G128" s="65" t="n">
        <f aca="false">COUNTIFS(Данные!$B$2:$B$722,77,Данные!$C$2:$C$722,0,Данные!$A$2:$A$722,"&gt;="&amp;77232210840,Данные!$A$2:$A$722,"&lt;="&amp;77232216999)</f>
        <v>0</v>
      </c>
      <c r="H128" s="65" t="n">
        <f aca="false">COUNTIFS(Данные!$B$2:$B$722,77,Данные!$C$2:$C$722,0,Данные!$A$2:$A$722,"&gt;="&amp;77232510512,Данные!$A$2:$A$722,"&lt;="&amp;77232519487)</f>
        <v>0</v>
      </c>
      <c r="I128" s="65" t="n">
        <f aca="false">COUNTIFS(Данные!$B$2:$B$722,77,Данные!$C$2:$C$722,0,Данные!$A$2:$A$722,"&gt;="&amp;77232524160,Данные!$A$2:$A$722,"&lt;="&amp;77232529999)</f>
        <v>0</v>
      </c>
      <c r="J128" s="65" t="n">
        <f aca="false">COUNTIFS(Данные!$B$2:$B$722,77,Данные!$C$2:$C$722,0,Данные!$A$2:$A$722,"&gt;="&amp;77232544000,Данные!$A$2:$A$722,"&lt;="&amp;77232544999)</f>
        <v>0</v>
      </c>
      <c r="K128" s="65" t="n">
        <f aca="false">COUNTIFS(Данные!$B$2:$B$722,77,Данные!$C$2:$C$722,0,Данные!$A$2:$A$722,"&gt;="&amp;77232295504,Данные!$A$2:$A$722,"&lt;="&amp;77232296999)</f>
        <v>0</v>
      </c>
      <c r="L128" s="65" t="n">
        <f aca="false">COUNTIFS(Данные!$B$2:$B$722,77,Данные!$C$2:$C$722,0,Данные!$A$2:$A$722,"&gt;="&amp;77232785000,Данные!$A$2:$A$722,"&lt;="&amp;77232789999)</f>
        <v>0</v>
      </c>
      <c r="M128" s="65" t="n">
        <f aca="false">COUNTIFS(Данные!$B$2:$B$722,77,Данные!$C$2:$C$722,0,Данные!$A$2:$A$722,"&gt;="&amp;77233150000,Данные!$A$2:$A$722,"&lt;="&amp;77233155999)</f>
        <v>0</v>
      </c>
      <c r="N128" s="65" t="n">
        <f aca="false">COUNTIFS(Данные!$B$2:$B$722,77,Данные!$C$2:$C$722,0,Данные!$A$2:$A$722,"&gt;="&amp;77233235000,Данные!$A$2:$A$722,"&lt;="&amp;77233235999)</f>
        <v>0</v>
      </c>
      <c r="O128" s="65" t="n">
        <f aca="false">COUNTIFS(Данные!$B$2:$B$722,77,Данные!$C$2:$C$722,0,Данные!$A$2:$A$722,"&gt;="&amp;77233239000,Данные!$A$2:$A$722,"&lt;="&amp;77233239999)</f>
        <v>0</v>
      </c>
      <c r="P128" s="65" t="n">
        <f aca="false">COUNTIFS(Данные!$B$2:$B$722,77,Данные!$C$2:$C$722,0,Данные!$A$2:$A$722,"&gt;="&amp;77233272000,Данные!$A$2:$A$722,"&lt;="&amp;77233272999)</f>
        <v>0</v>
      </c>
      <c r="Q128" s="65" t="n">
        <f aca="false">COUNTIFS(Данные!$B$2:$B$722,77,Данные!$C$2:$C$722,0,Данные!$A$2:$A$722,"&gt;="&amp;77233291100,Данные!$A$2:$A$722,"&lt;="&amp;77233292999)</f>
        <v>0</v>
      </c>
      <c r="R128" s="65" t="n">
        <f aca="false">COUNTIFS(Данные!$B$2:$B$722,77,Данные!$C$2:$C$722,0,Данные!$A$2:$A$722,"&gt;="&amp;77233297000,Данные!$A$2:$A$722,"&lt;="&amp;77233298399)</f>
        <v>0</v>
      </c>
      <c r="S128" s="65" t="n">
        <f aca="false">COUNTIFS(Данные!$B$2:$B$722,77,Данные!$C$2:$C$722,0,Данные!$A$2:$A$722,"&gt;="&amp;77235124000,Данные!$A$2:$A$722,"&lt;="&amp;77235128499)</f>
        <v>0</v>
      </c>
      <c r="T128" s="65" t="n">
        <f aca="false">COUNTIFS(Данные!$B$2:$B$722,77,Данные!$C$2:$C$722,0,Данные!$A$2:$A$722,"&gt;="&amp;77235320000,Данные!$A$2:$A$722,"&lt;="&amp;77235320999)</f>
        <v>0</v>
      </c>
      <c r="U128" s="65" t="n">
        <f aca="false">COUNTIFS(Данные!$B$2:$B$722,77,Данные!$C$2:$C$722,0,Данные!$A$2:$A$722,"&gt;="&amp;77233620000,Данные!$A$2:$A$722,"&lt;="&amp;77233623339)</f>
        <v>0</v>
      </c>
      <c r="V128" s="65" t="n">
        <f aca="false">COUNTIFS(Данные!$B$2:$B$722,77,Данные!$C$2:$C$722,0,Данные!$A$2:$A$722,"&gt;="&amp;77233630000,Данные!$A$2:$A$722,"&lt;="&amp;77233630999)</f>
        <v>0</v>
      </c>
      <c r="W128" s="65" t="n">
        <f aca="false">COUNTIFS(Данные!$B$2:$B$722,77,Данные!$C$2:$C$722,0,Данные!$A$2:$A$722,"&gt;="&amp;77233637000,Данные!$A$2:$A$722,"&lt;="&amp;77233637599)</f>
        <v>0</v>
      </c>
      <c r="X128" s="65" t="n">
        <f aca="false">COUNTIFS(Данные!$B$2:$B$722,77,Данные!$C$2:$C$722,0,Данные!$A$2:$A$722,"&gt;="&amp;77233550000,Данные!$A$2:$A$722,"&lt;="&amp;77233550999)</f>
        <v>0</v>
      </c>
      <c r="Y128" s="65" t="n">
        <f aca="false">COUNTIFS(Данные!$B$2:$B$722,77,Данные!$C$2:$C$722,0,Данные!$A$2:$A$722,"&gt;="&amp;77233554000,Данные!$A$2:$A$722,"&lt;="&amp;77233554999)</f>
        <v>0</v>
      </c>
      <c r="Z128" s="65" t="n">
        <f aca="false">COUNTIFS(Данные!$B$2:$B$722,77,Данные!$C$2:$C$722,0,Данные!$A$2:$A$722,"&gt;="&amp;77233555000,Данные!$A$2:$A$722,"&lt;="&amp;77233556999)</f>
        <v>0</v>
      </c>
      <c r="AA128" s="65" t="n">
        <f aca="false">COUNTIFS(Данные!$B$2:$B$722,77,Данные!$C$2:$C$722,0,Данные!$A$2:$A$722,"&gt;="&amp;77233726000,Данные!$A$2:$A$722,"&lt;="&amp;77233726999)</f>
        <v>0</v>
      </c>
      <c r="AB128" s="65" t="n">
        <f aca="false">COUNTIFS(Данные!$B$2:$B$722,77,Данные!$C$2:$C$722,0,Данные!$A$2:$A$722,"&gt;="&amp;77233820000,Данные!$A$2:$A$722,"&lt;="&amp;77233820999)</f>
        <v>0</v>
      </c>
      <c r="AC128" s="65" t="n">
        <f aca="false">COUNTIFS(Данные!$B$2:$B$722,77,Данные!$C$2:$C$722,0,Данные!$A$2:$A$722,"&gt;="&amp;77233850000,Данные!$A$2:$A$722,"&lt;="&amp;77233850999)</f>
        <v>0</v>
      </c>
      <c r="AD128" s="65" t="n">
        <f aca="false">COUNTIFS(Данные!$B$2:$B$722,77,Данные!$C$2:$C$722,0,Данные!$A$2:$A$722,"&gt;="&amp;77233420000,Данные!$A$2:$A$722,"&lt;="&amp;77233420999)</f>
        <v>0</v>
      </c>
      <c r="AE128" s="65" t="n">
        <f aca="false">COUNTIFS(Данные!$B$2:$B$722,77,Данные!$C$2:$C$722,0,Данные!$A$2:$A$722,"&gt;="&amp;77234740000,Данные!$A$2:$A$722,"&lt;="&amp;77234742999)</f>
        <v>0</v>
      </c>
      <c r="AF128" s="65" t="n">
        <f aca="false">COUNTIFS(Данные!$B$2:$B$722,77,Данные!$C$2:$C$722,0,Данные!$A$2:$A$722,"&gt;="&amp;77234767000,Данные!$A$2:$A$722,"&lt;="&amp;77234767999)</f>
        <v>0</v>
      </c>
      <c r="AG128" s="65" t="n">
        <f aca="false">COUNTIFS(Данные!$B$2:$B$722,77,Данные!$C$2:$C$722,0,Данные!$A$2:$A$722,"&gt;="&amp;77234120000,Данные!$A$2:$A$722,"&lt;="&amp;77234120999)</f>
        <v>0</v>
      </c>
      <c r="AH128" s="65" t="n">
        <f aca="false">COUNTIFS(Данные!$B$2:$B$722,77,Данные!$C$2:$C$722,0,Данные!$A$2:$A$722,"&gt;="&amp;77234127000,Данные!$A$2:$A$722,"&lt;="&amp;77234127999)</f>
        <v>0</v>
      </c>
      <c r="AI128" s="65" t="n">
        <f aca="false">COUNTIFS(Данные!$B$2:$B$722,77,Данные!$C$2:$C$722,0,Данные!$A$2:$A$722,"&gt;="&amp;77234220000,Данные!$A$2:$A$722,"&lt;="&amp;77234220999)</f>
        <v>0</v>
      </c>
      <c r="AJ128" s="65" t="n">
        <f aca="false">COUNTIFS(Данные!$B$2:$B$722,77,Данные!$C$2:$C$722,0,Данные!$A$2:$A$722,"&gt;="&amp;77234250000,Данные!$A$2:$A$722,"&lt;="&amp;77234250999)</f>
        <v>0</v>
      </c>
      <c r="AK128" s="65" t="n">
        <f aca="false">COUNTIFS(Данные!$B$2:$B$722,77,Данные!$C$2:$C$722,0,Данные!$A$2:$A$722,"&gt;="&amp;77233922950,Данные!$A$2:$A$722,"&lt;="&amp;77233924999)</f>
        <v>0</v>
      </c>
      <c r="AL128" s="65" t="n">
        <f aca="false">COUNTIFS(Данные!$B$2:$B$722,77,Данные!$C$2:$C$722,0,Данные!$A$2:$A$722,"&gt;="&amp;77234320000,Данные!$A$2:$A$722,"&lt;="&amp;77234320999)</f>
        <v>0</v>
      </c>
      <c r="AM128" s="65" t="n">
        <f aca="false">COUNTIFS(Данные!$B$2:$B$722,77,Данные!$C$2:$C$722,0,Данные!$A$2:$A$722,"&gt;="&amp;77234350000,Данные!$A$2:$A$722,"&lt;="&amp;77234350999)</f>
        <v>0</v>
      </c>
      <c r="AN128" s="65" t="n">
        <f aca="false">COUNTIFS(Данные!$B$2:$B$722,77,Данные!$C$2:$C$722,0,Данные!$A$2:$A$722,"&gt;="&amp;77234020000,Данные!$A$2:$A$722,"&lt;="&amp;77234020999)</f>
        <v>0</v>
      </c>
      <c r="AO128" s="65" t="n">
        <f aca="false">COUNTIFS(Данные!$B$2:$B$722,77,Данные!$C$2:$C$722,0,Данные!$A$2:$A$722,"&gt;="&amp;77234029000,Данные!$A$2:$A$722,"&lt;="&amp;77234029999)</f>
        <v>0</v>
      </c>
      <c r="AP128" s="65" t="n">
        <f aca="false">COUNTIFS(Данные!$B$2:$B$722,77,Данные!$C$2:$C$722,0,Данные!$A$2:$A$722,"&gt;="&amp;77234050000,Данные!$A$2:$A$722,"&lt;="&amp;77234050999)</f>
        <v>0</v>
      </c>
      <c r="AQ128" s="65" t="n">
        <f aca="false">COUNTIFS(Данные!$B$2:$B$722,77,Данные!$C$2:$C$722,0,Данные!$A$2:$A$722,"&gt;="&amp;77234427000,Данные!$A$2:$A$722,"&lt;="&amp;77234428999)</f>
        <v>0</v>
      </c>
      <c r="AR128" s="65" t="n">
        <f aca="false">COUNTIFS(Данные!$B$2:$B$722,77,Данные!$C$2:$C$722,0,Данные!$A$2:$A$722,"&gt;="&amp;77234450000,Данные!$A$2:$A$722,"&lt;="&amp;77234450999)</f>
        <v>0</v>
      </c>
      <c r="AS128" s="65" t="n">
        <f aca="false">COUNTIFS(Данные!$B$2:$B$722,77,Данные!$C$2:$C$722,0,Данные!$A$2:$A$722,"&gt;="&amp;77234620000,Данные!$A$2:$A$722,"&lt;="&amp;77234620999)</f>
        <v>0</v>
      </c>
      <c r="AT128" s="65" t="n">
        <f aca="false">COUNTIFS(Данные!$B$2:$B$722,77,Данные!$C$2:$C$722,0,Данные!$A$2:$A$722,"&gt;="&amp;77234650000,Данные!$A$2:$A$722,"&lt;="&amp;77234650999)</f>
        <v>0</v>
      </c>
      <c r="AU128" s="65" t="n">
        <f aca="false">COUNTIFS(Данные!$B$2:$B$722,77,Данные!$C$2:$C$722,0,Данные!$A$2:$A$722,"&gt;="&amp;77234820000,Данные!$A$2:$A$722,"&lt;="&amp;77234820999)</f>
        <v>0</v>
      </c>
      <c r="AV128" s="65" t="n">
        <f aca="false">COUNTIFS(Данные!$B$2:$B$722,77,Данные!$C$2:$C$722,0,Данные!$A$2:$A$722,"&gt;="&amp;77234850000,Данные!$A$2:$A$722,"&lt;="&amp;77234850999)</f>
        <v>0</v>
      </c>
      <c r="AW128" s="65" t="n">
        <f aca="false">COUNTIFS(Данные!$B$2:$B$722,77,Данные!$C$2:$C$722,0,Данные!$A$2:$A$722,"&gt;="&amp;77233327000,Данные!$A$2:$A$722,"&lt;="&amp;77233327999)</f>
        <v>0</v>
      </c>
      <c r="AX128" s="65" t="n">
        <f aca="false">COUNTIFS(Данные!$B$2:$B$722,77,Данные!$C$2:$C$722,0,Данные!$A$2:$A$722,"&gt;="&amp;77233350000,Данные!$A$2:$A$722,"&lt;="&amp;77233350599)</f>
        <v>0</v>
      </c>
      <c r="AY128" s="65" t="n">
        <f aca="false">COUNTIFS(Данные!$B$2:$B$722,77,Данные!$C$2:$C$722,0,Данные!$A$2:$A$722,"&gt;="&amp;77233351000,Данные!$A$2:$A$722,"&lt;="&amp;77233351999)</f>
        <v>0</v>
      </c>
      <c r="AZ128" s="66" t="n">
        <f aca="false">COUNTIFS(Данные!$B$2:$B$722,77,Данные!$C$2:$C$722,0,Данные!$A$2:$A$722,"&gt;="&amp;7722440000,Данные!$A$2:$A$722,"&lt;="&amp;7722440999)</f>
        <v>0</v>
      </c>
      <c r="BA128" s="66" t="n">
        <f aca="false">COUNTIFS(Данные!$B$2:$B$722,77,Данные!$C$2:$C$722,0,Данные!$A$2:$A$722,"&gt;="&amp;7722442000,Данные!$A$2:$A$722,"&lt;="&amp;7722445659)</f>
        <v>0</v>
      </c>
      <c r="BB128" s="66" t="n">
        <f aca="false">COUNTIFS(Данные!$B$2:$B$722,77,Данные!$C$2:$C$722,0,Данные!$A$2:$A$722,"&gt;="&amp;7722450000,Данные!$A$2:$A$722,"&lt;="&amp;7722450199)</f>
        <v>0</v>
      </c>
      <c r="BC128" s="66" t="n">
        <f aca="false">COUNTIFS(Данные!$B$2:$B$722,77,Данные!$C$2:$C$722,0,Данные!$A$2:$A$722,"&gt;="&amp;7722451000,Данные!$A$2:$A$722,"&lt;="&amp;7722451374)</f>
        <v>0</v>
      </c>
      <c r="BD128" s="66" t="n">
        <f aca="false">COUNTIFS(Данные!$B$2:$B$722,77,Данные!$C$2:$C$722,0,Данные!$A$2:$A$722,"&gt;="&amp;7722452000,Данные!$A$2:$A$722,"&lt;="&amp;7722452299)</f>
        <v>0</v>
      </c>
      <c r="BE128" s="66" t="n">
        <f aca="false">COUNTIFS(Данные!$B$2:$B$722,77,Данные!$C$2:$C$722,0,Данные!$A$2:$A$722,"&gt;="&amp;7722453000,Данные!$A$2:$A$722,"&lt;="&amp;7722453816)</f>
        <v>0</v>
      </c>
      <c r="BF128" s="66" t="n">
        <f aca="false">COUNTIFS(Данные!$B$2:$B$722,77,Данные!$C$2:$C$722,0,Данные!$A$2:$A$722,"&gt;="&amp;7722454000,Данные!$A$2:$A$722,"&lt;="&amp;7722454099)</f>
        <v>0</v>
      </c>
      <c r="BG128" s="66" t="n">
        <f aca="false">COUNTIFS(Данные!$B$2:$B$722,77,Данные!$C$2:$C$722,0,Данные!$A$2:$A$722,"&gt;="&amp;7722458000,Данные!$A$2:$A$722,"&lt;="&amp;7722458999)</f>
        <v>0</v>
      </c>
      <c r="BH128" s="66" t="n">
        <f aca="false">COUNTIFS(Данные!$B$2:$B$722,77,Данные!$C$2:$C$722,0,Данные!$A$2:$A$722,"&gt;="&amp;7722630000,Данные!$A$2:$A$722,"&lt;="&amp;7722638549)</f>
        <v>0</v>
      </c>
      <c r="BI128" s="66" t="n">
        <f aca="false">COUNTIFS(Данные!$B$2:$B$722,77,Данные!$C$2:$C$722,0,Данные!$A$2:$A$722,"&gt;="&amp;7722639400,Данные!$A$2:$A$722,"&lt;="&amp;7722639899)</f>
        <v>0</v>
      </c>
      <c r="BJ128" s="66" t="n">
        <f aca="false">COUNTIFS(Данные!$B$2:$B$722,77,Данные!$C$2:$C$722,0,Данные!$A$2:$A$722,"&gt;="&amp;7725750000,Данные!$A$2:$A$722,"&lt;="&amp;7725750399)</f>
        <v>0</v>
      </c>
      <c r="BK128" s="66" t="n">
        <f aca="false">COUNTIFS(Данные!$B$2:$B$722,77,Данные!$C$2:$C$722,0,Данные!$A$2:$A$722,"&gt;="&amp;7723620000,Данные!$A$2:$A$722,"&lt;="&amp;7723621299)</f>
        <v>0</v>
      </c>
      <c r="BL128" s="66" t="n">
        <f aca="false">COUNTIFS(Данные!$B$2:$B$722,77,Данные!$C$2:$C$722,0,Данные!$A$2:$A$722,"&gt;="&amp;7723621600,Данные!$A$2:$A$722,"&lt;="&amp;7723623399)</f>
        <v>0</v>
      </c>
      <c r="BM128" s="66" t="n">
        <f aca="false">COUNTIFS(Данные!$B$2:$B$722,77,Данные!$C$2:$C$722,0,Данные!$A$2:$A$722,"&gt;="&amp;7725127000,Данные!$A$2:$A$722,"&lt;="&amp;7725127999)</f>
        <v>0</v>
      </c>
      <c r="BN128" s="66" t="n">
        <f aca="false">COUNTIFS(Данные!$B$2:$B$722,77,Данные!$C$2:$C$722,0,Данные!$A$2:$A$722,"&gt;="&amp;7723772000,Данные!$A$2:$A$722,"&lt;="&amp;7723724999)</f>
        <v>0</v>
      </c>
      <c r="BO128" s="65" t="n">
        <f aca="false">COUNTIFS(Данные!$B$2:$B$722,77,Данные!$C$2:$C$722,0,Данные!$A$2:$A$722,"&gt;="&amp;7723765000,Данные!$A$2:$A$722,"&lt;="&amp;7723765499)</f>
        <v>0</v>
      </c>
      <c r="BP128" s="66" t="n">
        <f aca="false">COUNTIFS(Данные!$B$2:$B$722,77,Данные!$C$2:$C$722,0,Данные!$A$2:$A$722,"&gt;="&amp;7723948000,Данные!$A$2:$A$722,"&lt;="&amp;7723948999)</f>
        <v>0</v>
      </c>
      <c r="BQ128" s="66" t="n">
        <f aca="false">COUNTIFS(Данные!$B$2:$B$722,77,Данные!$C$2:$C$722,0,Данные!$A$2:$A$722,"&gt;="&amp;7723950000,Данные!$A$2:$A$722,"&lt;="&amp;7723951099)</f>
        <v>0</v>
      </c>
      <c r="BR128" s="66" t="n">
        <f aca="false">COUNTIFS(Данные!$B$2:$B$722,77,Данные!$C$2:$C$722,0,Данные!$A$2:$A$722,"&gt;="&amp;7723020000,Данные!$A$2:$A$722,"&lt;="&amp;7723020999)</f>
        <v>0</v>
      </c>
      <c r="BS128" s="66" t="n">
        <f aca="false">COUNTIFS(Данные!$B$2:$B$722,77,Данные!$C$2:$C$722,0,Данные!$A$2:$A$722,"&gt;="&amp;7723029000,Данные!$A$2:$A$722,"&lt;="&amp;7723029999)</f>
        <v>0</v>
      </c>
      <c r="BT128" s="66" t="n">
        <f aca="false">COUNTIFS(Данные!$B$2:$B$722,77,Данные!$C$2:$C$722,0,Данные!$A$2:$A$722,"&gt;="&amp;7723055000,Данные!$A$2:$A$722,"&lt;="&amp;7723056549)</f>
        <v>0</v>
      </c>
      <c r="BU128" s="65" t="n">
        <f aca="false">COUNTIFS(Данные!$B$2:$B$722,77,Данные!$C$2:$C$722,0,Данные!$A$2:$A$722,"&gt;="&amp;7725250000,Данные!$A$2:$A$722,"&lt;="&amp;7725250499)</f>
        <v>0</v>
      </c>
      <c r="BV128" s="66" t="n">
        <f aca="false">COUNTIFS(Данные!$B$2:$B$722,77,Данные!$C$2:$C$722,0,Данные!$A$2:$A$722,"&gt;="&amp;7183841400,Данные!$A$2:$A$722,"&lt;="&amp;7183841499)</f>
        <v>0</v>
      </c>
      <c r="BW128" s="49" t="n">
        <v>300</v>
      </c>
      <c r="BX128" s="67" t="n">
        <f aca="false">F128-BW128</f>
        <v>-300</v>
      </c>
    </row>
    <row r="129" s="15" customFormat="true" ht="12" hidden="false" customHeight="true" outlineLevel="0" collapsed="false">
      <c r="A129" s="47"/>
      <c r="B129" s="48"/>
      <c r="C129" s="50" t="n">
        <v>1</v>
      </c>
      <c r="D129" s="50" t="n">
        <v>771</v>
      </c>
      <c r="E129" s="51"/>
      <c r="F129" s="65" t="n">
        <f aca="false">COUNTIFS(Данные!$B$2:$B$722,77,Данные!$C$2:$C$722,1)</f>
        <v>0</v>
      </c>
      <c r="G129" s="65" t="n">
        <f aca="false">COUNTIFS(Данные!$B$2:$B$722,77,Данные!$C$2:$C$722,1,Данные!$A$2:$A$722,"&gt;="&amp;77232210840,Данные!$A$2:$A$722,"&lt;="&amp;77232216999)</f>
        <v>0</v>
      </c>
      <c r="H129" s="65" t="n">
        <f aca="false">COUNTIFS(Данные!$B$2:$B$722,77,Данные!$C$2:$C$722,1,Данные!$A$2:$A$722,"&gt;="&amp;77232510512,Данные!$A$2:$A$722,"&lt;="&amp;77232519487)</f>
        <v>0</v>
      </c>
      <c r="I129" s="65" t="n">
        <f aca="false">COUNTIFS(Данные!$B$2:$B$722,77,Данные!$C$2:$C$722,1,Данные!$A$2:$A$722,"&gt;="&amp;77232524160,Данные!$A$2:$A$722,"&lt;="&amp;77232529999)</f>
        <v>0</v>
      </c>
      <c r="J129" s="65" t="n">
        <f aca="false">COUNTIFS(Данные!$B$2:$B$722,77,Данные!$C$2:$C$722,1,Данные!$A$2:$A$722,"&gt;="&amp;77232544000,Данные!$A$2:$A$722,"&lt;="&amp;77232544999)</f>
        <v>0</v>
      </c>
      <c r="K129" s="65" t="n">
        <f aca="false">COUNTIFS(Данные!$B$2:$B$722,77,Данные!$C$2:$C$722,1,Данные!$A$2:$A$722,"&gt;="&amp;77232295504,Данные!$A$2:$A$722,"&lt;="&amp;77232296999)</f>
        <v>0</v>
      </c>
      <c r="L129" s="65" t="n">
        <f aca="false">COUNTIFS(Данные!$B$2:$B$722,77,Данные!$C$2:$C$722,1,Данные!$A$2:$A$722,"&gt;="&amp;77232785000,Данные!$A$2:$A$722,"&lt;="&amp;77232789999)</f>
        <v>0</v>
      </c>
      <c r="M129" s="65" t="n">
        <f aca="false">COUNTIFS(Данные!$B$2:$B$722,77,Данные!$C$2:$C$722,1,Данные!$A$2:$A$722,"&gt;="&amp;77233150000,Данные!$A$2:$A$722,"&lt;="&amp;77233155999)</f>
        <v>0</v>
      </c>
      <c r="N129" s="65" t="n">
        <f aca="false">COUNTIFS(Данные!$B$2:$B$722,77,Данные!$C$2:$C$722,1,Данные!$A$2:$A$722,"&gt;="&amp;77233235000,Данные!$A$2:$A$722,"&lt;="&amp;77233235999)</f>
        <v>0</v>
      </c>
      <c r="O129" s="65" t="n">
        <f aca="false">COUNTIFS(Данные!$B$2:$B$722,77,Данные!$C$2:$C$722,1,Данные!$A$2:$A$722,"&gt;="&amp;77233239000,Данные!$A$2:$A$722,"&lt;="&amp;77233239999)</f>
        <v>0</v>
      </c>
      <c r="P129" s="65" t="n">
        <f aca="false">COUNTIFS(Данные!$B$2:$B$722,77,Данные!$C$2:$C$722,1,Данные!$A$2:$A$722,"&gt;="&amp;77233272000,Данные!$A$2:$A$722,"&lt;="&amp;77233272999)</f>
        <v>0</v>
      </c>
      <c r="Q129" s="65" t="n">
        <f aca="false">COUNTIFS(Данные!$B$2:$B$722,77,Данные!$C$2:$C$722,1,Данные!$A$2:$A$722,"&gt;="&amp;77233291100,Данные!$A$2:$A$722,"&lt;="&amp;77233292999)</f>
        <v>0</v>
      </c>
      <c r="R129" s="65" t="n">
        <f aca="false">COUNTIFS(Данные!$B$2:$B$722,77,Данные!$C$2:$C$722,1,Данные!$A$2:$A$722,"&gt;="&amp;77233297000,Данные!$A$2:$A$722,"&lt;="&amp;77233298399)</f>
        <v>0</v>
      </c>
      <c r="S129" s="65" t="n">
        <f aca="false">COUNTIFS(Данные!$B$2:$B$722,77,Данные!$C$2:$C$722,1,Данные!$A$2:$A$722,"&gt;="&amp;77235124000,Данные!$A$2:$A$722,"&lt;="&amp;77235128499)</f>
        <v>0</v>
      </c>
      <c r="T129" s="65" t="n">
        <f aca="false">COUNTIFS(Данные!$B$2:$B$722,77,Данные!$C$2:$C$722,1,Данные!$A$2:$A$722,"&gt;="&amp;77235320000,Данные!$A$2:$A$722,"&lt;="&amp;77235320999)</f>
        <v>0</v>
      </c>
      <c r="U129" s="65" t="n">
        <f aca="false">COUNTIFS(Данные!$B$2:$B$722,77,Данные!$C$2:$C$722,1,Данные!$A$2:$A$722,"&gt;="&amp;77233620000,Данные!$A$2:$A$722,"&lt;="&amp;77233623339)</f>
        <v>0</v>
      </c>
      <c r="V129" s="65" t="n">
        <f aca="false">COUNTIFS(Данные!$B$2:$B$722,77,Данные!$C$2:$C$722,1,Данные!$A$2:$A$722,"&gt;="&amp;77233630000,Данные!$A$2:$A$722,"&lt;="&amp;77233630999)</f>
        <v>0</v>
      </c>
      <c r="W129" s="65" t="n">
        <f aca="false">COUNTIFS(Данные!$B$2:$B$722,77,Данные!$C$2:$C$722,1,Данные!$A$2:$A$722,"&gt;="&amp;77233637000,Данные!$A$2:$A$722,"&lt;="&amp;77233637599)</f>
        <v>0</v>
      </c>
      <c r="X129" s="65" t="n">
        <f aca="false">COUNTIFS(Данные!$B$2:$B$722,77,Данные!$C$2:$C$722,1,Данные!$A$2:$A$722,"&gt;="&amp;77233550000,Данные!$A$2:$A$722,"&lt;="&amp;77233550999)</f>
        <v>0</v>
      </c>
      <c r="Y129" s="65" t="n">
        <f aca="false">COUNTIFS(Данные!$B$2:$B$722,77,Данные!$C$2:$C$722,1,Данные!$A$2:$A$722,"&gt;="&amp;77233554000,Данные!$A$2:$A$722,"&lt;="&amp;77233554999)</f>
        <v>0</v>
      </c>
      <c r="Z129" s="65" t="n">
        <f aca="false">COUNTIFS(Данные!$B$2:$B$722,77,Данные!$C$2:$C$722,1,Данные!$A$2:$A$722,"&gt;="&amp;77233555000,Данные!$A$2:$A$722,"&lt;="&amp;77233556999)</f>
        <v>0</v>
      </c>
      <c r="AA129" s="65" t="n">
        <f aca="false">COUNTIFS(Данные!$B$2:$B$722,77,Данные!$C$2:$C$722,1,Данные!$A$2:$A$722,"&gt;="&amp;77233726000,Данные!$A$2:$A$722,"&lt;="&amp;77233726999)</f>
        <v>0</v>
      </c>
      <c r="AB129" s="65" t="n">
        <f aca="false">COUNTIFS(Данные!$B$2:$B$722,77,Данные!$C$2:$C$722,1,Данные!$A$2:$A$722,"&gt;="&amp;77233820000,Данные!$A$2:$A$722,"&lt;="&amp;77233820999)</f>
        <v>0</v>
      </c>
      <c r="AC129" s="65" t="n">
        <f aca="false">COUNTIFS(Данные!$B$2:$B$722,77,Данные!$C$2:$C$722,1,Данные!$A$2:$A$722,"&gt;="&amp;77233850000,Данные!$A$2:$A$722,"&lt;="&amp;77233850999)</f>
        <v>0</v>
      </c>
      <c r="AD129" s="65" t="n">
        <f aca="false">COUNTIFS(Данные!$B$2:$B$722,77,Данные!$C$2:$C$722,1,Данные!$A$2:$A$722,"&gt;="&amp;77233420000,Данные!$A$2:$A$722,"&lt;="&amp;77233420999)</f>
        <v>0</v>
      </c>
      <c r="AE129" s="65" t="n">
        <f aca="false">COUNTIFS(Данные!$B$2:$B$722,77,Данные!$C$2:$C$722,1,Данные!$A$2:$A$722,"&gt;="&amp;77234740000,Данные!$A$2:$A$722,"&lt;="&amp;77234742999)</f>
        <v>0</v>
      </c>
      <c r="AF129" s="65" t="n">
        <f aca="false">COUNTIFS(Данные!$B$2:$B$722,77,Данные!$C$2:$C$722,1,Данные!$A$2:$A$722,"&gt;="&amp;77234767000,Данные!$A$2:$A$722,"&lt;="&amp;77234767999)</f>
        <v>0</v>
      </c>
      <c r="AG129" s="65" t="n">
        <f aca="false">COUNTIFS(Данные!$B$2:$B$722,77,Данные!$C$2:$C$722,1,Данные!$A$2:$A$722,"&gt;="&amp;77234120000,Данные!$A$2:$A$722,"&lt;="&amp;77234120999)</f>
        <v>0</v>
      </c>
      <c r="AH129" s="65" t="n">
        <f aca="false">COUNTIFS(Данные!$B$2:$B$722,77,Данные!$C$2:$C$722,1,Данные!$A$2:$A$722,"&gt;="&amp;77234127000,Данные!$A$2:$A$722,"&lt;="&amp;77234127999)</f>
        <v>0</v>
      </c>
      <c r="AI129" s="65" t="n">
        <f aca="false">COUNTIFS(Данные!$B$2:$B$722,77,Данные!$C$2:$C$722,1,Данные!$A$2:$A$722,"&gt;="&amp;77234220000,Данные!$A$2:$A$722,"&lt;="&amp;77234220999)</f>
        <v>0</v>
      </c>
      <c r="AJ129" s="65" t="n">
        <f aca="false">COUNTIFS(Данные!$B$2:$B$722,77,Данные!$C$2:$C$722,1,Данные!$A$2:$A$722,"&gt;="&amp;77234250000,Данные!$A$2:$A$722,"&lt;="&amp;77234250999)</f>
        <v>0</v>
      </c>
      <c r="AK129" s="65" t="n">
        <f aca="false">COUNTIFS(Данные!$B$2:$B$722,77,Данные!$C$2:$C$722,1,Данные!$A$2:$A$722,"&gt;="&amp;77233922950,Данные!$A$2:$A$722,"&lt;="&amp;77233924999)</f>
        <v>0</v>
      </c>
      <c r="AL129" s="65" t="n">
        <f aca="false">COUNTIFS(Данные!$B$2:$B$722,77,Данные!$C$2:$C$722,1,Данные!$A$2:$A$722,"&gt;="&amp;77234320000,Данные!$A$2:$A$722,"&lt;="&amp;77234320999)</f>
        <v>0</v>
      </c>
      <c r="AM129" s="65" t="n">
        <f aca="false">COUNTIFS(Данные!$B$2:$B$722,77,Данные!$C$2:$C$722,1,Данные!$A$2:$A$722,"&gt;="&amp;77234350000,Данные!$A$2:$A$722,"&lt;="&amp;77234350999)</f>
        <v>0</v>
      </c>
      <c r="AN129" s="65" t="n">
        <f aca="false">COUNTIFS(Данные!$B$2:$B$722,77,Данные!$C$2:$C$722,1,Данные!$A$2:$A$722,"&gt;="&amp;77234020000,Данные!$A$2:$A$722,"&lt;="&amp;77234020999)</f>
        <v>0</v>
      </c>
      <c r="AO129" s="65" t="n">
        <f aca="false">COUNTIFS(Данные!$B$2:$B$722,77,Данные!$C$2:$C$722,1,Данные!$A$2:$A$722,"&gt;="&amp;77234029000,Данные!$A$2:$A$722,"&lt;="&amp;77234029999)</f>
        <v>0</v>
      </c>
      <c r="AP129" s="65" t="n">
        <f aca="false">COUNTIFS(Данные!$B$2:$B$722,77,Данные!$C$2:$C$722,1,Данные!$A$2:$A$722,"&gt;="&amp;77234050000,Данные!$A$2:$A$722,"&lt;="&amp;77234050999)</f>
        <v>0</v>
      </c>
      <c r="AQ129" s="65" t="n">
        <f aca="false">COUNTIFS(Данные!$B$2:$B$722,77,Данные!$C$2:$C$722,1,Данные!$A$2:$A$722,"&gt;="&amp;77234427000,Данные!$A$2:$A$722,"&lt;="&amp;77234428999)</f>
        <v>0</v>
      </c>
      <c r="AR129" s="65" t="n">
        <f aca="false">COUNTIFS(Данные!$B$2:$B$722,77,Данные!$C$2:$C$722,1,Данные!$A$2:$A$722,"&gt;="&amp;77234450000,Данные!$A$2:$A$722,"&lt;="&amp;77234450999)</f>
        <v>0</v>
      </c>
      <c r="AS129" s="65" t="n">
        <f aca="false">COUNTIFS(Данные!$B$2:$B$722,77,Данные!$C$2:$C$722,1,Данные!$A$2:$A$722,"&gt;="&amp;77234620000,Данные!$A$2:$A$722,"&lt;="&amp;77234620999)</f>
        <v>0</v>
      </c>
      <c r="AT129" s="65" t="n">
        <f aca="false">COUNTIFS(Данные!$B$2:$B$722,77,Данные!$C$2:$C$722,1,Данные!$A$2:$A$722,"&gt;="&amp;77234650000,Данные!$A$2:$A$722,"&lt;="&amp;77234650999)</f>
        <v>0</v>
      </c>
      <c r="AU129" s="65" t="n">
        <f aca="false">COUNTIFS(Данные!$B$2:$B$722,77,Данные!$C$2:$C$722,1,Данные!$A$2:$A$722,"&gt;="&amp;77234820000,Данные!$A$2:$A$722,"&lt;="&amp;77234820999)</f>
        <v>0</v>
      </c>
      <c r="AV129" s="65" t="n">
        <f aca="false">COUNTIFS(Данные!$B$2:$B$722,77,Данные!$C$2:$C$722,1,Данные!$A$2:$A$722,"&gt;="&amp;77234850000,Данные!$A$2:$A$722,"&lt;="&amp;77234850999)</f>
        <v>0</v>
      </c>
      <c r="AW129" s="65" t="n">
        <f aca="false">COUNTIFS(Данные!$B$2:$B$722,77,Данные!$C$2:$C$722,1,Данные!$A$2:$A$722,"&gt;="&amp;77233327000,Данные!$A$2:$A$722,"&lt;="&amp;77233327999)</f>
        <v>0</v>
      </c>
      <c r="AX129" s="65" t="n">
        <f aca="false">COUNTIFS(Данные!$B$2:$B$722,77,Данные!$C$2:$C$722,1,Данные!$A$2:$A$722,"&gt;="&amp;77233350000,Данные!$A$2:$A$722,"&lt;="&amp;77233350599)</f>
        <v>0</v>
      </c>
      <c r="AY129" s="65" t="n">
        <f aca="false">COUNTIFS(Данные!$B$2:$B$722,77,Данные!$C$2:$C$722,1,Данные!$A$2:$A$722,"&gt;="&amp;77233351000,Данные!$A$2:$A$722,"&lt;="&amp;77233351999)</f>
        <v>0</v>
      </c>
      <c r="AZ129" s="66" t="n">
        <f aca="false">COUNTIFS(Данные!$B$2:$B$722,77,Данные!$C$2:$C$722,1,Данные!$A$2:$A$722,"&gt;="&amp;7722440000,Данные!$A$2:$A$722,"&lt;="&amp;7722440999)</f>
        <v>0</v>
      </c>
      <c r="BA129" s="66" t="n">
        <f aca="false">COUNTIFS(Данные!$B$2:$B$722,77,Данные!$C$2:$C$722,1,Данные!$A$2:$A$722,"&gt;="&amp;7722442000,Данные!$A$2:$A$722,"&lt;="&amp;7722445659)</f>
        <v>0</v>
      </c>
      <c r="BB129" s="66" t="n">
        <f aca="false">COUNTIFS(Данные!$B$2:$B$722,77,Данные!$C$2:$C$722,1,Данные!$A$2:$A$722,"&gt;="&amp;7722450000,Данные!$A$2:$A$722,"&lt;="&amp;7722450199)</f>
        <v>0</v>
      </c>
      <c r="BC129" s="66" t="n">
        <f aca="false">COUNTIFS(Данные!$B$2:$B$722,77,Данные!$C$2:$C$722,1,Данные!$A$2:$A$722,"&gt;="&amp;7722451000,Данные!$A$2:$A$722,"&lt;="&amp;7722451374)</f>
        <v>0</v>
      </c>
      <c r="BD129" s="66" t="n">
        <f aca="false">COUNTIFS(Данные!$B$2:$B$722,77,Данные!$C$2:$C$722,1,Данные!$A$2:$A$722,"&gt;="&amp;7722452000,Данные!$A$2:$A$722,"&lt;="&amp;7722452299)</f>
        <v>0</v>
      </c>
      <c r="BE129" s="66" t="n">
        <f aca="false">COUNTIFS(Данные!$B$2:$B$722,77,Данные!$C$2:$C$722,1,Данные!$A$2:$A$722,"&gt;="&amp;7722453000,Данные!$A$2:$A$722,"&lt;="&amp;7722453816)</f>
        <v>0</v>
      </c>
      <c r="BF129" s="66" t="n">
        <f aca="false">COUNTIFS(Данные!$B$2:$B$722,77,Данные!$C$2:$C$722,1,Данные!$A$2:$A$722,"&gt;="&amp;7722454000,Данные!$A$2:$A$722,"&lt;="&amp;7722454099)</f>
        <v>0</v>
      </c>
      <c r="BG129" s="66" t="n">
        <f aca="false">COUNTIFS(Данные!$B$2:$B$722,77,Данные!$C$2:$C$722,1,Данные!$A$2:$A$722,"&gt;="&amp;7722458000,Данные!$A$2:$A$722,"&lt;="&amp;7722458999)</f>
        <v>0</v>
      </c>
      <c r="BH129" s="66" t="n">
        <f aca="false">COUNTIFS(Данные!$B$2:$B$722,77,Данные!$C$2:$C$722,1,Данные!$A$2:$A$722,"&gt;="&amp;7722630000,Данные!$A$2:$A$722,"&lt;="&amp;7722638549)</f>
        <v>0</v>
      </c>
      <c r="BI129" s="66" t="n">
        <f aca="false">COUNTIFS(Данные!$B$2:$B$722,77,Данные!$C$2:$C$722,1,Данные!$A$2:$A$722,"&gt;="&amp;7722639400,Данные!$A$2:$A$722,"&lt;="&amp;7722639899)</f>
        <v>0</v>
      </c>
      <c r="BJ129" s="66" t="n">
        <f aca="false">COUNTIFS(Данные!$B$2:$B$722,77,Данные!$C$2:$C$722,1,Данные!$A$2:$A$722,"&gt;="&amp;7725750000,Данные!$A$2:$A$722,"&lt;="&amp;7725750399)</f>
        <v>0</v>
      </c>
      <c r="BK129" s="66" t="n">
        <f aca="false">COUNTIFS(Данные!$B$2:$B$722,77,Данные!$C$2:$C$722,1,Данные!$A$2:$A$722,"&gt;="&amp;7723620000,Данные!$A$2:$A$722,"&lt;="&amp;7723621299)</f>
        <v>0</v>
      </c>
      <c r="BL129" s="66" t="n">
        <f aca="false">COUNTIFS(Данные!$B$2:$B$722,77,Данные!$C$2:$C$722,1,Данные!$A$2:$A$722,"&gt;="&amp;7723621600,Данные!$A$2:$A$722,"&lt;="&amp;7723623399)</f>
        <v>0</v>
      </c>
      <c r="BM129" s="66" t="n">
        <f aca="false">COUNTIFS(Данные!$B$2:$B$722,77,Данные!$C$2:$C$722,1,Данные!$A$2:$A$722,"&gt;="&amp;7725127000,Данные!$A$2:$A$722,"&lt;="&amp;7725127999)</f>
        <v>0</v>
      </c>
      <c r="BN129" s="66" t="n">
        <f aca="false">COUNTIFS(Данные!$B$2:$B$722,77,Данные!$C$2:$C$722,1,Данные!$A$2:$A$722,"&gt;="&amp;7723772000,Данные!$A$2:$A$722,"&lt;="&amp;7723724999)</f>
        <v>0</v>
      </c>
      <c r="BO129" s="65" t="n">
        <f aca="false">COUNTIFS(Данные!$B$2:$B$722,77,Данные!$C$2:$C$722,1,Данные!$A$2:$A$722,"&gt;="&amp;7723765000,Данные!$A$2:$A$722,"&lt;="&amp;7723765499)</f>
        <v>0</v>
      </c>
      <c r="BP129" s="66" t="n">
        <f aca="false">COUNTIFS(Данные!$B$2:$B$722,77,Данные!$C$2:$C$722,1,Данные!$A$2:$A$722,"&gt;="&amp;7723948000,Данные!$A$2:$A$722,"&lt;="&amp;7723948999)</f>
        <v>0</v>
      </c>
      <c r="BQ129" s="66" t="n">
        <f aca="false">COUNTIFS(Данные!$B$2:$B$722,77,Данные!$C$2:$C$722,1,Данные!$A$2:$A$722,"&gt;="&amp;7723950000,Данные!$A$2:$A$722,"&lt;="&amp;7723951099)</f>
        <v>0</v>
      </c>
      <c r="BR129" s="66" t="n">
        <f aca="false">COUNTIFS(Данные!$B$2:$B$722,77,Данные!$C$2:$C$722,1,Данные!$A$2:$A$722,"&gt;="&amp;7723020000,Данные!$A$2:$A$722,"&lt;="&amp;7723020999)</f>
        <v>0</v>
      </c>
      <c r="BS129" s="66" t="n">
        <f aca="false">COUNTIFS(Данные!$B$2:$B$722,77,Данные!$C$2:$C$722,1,Данные!$A$2:$A$722,"&gt;="&amp;7723029000,Данные!$A$2:$A$722,"&lt;="&amp;7723029999)</f>
        <v>0</v>
      </c>
      <c r="BT129" s="66" t="n">
        <f aca="false">COUNTIFS(Данные!$B$2:$B$722,77,Данные!$C$2:$C$722,1,Данные!$A$2:$A$722,"&gt;="&amp;7723055000,Данные!$A$2:$A$722,"&lt;="&amp;7723056549)</f>
        <v>0</v>
      </c>
      <c r="BU129" s="65" t="n">
        <f aca="false">COUNTIFS(Данные!$B$2:$B$722,77,Данные!$C$2:$C$722,1,Данные!$A$2:$A$722,"&gt;="&amp;7725250000,Данные!$A$2:$A$722,"&lt;="&amp;7725250499)</f>
        <v>0</v>
      </c>
      <c r="BV129" s="66" t="n">
        <f aca="false">COUNTIFS(Данные!$B$2:$B$722,77,Данные!$C$2:$C$722,1,Данные!$A$2:$A$722,"&gt;="&amp;7183841400,Данные!$A$2:$A$722,"&lt;="&amp;7183841499)</f>
        <v>0</v>
      </c>
      <c r="BW129" s="49" t="n">
        <v>300</v>
      </c>
      <c r="BX129" s="67" t="n">
        <f aca="false">F129-BW129</f>
        <v>-300</v>
      </c>
    </row>
    <row r="130" s="15" customFormat="true" ht="12" hidden="false" customHeight="true" outlineLevel="0" collapsed="false">
      <c r="A130" s="47"/>
      <c r="B130" s="48"/>
      <c r="C130" s="50" t="n">
        <v>2</v>
      </c>
      <c r="D130" s="50" t="n">
        <v>772</v>
      </c>
      <c r="E130" s="51"/>
      <c r="F130" s="65" t="n">
        <f aca="false">COUNTIFS(Данные!$B$2:$B$722,77,Данные!$C$2:$C$722,2)</f>
        <v>1</v>
      </c>
      <c r="G130" s="65" t="n">
        <f aca="false">COUNTIFS(Данные!$B$2:$B$722,77,Данные!$C$2:$C$722,2,Данные!$A$2:$A$722,"&gt;="&amp;77232210840,Данные!$A$2:$A$722,"&lt;="&amp;77232216999)</f>
        <v>0</v>
      </c>
      <c r="H130" s="65" t="n">
        <f aca="false">COUNTIFS(Данные!$B$2:$B$722,77,Данные!$C$2:$C$722,2,Данные!$A$2:$A$722,"&gt;="&amp;77232510512,Данные!$A$2:$A$722,"&lt;="&amp;77232519487)</f>
        <v>0</v>
      </c>
      <c r="I130" s="65" t="n">
        <f aca="false">COUNTIFS(Данные!$B$2:$B$722,77,Данные!$C$2:$C$722,2,Данные!$A$2:$A$722,"&gt;="&amp;77232524160,Данные!$A$2:$A$722,"&lt;="&amp;77232529999)</f>
        <v>0</v>
      </c>
      <c r="J130" s="65" t="n">
        <f aca="false">COUNTIFS(Данные!$B$2:$B$722,77,Данные!$C$2:$C$722,2,Данные!$A$2:$A$722,"&gt;="&amp;77232544000,Данные!$A$2:$A$722,"&lt;="&amp;77232544999)</f>
        <v>0</v>
      </c>
      <c r="K130" s="65" t="n">
        <f aca="false">COUNTIFS(Данные!$B$2:$B$722,77,Данные!$C$2:$C$722,2,Данные!$A$2:$A$722,"&gt;="&amp;77232295504,Данные!$A$2:$A$722,"&lt;="&amp;77232296999)</f>
        <v>0</v>
      </c>
      <c r="L130" s="65" t="n">
        <f aca="false">COUNTIFS(Данные!$B$2:$B$722,77,Данные!$C$2:$C$722,2,Данные!$A$2:$A$722,"&gt;="&amp;77232785000,Данные!$A$2:$A$722,"&lt;="&amp;77232789999)</f>
        <v>0</v>
      </c>
      <c r="M130" s="65" t="n">
        <f aca="false">COUNTIFS(Данные!$B$2:$B$722,77,Данные!$C$2:$C$722,2,Данные!$A$2:$A$722,"&gt;="&amp;77233150000,Данные!$A$2:$A$722,"&lt;="&amp;77233155999)</f>
        <v>0</v>
      </c>
      <c r="N130" s="65" t="n">
        <f aca="false">COUNTIFS(Данные!$B$2:$B$722,77,Данные!$C$2:$C$722,2,Данные!$A$2:$A$722,"&gt;="&amp;77233235000,Данные!$A$2:$A$722,"&lt;="&amp;77233235999)</f>
        <v>0</v>
      </c>
      <c r="O130" s="65" t="n">
        <f aca="false">COUNTIFS(Данные!$B$2:$B$722,77,Данные!$C$2:$C$722,2,Данные!$A$2:$A$722,"&gt;="&amp;77233239000,Данные!$A$2:$A$722,"&lt;="&amp;77233239999)</f>
        <v>0</v>
      </c>
      <c r="P130" s="65" t="n">
        <f aca="false">COUNTIFS(Данные!$B$2:$B$722,77,Данные!$C$2:$C$722,2,Данные!$A$2:$A$722,"&gt;="&amp;77233272000,Данные!$A$2:$A$722,"&lt;="&amp;77233272999)</f>
        <v>0</v>
      </c>
      <c r="Q130" s="65" t="n">
        <f aca="false">COUNTIFS(Данные!$B$2:$B$722,77,Данные!$C$2:$C$722,2,Данные!$A$2:$A$722,"&gt;="&amp;77233291100,Данные!$A$2:$A$722,"&lt;="&amp;77233292999)</f>
        <v>0</v>
      </c>
      <c r="R130" s="65" t="n">
        <f aca="false">COUNTIFS(Данные!$B$2:$B$722,77,Данные!$C$2:$C$722,2,Данные!$A$2:$A$722,"&gt;="&amp;77233297000,Данные!$A$2:$A$722,"&lt;="&amp;77233298399)</f>
        <v>0</v>
      </c>
      <c r="S130" s="65" t="n">
        <f aca="false">COUNTIFS(Данные!$B$2:$B$722,77,Данные!$C$2:$C$722,2,Данные!$A$2:$A$722,"&gt;="&amp;77235124000,Данные!$A$2:$A$722,"&lt;="&amp;77235128499)</f>
        <v>0</v>
      </c>
      <c r="T130" s="65" t="n">
        <f aca="false">COUNTIFS(Данные!$B$2:$B$722,77,Данные!$C$2:$C$722,2,Данные!$A$2:$A$722,"&gt;="&amp;77235320000,Данные!$A$2:$A$722,"&lt;="&amp;77235320999)</f>
        <v>0</v>
      </c>
      <c r="U130" s="65" t="n">
        <f aca="false">COUNTIFS(Данные!$B$2:$B$722,77,Данные!$C$2:$C$722,2,Данные!$A$2:$A$722,"&gt;="&amp;77233620000,Данные!$A$2:$A$722,"&lt;="&amp;77233623339)</f>
        <v>0</v>
      </c>
      <c r="V130" s="65" t="n">
        <f aca="false">COUNTIFS(Данные!$B$2:$B$722,77,Данные!$C$2:$C$722,2,Данные!$A$2:$A$722,"&gt;="&amp;77233630000,Данные!$A$2:$A$722,"&lt;="&amp;77233630999)</f>
        <v>0</v>
      </c>
      <c r="W130" s="65" t="n">
        <f aca="false">COUNTIFS(Данные!$B$2:$B$722,77,Данные!$C$2:$C$722,2,Данные!$A$2:$A$722,"&gt;="&amp;77233637000,Данные!$A$2:$A$722,"&lt;="&amp;77233637599)</f>
        <v>0</v>
      </c>
      <c r="X130" s="65" t="n">
        <f aca="false">COUNTIFS(Данные!$B$2:$B$722,77,Данные!$C$2:$C$722,2,Данные!$A$2:$A$722,"&gt;="&amp;77233550000,Данные!$A$2:$A$722,"&lt;="&amp;77233550999)</f>
        <v>0</v>
      </c>
      <c r="Y130" s="65" t="n">
        <f aca="false">COUNTIFS(Данные!$B$2:$B$722,77,Данные!$C$2:$C$722,2,Данные!$A$2:$A$722,"&gt;="&amp;77233554000,Данные!$A$2:$A$722,"&lt;="&amp;77233554999)</f>
        <v>0</v>
      </c>
      <c r="Z130" s="65" t="n">
        <f aca="false">COUNTIFS(Данные!$B$2:$B$722,77,Данные!$C$2:$C$722,2,Данные!$A$2:$A$722,"&gt;="&amp;77233555000,Данные!$A$2:$A$722,"&lt;="&amp;77233556999)</f>
        <v>0</v>
      </c>
      <c r="AA130" s="65" t="n">
        <f aca="false">COUNTIFS(Данные!$B$2:$B$722,77,Данные!$C$2:$C$722,2,Данные!$A$2:$A$722,"&gt;="&amp;77233726000,Данные!$A$2:$A$722,"&lt;="&amp;77233726999)</f>
        <v>0</v>
      </c>
      <c r="AB130" s="65" t="n">
        <f aca="false">COUNTIFS(Данные!$B$2:$B$722,77,Данные!$C$2:$C$722,2,Данные!$A$2:$A$722,"&gt;="&amp;77233820000,Данные!$A$2:$A$722,"&lt;="&amp;77233820999)</f>
        <v>0</v>
      </c>
      <c r="AC130" s="65" t="n">
        <f aca="false">COUNTIFS(Данные!$B$2:$B$722,77,Данные!$C$2:$C$722,2,Данные!$A$2:$A$722,"&gt;="&amp;77233850000,Данные!$A$2:$A$722,"&lt;="&amp;77233850999)</f>
        <v>0</v>
      </c>
      <c r="AD130" s="65" t="n">
        <f aca="false">COUNTIFS(Данные!$B$2:$B$722,77,Данные!$C$2:$C$722,2,Данные!$A$2:$A$722,"&gt;="&amp;77233420000,Данные!$A$2:$A$722,"&lt;="&amp;77233420999)</f>
        <v>0</v>
      </c>
      <c r="AE130" s="65" t="n">
        <f aca="false">COUNTIFS(Данные!$B$2:$B$722,77,Данные!$C$2:$C$722,2,Данные!$A$2:$A$722,"&gt;="&amp;77234740000,Данные!$A$2:$A$722,"&lt;="&amp;77234742999)</f>
        <v>0</v>
      </c>
      <c r="AF130" s="65" t="n">
        <f aca="false">COUNTIFS(Данные!$B$2:$B$722,77,Данные!$C$2:$C$722,2,Данные!$A$2:$A$722,"&gt;="&amp;77234767000,Данные!$A$2:$A$722,"&lt;="&amp;77234767999)</f>
        <v>0</v>
      </c>
      <c r="AG130" s="65" t="n">
        <f aca="false">COUNTIFS(Данные!$B$2:$B$722,77,Данные!$C$2:$C$722,2,Данные!$A$2:$A$722,"&gt;="&amp;77234120000,Данные!$A$2:$A$722,"&lt;="&amp;77234120999)</f>
        <v>0</v>
      </c>
      <c r="AH130" s="65" t="n">
        <f aca="false">COUNTIFS(Данные!$B$2:$B$722,77,Данные!$C$2:$C$722,2,Данные!$A$2:$A$722,"&gt;="&amp;77234127000,Данные!$A$2:$A$722,"&lt;="&amp;77234127999)</f>
        <v>0</v>
      </c>
      <c r="AI130" s="65" t="n">
        <f aca="false">COUNTIFS(Данные!$B$2:$B$722,77,Данные!$C$2:$C$722,2,Данные!$A$2:$A$722,"&gt;="&amp;77234220000,Данные!$A$2:$A$722,"&lt;="&amp;77234220999)</f>
        <v>0</v>
      </c>
      <c r="AJ130" s="65" t="n">
        <f aca="false">COUNTIFS(Данные!$B$2:$B$722,77,Данные!$C$2:$C$722,2,Данные!$A$2:$A$722,"&gt;="&amp;77234250000,Данные!$A$2:$A$722,"&lt;="&amp;77234250999)</f>
        <v>0</v>
      </c>
      <c r="AK130" s="65" t="n">
        <f aca="false">COUNTIFS(Данные!$B$2:$B$722,77,Данные!$C$2:$C$722,2,Данные!$A$2:$A$722,"&gt;="&amp;77233922950,Данные!$A$2:$A$722,"&lt;="&amp;77233924999)</f>
        <v>0</v>
      </c>
      <c r="AL130" s="65" t="n">
        <f aca="false">COUNTIFS(Данные!$B$2:$B$722,77,Данные!$C$2:$C$722,2,Данные!$A$2:$A$722,"&gt;="&amp;77234320000,Данные!$A$2:$A$722,"&lt;="&amp;77234320999)</f>
        <v>0</v>
      </c>
      <c r="AM130" s="65" t="n">
        <f aca="false">COUNTIFS(Данные!$B$2:$B$722,77,Данные!$C$2:$C$722,2,Данные!$A$2:$A$722,"&gt;="&amp;77234350000,Данные!$A$2:$A$722,"&lt;="&amp;77234350999)</f>
        <v>0</v>
      </c>
      <c r="AN130" s="65" t="n">
        <f aca="false">COUNTIFS(Данные!$B$2:$B$722,77,Данные!$C$2:$C$722,2,Данные!$A$2:$A$722,"&gt;="&amp;77234020000,Данные!$A$2:$A$722,"&lt;="&amp;77234020999)</f>
        <v>0</v>
      </c>
      <c r="AO130" s="65" t="n">
        <f aca="false">COUNTIFS(Данные!$B$2:$B$722,77,Данные!$C$2:$C$722,2,Данные!$A$2:$A$722,"&gt;="&amp;77234029000,Данные!$A$2:$A$722,"&lt;="&amp;77234029999)</f>
        <v>0</v>
      </c>
      <c r="AP130" s="65" t="n">
        <f aca="false">COUNTIFS(Данные!$B$2:$B$722,77,Данные!$C$2:$C$722,2,Данные!$A$2:$A$722,"&gt;="&amp;77234050000,Данные!$A$2:$A$722,"&lt;="&amp;77234050999)</f>
        <v>0</v>
      </c>
      <c r="AQ130" s="65" t="n">
        <f aca="false">COUNTIFS(Данные!$B$2:$B$722,77,Данные!$C$2:$C$722,2,Данные!$A$2:$A$722,"&gt;="&amp;77234427000,Данные!$A$2:$A$722,"&lt;="&amp;77234428999)</f>
        <v>0</v>
      </c>
      <c r="AR130" s="65" t="n">
        <f aca="false">COUNTIFS(Данные!$B$2:$B$722,77,Данные!$C$2:$C$722,2,Данные!$A$2:$A$722,"&gt;="&amp;77234450000,Данные!$A$2:$A$722,"&lt;="&amp;77234450999)</f>
        <v>0</v>
      </c>
      <c r="AS130" s="65" t="n">
        <f aca="false">COUNTIFS(Данные!$B$2:$B$722,77,Данные!$C$2:$C$722,2,Данные!$A$2:$A$722,"&gt;="&amp;77234620000,Данные!$A$2:$A$722,"&lt;="&amp;77234620999)</f>
        <v>0</v>
      </c>
      <c r="AT130" s="65" t="n">
        <f aca="false">COUNTIFS(Данные!$B$2:$B$722,77,Данные!$C$2:$C$722,2,Данные!$A$2:$A$722,"&gt;="&amp;77234650000,Данные!$A$2:$A$722,"&lt;="&amp;77234650999)</f>
        <v>0</v>
      </c>
      <c r="AU130" s="65" t="n">
        <f aca="false">COUNTIFS(Данные!$B$2:$B$722,77,Данные!$C$2:$C$722,2,Данные!$A$2:$A$722,"&gt;="&amp;77234820000,Данные!$A$2:$A$722,"&lt;="&amp;77234820999)</f>
        <v>0</v>
      </c>
      <c r="AV130" s="65" t="n">
        <f aca="false">COUNTIFS(Данные!$B$2:$B$722,77,Данные!$C$2:$C$722,2,Данные!$A$2:$A$722,"&gt;="&amp;77234850000,Данные!$A$2:$A$722,"&lt;="&amp;77234850999)</f>
        <v>0</v>
      </c>
      <c r="AW130" s="65" t="n">
        <f aca="false">COUNTIFS(Данные!$B$2:$B$722,77,Данные!$C$2:$C$722,2,Данные!$A$2:$A$722,"&gt;="&amp;77233327000,Данные!$A$2:$A$722,"&lt;="&amp;77233327999)</f>
        <v>0</v>
      </c>
      <c r="AX130" s="65" t="n">
        <f aca="false">COUNTIFS(Данные!$B$2:$B$722,77,Данные!$C$2:$C$722,2,Данные!$A$2:$A$722,"&gt;="&amp;77233350000,Данные!$A$2:$A$722,"&lt;="&amp;77233350599)</f>
        <v>0</v>
      </c>
      <c r="AY130" s="65" t="n">
        <f aca="false">COUNTIFS(Данные!$B$2:$B$722,77,Данные!$C$2:$C$722,2,Данные!$A$2:$A$722,"&gt;="&amp;77233351000,Данные!$A$2:$A$722,"&lt;="&amp;77233351999)</f>
        <v>0</v>
      </c>
      <c r="AZ130" s="66" t="n">
        <f aca="false">COUNTIFS(Данные!$B$2:$B$722,77,Данные!$C$2:$C$722,2,Данные!$A$2:$A$722,"&gt;="&amp;7722440000,Данные!$A$2:$A$722,"&lt;="&amp;7722440999)</f>
        <v>0</v>
      </c>
      <c r="BA130" s="66" t="n">
        <f aca="false">COUNTIFS(Данные!$B$2:$B$722,77,Данные!$C$2:$C$722,2,Данные!$A$2:$A$722,"&gt;="&amp;7722442000,Данные!$A$2:$A$722,"&lt;="&amp;7722445659)</f>
        <v>0</v>
      </c>
      <c r="BB130" s="66" t="n">
        <f aca="false">COUNTIFS(Данные!$B$2:$B$722,77,Данные!$C$2:$C$722,2,Данные!$A$2:$A$722,"&gt;="&amp;7722450000,Данные!$A$2:$A$722,"&lt;="&amp;7722450199)</f>
        <v>0</v>
      </c>
      <c r="BC130" s="66" t="n">
        <f aca="false">COUNTIFS(Данные!$B$2:$B$722,77,Данные!$C$2:$C$722,2,Данные!$A$2:$A$722,"&gt;="&amp;7722451000,Данные!$A$2:$A$722,"&lt;="&amp;7722451374)</f>
        <v>0</v>
      </c>
      <c r="BD130" s="66" t="n">
        <f aca="false">COUNTIFS(Данные!$B$2:$B$722,77,Данные!$C$2:$C$722,2,Данные!$A$2:$A$722,"&gt;="&amp;7722452000,Данные!$A$2:$A$722,"&lt;="&amp;7722452299)</f>
        <v>0</v>
      </c>
      <c r="BE130" s="66" t="n">
        <f aca="false">COUNTIFS(Данные!$B$2:$B$722,77,Данные!$C$2:$C$722,2,Данные!$A$2:$A$722,"&gt;="&amp;7722453000,Данные!$A$2:$A$722,"&lt;="&amp;7722453816)</f>
        <v>0</v>
      </c>
      <c r="BF130" s="66" t="n">
        <f aca="false">COUNTIFS(Данные!$B$2:$B$722,77,Данные!$C$2:$C$722,2,Данные!$A$2:$A$722,"&gt;="&amp;7722454000,Данные!$A$2:$A$722,"&lt;="&amp;7722454099)</f>
        <v>0</v>
      </c>
      <c r="BG130" s="66" t="n">
        <f aca="false">COUNTIFS(Данные!$B$2:$B$722,77,Данные!$C$2:$C$722,2,Данные!$A$2:$A$722,"&gt;="&amp;7722458000,Данные!$A$2:$A$722,"&lt;="&amp;7722458999)</f>
        <v>0</v>
      </c>
      <c r="BH130" s="66" t="n">
        <f aca="false">COUNTIFS(Данные!$B$2:$B$722,77,Данные!$C$2:$C$722,2,Данные!$A$2:$A$722,"&gt;="&amp;7722630000,Данные!$A$2:$A$722,"&lt;="&amp;7722638549)</f>
        <v>0</v>
      </c>
      <c r="BI130" s="66" t="n">
        <f aca="false">COUNTIFS(Данные!$B$2:$B$722,77,Данные!$C$2:$C$722,2,Данные!$A$2:$A$722,"&gt;="&amp;7722639400,Данные!$A$2:$A$722,"&lt;="&amp;7722639899)</f>
        <v>0</v>
      </c>
      <c r="BJ130" s="66" t="n">
        <f aca="false">COUNTIFS(Данные!$B$2:$B$722,77,Данные!$C$2:$C$722,2,Данные!$A$2:$A$722,"&gt;="&amp;7725750000,Данные!$A$2:$A$722,"&lt;="&amp;7725750399)</f>
        <v>0</v>
      </c>
      <c r="BK130" s="66" t="n">
        <f aca="false">COUNTIFS(Данные!$B$2:$B$722,77,Данные!$C$2:$C$722,2,Данные!$A$2:$A$722,"&gt;="&amp;7723620000,Данные!$A$2:$A$722,"&lt;="&amp;7723621299)</f>
        <v>0</v>
      </c>
      <c r="BL130" s="66" t="n">
        <f aca="false">COUNTIFS(Данные!$B$2:$B$722,77,Данные!$C$2:$C$722,2,Данные!$A$2:$A$722,"&gt;="&amp;7723621600,Данные!$A$2:$A$722,"&lt;="&amp;7723623399)</f>
        <v>0</v>
      </c>
      <c r="BM130" s="66" t="n">
        <f aca="false">COUNTIFS(Данные!$B$2:$B$722,77,Данные!$C$2:$C$722,2,Данные!$A$2:$A$722,"&gt;="&amp;7725127000,Данные!$A$2:$A$722,"&lt;="&amp;7725127999)</f>
        <v>0</v>
      </c>
      <c r="BN130" s="66" t="n">
        <f aca="false">COUNTIFS(Данные!$B$2:$B$722,77,Данные!$C$2:$C$722,2,Данные!$A$2:$A$722,"&gt;="&amp;7723772000,Данные!$A$2:$A$722,"&lt;="&amp;7723724999)</f>
        <v>0</v>
      </c>
      <c r="BO130" s="65" t="n">
        <f aca="false">COUNTIFS(Данные!$B$2:$B$722,77,Данные!$C$2:$C$722,2,Данные!$A$2:$A$722,"&gt;="&amp;7723765000,Данные!$A$2:$A$722,"&lt;="&amp;7723765499)</f>
        <v>0</v>
      </c>
      <c r="BP130" s="66" t="n">
        <f aca="false">COUNTIFS(Данные!$B$2:$B$722,77,Данные!$C$2:$C$722,2,Данные!$A$2:$A$722,"&gt;="&amp;7723948000,Данные!$A$2:$A$722,"&lt;="&amp;7723948999)</f>
        <v>0</v>
      </c>
      <c r="BQ130" s="66" t="n">
        <f aca="false">COUNTIFS(Данные!$B$2:$B$722,77,Данные!$C$2:$C$722,2,Данные!$A$2:$A$722,"&gt;="&amp;7723950000,Данные!$A$2:$A$722,"&lt;="&amp;7723951099)</f>
        <v>0</v>
      </c>
      <c r="BR130" s="66" t="n">
        <f aca="false">COUNTIFS(Данные!$B$2:$B$722,77,Данные!$C$2:$C$722,2,Данные!$A$2:$A$722,"&gt;="&amp;7723020000,Данные!$A$2:$A$722,"&lt;="&amp;7723020999)</f>
        <v>0</v>
      </c>
      <c r="BS130" s="66" t="n">
        <f aca="false">COUNTIFS(Данные!$B$2:$B$722,77,Данные!$C$2:$C$722,2,Данные!$A$2:$A$722,"&gt;="&amp;7723029000,Данные!$A$2:$A$722,"&lt;="&amp;7723029999)</f>
        <v>0</v>
      </c>
      <c r="BT130" s="66" t="n">
        <f aca="false">COUNTIFS(Данные!$B$2:$B$722,77,Данные!$C$2:$C$722,2,Данные!$A$2:$A$722,"&gt;="&amp;7723055000,Данные!$A$2:$A$722,"&lt;="&amp;7723056549)</f>
        <v>0</v>
      </c>
      <c r="BU130" s="65" t="n">
        <f aca="false">COUNTIFS(Данные!$B$2:$B$722,77,Данные!$C$2:$C$722,2,Данные!$A$2:$A$722,"&gt;="&amp;7725250000,Данные!$A$2:$A$722,"&lt;="&amp;7725250499)</f>
        <v>0</v>
      </c>
      <c r="BV130" s="66" t="n">
        <f aca="false">COUNTIFS(Данные!$B$2:$B$722,77,Данные!$C$2:$C$722,2,Данные!$A$2:$A$722,"&gt;="&amp;7183841400,Данные!$A$2:$A$722,"&lt;="&amp;7183841499)</f>
        <v>0</v>
      </c>
      <c r="BW130" s="49" t="n">
        <v>300</v>
      </c>
      <c r="BX130" s="67" t="n">
        <f aca="false">F130-BW130</f>
        <v>-299</v>
      </c>
    </row>
    <row r="131" s="15" customFormat="true" ht="12" hidden="false" customHeight="true" outlineLevel="0" collapsed="false">
      <c r="A131" s="38" t="n">
        <v>78</v>
      </c>
      <c r="B131" s="39" t="s">
        <v>103</v>
      </c>
      <c r="C131" s="41" t="n">
        <v>0</v>
      </c>
      <c r="D131" s="41" t="n">
        <v>780</v>
      </c>
      <c r="E131" s="42" t="n">
        <f aca="false">SUM(F131:F133)</f>
        <v>0</v>
      </c>
      <c r="F131" s="62" t="n">
        <f aca="false">COUNTIFS(Данные!$B$2:$B$722,78,Данные!$C$2:$C$722,0)</f>
        <v>0</v>
      </c>
      <c r="G131" s="62" t="n">
        <f aca="false">COUNTIFS(Данные!$B$2:$B$722,78,Данные!$C$2:$C$722,0,Данные!$A$2:$A$722,"&gt;="&amp;77232210840,Данные!$A$2:$A$722,"&lt;="&amp;77232216999)</f>
        <v>0</v>
      </c>
      <c r="H131" s="62" t="n">
        <f aca="false">COUNTIFS(Данные!$B$2:$B$722,78,Данные!$C$2:$C$722,0,Данные!$A$2:$A$722,"&gt;="&amp;77232510512,Данные!$A$2:$A$722,"&lt;="&amp;77232519487)</f>
        <v>0</v>
      </c>
      <c r="I131" s="62" t="n">
        <f aca="false">COUNTIFS(Данные!$B$2:$B$722,78,Данные!$C$2:$C$722,0,Данные!$A$2:$A$722,"&gt;="&amp;77232524160,Данные!$A$2:$A$722,"&lt;="&amp;77232529999)</f>
        <v>0</v>
      </c>
      <c r="J131" s="62" t="n">
        <f aca="false">COUNTIFS(Данные!$B$2:$B$722,78,Данные!$C$2:$C$722,0,Данные!$A$2:$A$722,"&gt;="&amp;77232544000,Данные!$A$2:$A$722,"&lt;="&amp;77232544999)</f>
        <v>0</v>
      </c>
      <c r="K131" s="62" t="n">
        <f aca="false">COUNTIFS(Данные!$B$2:$B$722,78,Данные!$C$2:$C$722,0,Данные!$A$2:$A$722,"&gt;="&amp;77232295504,Данные!$A$2:$A$722,"&lt;="&amp;77232296999)</f>
        <v>0</v>
      </c>
      <c r="L131" s="62" t="n">
        <f aca="false">COUNTIFS(Данные!$B$2:$B$722,78,Данные!$C$2:$C$722,0,Данные!$A$2:$A$722,"&gt;="&amp;77232785000,Данные!$A$2:$A$722,"&lt;="&amp;77232789999)</f>
        <v>0</v>
      </c>
      <c r="M131" s="62" t="n">
        <f aca="false">COUNTIFS(Данные!$B$2:$B$722,78,Данные!$C$2:$C$722,0,Данные!$A$2:$A$722,"&gt;="&amp;77233150000,Данные!$A$2:$A$722,"&lt;="&amp;77233155999)</f>
        <v>0</v>
      </c>
      <c r="N131" s="62" t="n">
        <f aca="false">COUNTIFS(Данные!$B$2:$B$722,78,Данные!$C$2:$C$722,0,Данные!$A$2:$A$722,"&gt;="&amp;77233235000,Данные!$A$2:$A$722,"&lt;="&amp;77233235999)</f>
        <v>0</v>
      </c>
      <c r="O131" s="62" t="n">
        <f aca="false">COUNTIFS(Данные!$B$2:$B$722,78,Данные!$C$2:$C$722,0,Данные!$A$2:$A$722,"&gt;="&amp;77233239000,Данные!$A$2:$A$722,"&lt;="&amp;77233239999)</f>
        <v>0</v>
      </c>
      <c r="P131" s="62" t="n">
        <f aca="false">COUNTIFS(Данные!$B$2:$B$722,78,Данные!$C$2:$C$722,0,Данные!$A$2:$A$722,"&gt;="&amp;77233272000,Данные!$A$2:$A$722,"&lt;="&amp;77233272999)</f>
        <v>0</v>
      </c>
      <c r="Q131" s="62" t="n">
        <f aca="false">COUNTIFS(Данные!$B$2:$B$722,78,Данные!$C$2:$C$722,0,Данные!$A$2:$A$722,"&gt;="&amp;77233291100,Данные!$A$2:$A$722,"&lt;="&amp;77233292999)</f>
        <v>0</v>
      </c>
      <c r="R131" s="62" t="n">
        <f aca="false">COUNTIFS(Данные!$B$2:$B$722,78,Данные!$C$2:$C$722,0,Данные!$A$2:$A$722,"&gt;="&amp;77233297000,Данные!$A$2:$A$722,"&lt;="&amp;77233298399)</f>
        <v>0</v>
      </c>
      <c r="S131" s="62" t="n">
        <f aca="false">COUNTIFS(Данные!$B$2:$B$722,78,Данные!$C$2:$C$722,0,Данные!$A$2:$A$722,"&gt;="&amp;77235124000,Данные!$A$2:$A$722,"&lt;="&amp;77235128499)</f>
        <v>0</v>
      </c>
      <c r="T131" s="62" t="n">
        <f aca="false">COUNTIFS(Данные!$B$2:$B$722,78,Данные!$C$2:$C$722,0,Данные!$A$2:$A$722,"&gt;="&amp;77235320000,Данные!$A$2:$A$722,"&lt;="&amp;77235320999)</f>
        <v>0</v>
      </c>
      <c r="U131" s="62" t="n">
        <f aca="false">COUNTIFS(Данные!$B$2:$B$722,78,Данные!$C$2:$C$722,0,Данные!$A$2:$A$722,"&gt;="&amp;77233620000,Данные!$A$2:$A$722,"&lt;="&amp;77233623339)</f>
        <v>0</v>
      </c>
      <c r="V131" s="62" t="n">
        <f aca="false">COUNTIFS(Данные!$B$2:$B$722,78,Данные!$C$2:$C$722,0,Данные!$A$2:$A$722,"&gt;="&amp;77233630000,Данные!$A$2:$A$722,"&lt;="&amp;77233630999)</f>
        <v>0</v>
      </c>
      <c r="W131" s="62" t="n">
        <f aca="false">COUNTIFS(Данные!$B$2:$B$722,78,Данные!$C$2:$C$722,0,Данные!$A$2:$A$722,"&gt;="&amp;77233637000,Данные!$A$2:$A$722,"&lt;="&amp;77233637599)</f>
        <v>0</v>
      </c>
      <c r="X131" s="62" t="n">
        <f aca="false">COUNTIFS(Данные!$B$2:$B$722,78,Данные!$C$2:$C$722,0,Данные!$A$2:$A$722,"&gt;="&amp;77233550000,Данные!$A$2:$A$722,"&lt;="&amp;77233550999)</f>
        <v>0</v>
      </c>
      <c r="Y131" s="62" t="n">
        <f aca="false">COUNTIFS(Данные!$B$2:$B$722,78,Данные!$C$2:$C$722,0,Данные!$A$2:$A$722,"&gt;="&amp;77233554000,Данные!$A$2:$A$722,"&lt;="&amp;77233554999)</f>
        <v>0</v>
      </c>
      <c r="Z131" s="62" t="n">
        <f aca="false">COUNTIFS(Данные!$B$2:$B$722,78,Данные!$C$2:$C$722,0,Данные!$A$2:$A$722,"&gt;="&amp;77233555000,Данные!$A$2:$A$722,"&lt;="&amp;77233556999)</f>
        <v>0</v>
      </c>
      <c r="AA131" s="62" t="n">
        <f aca="false">COUNTIFS(Данные!$B$2:$B$722,78,Данные!$C$2:$C$722,0,Данные!$A$2:$A$722,"&gt;="&amp;77233726000,Данные!$A$2:$A$722,"&lt;="&amp;77233726999)</f>
        <v>0</v>
      </c>
      <c r="AB131" s="62" t="n">
        <f aca="false">COUNTIFS(Данные!$B$2:$B$722,78,Данные!$C$2:$C$722,0,Данные!$A$2:$A$722,"&gt;="&amp;77233820000,Данные!$A$2:$A$722,"&lt;="&amp;77233820999)</f>
        <v>0</v>
      </c>
      <c r="AC131" s="62" t="n">
        <f aca="false">COUNTIFS(Данные!$B$2:$B$722,78,Данные!$C$2:$C$722,0,Данные!$A$2:$A$722,"&gt;="&amp;77233850000,Данные!$A$2:$A$722,"&lt;="&amp;77233850999)</f>
        <v>0</v>
      </c>
      <c r="AD131" s="62" t="n">
        <f aca="false">COUNTIFS(Данные!$B$2:$B$722,78,Данные!$C$2:$C$722,0,Данные!$A$2:$A$722,"&gt;="&amp;77233420000,Данные!$A$2:$A$722,"&lt;="&amp;77233420999)</f>
        <v>0</v>
      </c>
      <c r="AE131" s="62" t="n">
        <f aca="false">COUNTIFS(Данные!$B$2:$B$722,78,Данные!$C$2:$C$722,0,Данные!$A$2:$A$722,"&gt;="&amp;77234740000,Данные!$A$2:$A$722,"&lt;="&amp;77234742999)</f>
        <v>0</v>
      </c>
      <c r="AF131" s="62" t="n">
        <f aca="false">COUNTIFS(Данные!$B$2:$B$722,78,Данные!$C$2:$C$722,0,Данные!$A$2:$A$722,"&gt;="&amp;77234767000,Данные!$A$2:$A$722,"&lt;="&amp;77234767999)</f>
        <v>0</v>
      </c>
      <c r="AG131" s="62" t="n">
        <f aca="false">COUNTIFS(Данные!$B$2:$B$722,78,Данные!$C$2:$C$722,0,Данные!$A$2:$A$722,"&gt;="&amp;77234120000,Данные!$A$2:$A$722,"&lt;="&amp;77234120999)</f>
        <v>0</v>
      </c>
      <c r="AH131" s="62" t="n">
        <f aca="false">COUNTIFS(Данные!$B$2:$B$722,78,Данные!$C$2:$C$722,0,Данные!$A$2:$A$722,"&gt;="&amp;77234127000,Данные!$A$2:$A$722,"&lt;="&amp;77234127999)</f>
        <v>0</v>
      </c>
      <c r="AI131" s="62" t="n">
        <f aca="false">COUNTIFS(Данные!$B$2:$B$722,78,Данные!$C$2:$C$722,0,Данные!$A$2:$A$722,"&gt;="&amp;77234220000,Данные!$A$2:$A$722,"&lt;="&amp;77234220999)</f>
        <v>0</v>
      </c>
      <c r="AJ131" s="62" t="n">
        <f aca="false">COUNTIFS(Данные!$B$2:$B$722,78,Данные!$C$2:$C$722,0,Данные!$A$2:$A$722,"&gt;="&amp;77234250000,Данные!$A$2:$A$722,"&lt;="&amp;77234250999)</f>
        <v>0</v>
      </c>
      <c r="AK131" s="62" t="n">
        <f aca="false">COUNTIFS(Данные!$B$2:$B$722,78,Данные!$C$2:$C$722,0,Данные!$A$2:$A$722,"&gt;="&amp;77233922950,Данные!$A$2:$A$722,"&lt;="&amp;77233924999)</f>
        <v>0</v>
      </c>
      <c r="AL131" s="62" t="n">
        <f aca="false">COUNTIFS(Данные!$B$2:$B$722,78,Данные!$C$2:$C$722,0,Данные!$A$2:$A$722,"&gt;="&amp;77234320000,Данные!$A$2:$A$722,"&lt;="&amp;77234320999)</f>
        <v>0</v>
      </c>
      <c r="AM131" s="62" t="n">
        <f aca="false">COUNTIFS(Данные!$B$2:$B$722,78,Данные!$C$2:$C$722,0,Данные!$A$2:$A$722,"&gt;="&amp;77234350000,Данные!$A$2:$A$722,"&lt;="&amp;77234350999)</f>
        <v>0</v>
      </c>
      <c r="AN131" s="62" t="n">
        <f aca="false">COUNTIFS(Данные!$B$2:$B$722,78,Данные!$C$2:$C$722,0,Данные!$A$2:$A$722,"&gt;="&amp;77234020000,Данные!$A$2:$A$722,"&lt;="&amp;77234020999)</f>
        <v>0</v>
      </c>
      <c r="AO131" s="62" t="n">
        <f aca="false">COUNTIFS(Данные!$B$2:$B$722,78,Данные!$C$2:$C$722,0,Данные!$A$2:$A$722,"&gt;="&amp;77234029000,Данные!$A$2:$A$722,"&lt;="&amp;77234029999)</f>
        <v>0</v>
      </c>
      <c r="AP131" s="62" t="n">
        <f aca="false">COUNTIFS(Данные!$B$2:$B$722,78,Данные!$C$2:$C$722,0,Данные!$A$2:$A$722,"&gt;="&amp;77234050000,Данные!$A$2:$A$722,"&lt;="&amp;77234050999)</f>
        <v>0</v>
      </c>
      <c r="AQ131" s="62" t="n">
        <f aca="false">COUNTIFS(Данные!$B$2:$B$722,78,Данные!$C$2:$C$722,0,Данные!$A$2:$A$722,"&gt;="&amp;77234427000,Данные!$A$2:$A$722,"&lt;="&amp;77234428999)</f>
        <v>0</v>
      </c>
      <c r="AR131" s="62" t="n">
        <f aca="false">COUNTIFS(Данные!$B$2:$B$722,78,Данные!$C$2:$C$722,0,Данные!$A$2:$A$722,"&gt;="&amp;77234450000,Данные!$A$2:$A$722,"&lt;="&amp;77234450999)</f>
        <v>0</v>
      </c>
      <c r="AS131" s="62" t="n">
        <f aca="false">COUNTIFS(Данные!$B$2:$B$722,78,Данные!$C$2:$C$722,0,Данные!$A$2:$A$722,"&gt;="&amp;77234620000,Данные!$A$2:$A$722,"&lt;="&amp;77234620999)</f>
        <v>0</v>
      </c>
      <c r="AT131" s="62" t="n">
        <f aca="false">COUNTIFS(Данные!$B$2:$B$722,78,Данные!$C$2:$C$722,0,Данные!$A$2:$A$722,"&gt;="&amp;77234650000,Данные!$A$2:$A$722,"&lt;="&amp;77234650999)</f>
        <v>0</v>
      </c>
      <c r="AU131" s="62" t="n">
        <f aca="false">COUNTIFS(Данные!$B$2:$B$722,78,Данные!$C$2:$C$722,0,Данные!$A$2:$A$722,"&gt;="&amp;77234820000,Данные!$A$2:$A$722,"&lt;="&amp;77234820999)</f>
        <v>0</v>
      </c>
      <c r="AV131" s="62" t="n">
        <f aca="false">COUNTIFS(Данные!$B$2:$B$722,78,Данные!$C$2:$C$722,0,Данные!$A$2:$A$722,"&gt;="&amp;77234850000,Данные!$A$2:$A$722,"&lt;="&amp;77234850999)</f>
        <v>0</v>
      </c>
      <c r="AW131" s="62" t="n">
        <f aca="false">COUNTIFS(Данные!$B$2:$B$722,78,Данные!$C$2:$C$722,0,Данные!$A$2:$A$722,"&gt;="&amp;77233327000,Данные!$A$2:$A$722,"&lt;="&amp;77233327999)</f>
        <v>0</v>
      </c>
      <c r="AX131" s="62" t="n">
        <f aca="false">COUNTIFS(Данные!$B$2:$B$722,78,Данные!$C$2:$C$722,0,Данные!$A$2:$A$722,"&gt;="&amp;77233350000,Данные!$A$2:$A$722,"&lt;="&amp;77233350599)</f>
        <v>0</v>
      </c>
      <c r="AY131" s="62" t="n">
        <f aca="false">COUNTIFS(Данные!$B$2:$B$722,78,Данные!$C$2:$C$722,0,Данные!$A$2:$A$722,"&gt;="&amp;77233351000,Данные!$A$2:$A$722,"&lt;="&amp;77233351999)</f>
        <v>0</v>
      </c>
      <c r="AZ131" s="62" t="n">
        <f aca="false">COUNTIFS(Данные!$B$2:$B$722,78,Данные!$C$2:$C$722,0,Данные!$A$2:$A$722,"&gt;="&amp;7722440000,Данные!$A$2:$A$722,"&lt;="&amp;7722440999)</f>
        <v>0</v>
      </c>
      <c r="BA131" s="63" t="n">
        <f aca="false">COUNTIFS(Данные!$B$2:$B$722,78,Данные!$C$2:$C$722,0,Данные!$A$2:$A$722,"&gt;="&amp;7722442000,Данные!$A$2:$A$722,"&lt;="&amp;7722445659)</f>
        <v>0</v>
      </c>
      <c r="BB131" s="63" t="n">
        <f aca="false">COUNTIFS(Данные!$B$2:$B$722,78,Данные!$C$2:$C$722,0,Данные!$A$2:$A$722,"&gt;="&amp;7722450000,Данные!$A$2:$A$722,"&lt;="&amp;7722450199)</f>
        <v>0</v>
      </c>
      <c r="BC131" s="63" t="n">
        <f aca="false">COUNTIFS(Данные!$B$2:$B$722,78,Данные!$C$2:$C$722,0,Данные!$A$2:$A$722,"&gt;="&amp;7722451000,Данные!$A$2:$A$722,"&lt;="&amp;7722451374)</f>
        <v>0</v>
      </c>
      <c r="BD131" s="63" t="n">
        <f aca="false">COUNTIFS(Данные!$B$2:$B$722,78,Данные!$C$2:$C$722,0,Данные!$A$2:$A$722,"&gt;="&amp;7722452000,Данные!$A$2:$A$722,"&lt;="&amp;7722452299)</f>
        <v>0</v>
      </c>
      <c r="BE131" s="63" t="n">
        <f aca="false">COUNTIFS(Данные!$B$2:$B$722,78,Данные!$C$2:$C$722,0,Данные!$A$2:$A$722,"&gt;="&amp;7722453000,Данные!$A$2:$A$722,"&lt;="&amp;7722453816)</f>
        <v>0</v>
      </c>
      <c r="BF131" s="63" t="n">
        <f aca="false">COUNTIFS(Данные!$B$2:$B$722,78,Данные!$C$2:$C$722,0,Данные!$A$2:$A$722,"&gt;="&amp;7722454000,Данные!$A$2:$A$722,"&lt;="&amp;7722454099)</f>
        <v>0</v>
      </c>
      <c r="BG131" s="63" t="n">
        <f aca="false">COUNTIFS(Данные!$B$2:$B$722,78,Данные!$C$2:$C$722,0,Данные!$A$2:$A$722,"&gt;="&amp;7722458000,Данные!$A$2:$A$722,"&lt;="&amp;7722458999)</f>
        <v>0</v>
      </c>
      <c r="BH131" s="63" t="n">
        <f aca="false">COUNTIFS(Данные!$B$2:$B$722,78,Данные!$C$2:$C$722,0,Данные!$A$2:$A$722,"&gt;="&amp;7722630000,Данные!$A$2:$A$722,"&lt;="&amp;7722638549)</f>
        <v>0</v>
      </c>
      <c r="BI131" s="63" t="n">
        <f aca="false">COUNTIFS(Данные!$B$2:$B$722,78,Данные!$C$2:$C$722,0,Данные!$A$2:$A$722,"&gt;="&amp;7722639400,Данные!$A$2:$A$722,"&lt;="&amp;7722639899)</f>
        <v>0</v>
      </c>
      <c r="BJ131" s="63" t="n">
        <f aca="false">COUNTIFS(Данные!$B$2:$B$722,78,Данные!$C$2:$C$722,0,Данные!$A$2:$A$722,"&gt;="&amp;7725750000,Данные!$A$2:$A$722,"&lt;="&amp;7725750399)</f>
        <v>0</v>
      </c>
      <c r="BK131" s="63" t="n">
        <f aca="false">COUNTIFS(Данные!$B$2:$B$722,78,Данные!$C$2:$C$722,0,Данные!$A$2:$A$722,"&gt;="&amp;7723620000,Данные!$A$2:$A$722,"&lt;="&amp;7723621299)</f>
        <v>0</v>
      </c>
      <c r="BL131" s="63" t="n">
        <f aca="false">COUNTIFS(Данные!$B$2:$B$722,78,Данные!$C$2:$C$722,0,Данные!$A$2:$A$722,"&gt;="&amp;7723621600,Данные!$A$2:$A$722,"&lt;="&amp;7723623399)</f>
        <v>0</v>
      </c>
      <c r="BM131" s="63" t="n">
        <f aca="false">COUNTIFS(Данные!$B$2:$B$722,78,Данные!$C$2:$C$722,0,Данные!$A$2:$A$722,"&gt;="&amp;7725127000,Данные!$A$2:$A$722,"&lt;="&amp;7725127999)</f>
        <v>0</v>
      </c>
      <c r="BN131" s="63" t="n">
        <f aca="false">COUNTIFS(Данные!$B$2:$B$722,78,Данные!$C$2:$C$722,0,Данные!$A$2:$A$722,"&gt;="&amp;7723772000,Данные!$A$2:$A$722,"&lt;="&amp;7723724999)</f>
        <v>0</v>
      </c>
      <c r="BO131" s="62" t="n">
        <f aca="false">COUNTIFS(Данные!$B$2:$B$722,78,Данные!$C$2:$C$722,0,Данные!$A$2:$A$722,"&gt;="&amp;7723765000,Данные!$A$2:$A$722,"&lt;="&amp;7723765499)</f>
        <v>0</v>
      </c>
      <c r="BP131" s="63" t="n">
        <f aca="false">COUNTIFS(Данные!$B$2:$B$722,78,Данные!$C$2:$C$722,0,Данные!$A$2:$A$722,"&gt;="&amp;7723948000,Данные!$A$2:$A$722,"&lt;="&amp;7723948999)</f>
        <v>0</v>
      </c>
      <c r="BQ131" s="63" t="n">
        <f aca="false">COUNTIFS(Данные!$B$2:$B$722,78,Данные!$C$2:$C$722,0,Данные!$A$2:$A$722,"&gt;="&amp;7723950000,Данные!$A$2:$A$722,"&lt;="&amp;7723951099)</f>
        <v>0</v>
      </c>
      <c r="BR131" s="63" t="n">
        <f aca="false">COUNTIFS(Данные!$B$2:$B$722,78,Данные!$C$2:$C$722,0,Данные!$A$2:$A$722,"&gt;="&amp;7723020000,Данные!$A$2:$A$722,"&lt;="&amp;7723020999)</f>
        <v>0</v>
      </c>
      <c r="BS131" s="63" t="n">
        <f aca="false">COUNTIFS(Данные!$B$2:$B$722,78,Данные!$C$2:$C$722,0,Данные!$A$2:$A$722,"&gt;="&amp;7723029000,Данные!$A$2:$A$722,"&lt;="&amp;7723029999)</f>
        <v>0</v>
      </c>
      <c r="BT131" s="63" t="n">
        <f aca="false">COUNTIFS(Данные!$B$2:$B$722,78,Данные!$C$2:$C$722,0,Данные!$A$2:$A$722,"&gt;="&amp;7723055000,Данные!$A$2:$A$722,"&lt;="&amp;7723056549)</f>
        <v>0</v>
      </c>
      <c r="BU131" s="62" t="n">
        <f aca="false">COUNTIFS(Данные!$B$2:$B$722,78,Данные!$C$2:$C$722,0,Данные!$A$2:$A$722,"&gt;="&amp;7725250000,Данные!$A$2:$A$722,"&lt;="&amp;7725250499)</f>
        <v>0</v>
      </c>
      <c r="BV131" s="63" t="n">
        <f aca="false">COUNTIFS(Данные!$B$2:$B$722,78,Данные!$C$2:$C$722,0,Данные!$A$2:$A$722,"&gt;="&amp;7183841400,Данные!$A$2:$A$722,"&lt;="&amp;7183841499)</f>
        <v>0</v>
      </c>
      <c r="BW131" s="40" t="n">
        <v>300</v>
      </c>
      <c r="BX131" s="64" t="n">
        <f aca="false">F131-BW131</f>
        <v>-300</v>
      </c>
    </row>
    <row r="132" s="15" customFormat="true" ht="12" hidden="false" customHeight="true" outlineLevel="0" collapsed="false">
      <c r="A132" s="38"/>
      <c r="B132" s="39"/>
      <c r="C132" s="41" t="n">
        <v>1</v>
      </c>
      <c r="D132" s="41" t="n">
        <v>781</v>
      </c>
      <c r="E132" s="42"/>
      <c r="F132" s="62" t="n">
        <f aca="false">COUNTIFS(Данные!$B$2:$B$722,78,Данные!$C$2:$C$722,1)</f>
        <v>0</v>
      </c>
      <c r="G132" s="62" t="n">
        <f aca="false">COUNTIFS(Данные!$B$2:$B$722,78,Данные!$C$2:$C$722,1,Данные!$A$2:$A$722,"&gt;="&amp;77232210840,Данные!$A$2:$A$722,"&lt;="&amp;77232216999)</f>
        <v>0</v>
      </c>
      <c r="H132" s="62" t="n">
        <f aca="false">COUNTIFS(Данные!$B$2:$B$722,78,Данные!$C$2:$C$722,1,Данные!$A$2:$A$722,"&gt;="&amp;77232510512,Данные!$A$2:$A$722,"&lt;="&amp;77232519487)</f>
        <v>0</v>
      </c>
      <c r="I132" s="62" t="n">
        <f aca="false">COUNTIFS(Данные!$B$2:$B$722,78,Данные!$C$2:$C$722,1,Данные!$A$2:$A$722,"&gt;="&amp;77232524160,Данные!$A$2:$A$722,"&lt;="&amp;77232529999)</f>
        <v>0</v>
      </c>
      <c r="J132" s="62" t="n">
        <f aca="false">COUNTIFS(Данные!$B$2:$B$722,78,Данные!$C$2:$C$722,1,Данные!$A$2:$A$722,"&gt;="&amp;77232544000,Данные!$A$2:$A$722,"&lt;="&amp;77232544999)</f>
        <v>0</v>
      </c>
      <c r="K132" s="62" t="n">
        <f aca="false">COUNTIFS(Данные!$B$2:$B$722,78,Данные!$C$2:$C$722,1,Данные!$A$2:$A$722,"&gt;="&amp;77232295504,Данные!$A$2:$A$722,"&lt;="&amp;77232296999)</f>
        <v>0</v>
      </c>
      <c r="L132" s="62" t="n">
        <f aca="false">COUNTIFS(Данные!$B$2:$B$722,78,Данные!$C$2:$C$722,1,Данные!$A$2:$A$722,"&gt;="&amp;77232785000,Данные!$A$2:$A$722,"&lt;="&amp;77232789999)</f>
        <v>0</v>
      </c>
      <c r="M132" s="62" t="n">
        <f aca="false">COUNTIFS(Данные!$B$2:$B$722,78,Данные!$C$2:$C$722,1,Данные!$A$2:$A$722,"&gt;="&amp;77233150000,Данные!$A$2:$A$722,"&lt;="&amp;77233155999)</f>
        <v>0</v>
      </c>
      <c r="N132" s="62" t="n">
        <f aca="false">COUNTIFS(Данные!$B$2:$B$722,78,Данные!$C$2:$C$722,1,Данные!$A$2:$A$722,"&gt;="&amp;77233235000,Данные!$A$2:$A$722,"&lt;="&amp;77233235999)</f>
        <v>0</v>
      </c>
      <c r="O132" s="62" t="n">
        <f aca="false">COUNTIFS(Данные!$B$2:$B$722,78,Данные!$C$2:$C$722,1,Данные!$A$2:$A$722,"&gt;="&amp;77233239000,Данные!$A$2:$A$722,"&lt;="&amp;77233239999)</f>
        <v>0</v>
      </c>
      <c r="P132" s="62" t="n">
        <f aca="false">COUNTIFS(Данные!$B$2:$B$722,78,Данные!$C$2:$C$722,1,Данные!$A$2:$A$722,"&gt;="&amp;77233272000,Данные!$A$2:$A$722,"&lt;="&amp;77233272999)</f>
        <v>0</v>
      </c>
      <c r="Q132" s="62" t="n">
        <f aca="false">COUNTIFS(Данные!$B$2:$B$722,78,Данные!$C$2:$C$722,1,Данные!$A$2:$A$722,"&gt;="&amp;77233291100,Данные!$A$2:$A$722,"&lt;="&amp;77233292999)</f>
        <v>0</v>
      </c>
      <c r="R132" s="62" t="n">
        <f aca="false">COUNTIFS(Данные!$B$2:$B$722,78,Данные!$C$2:$C$722,1,Данные!$A$2:$A$722,"&gt;="&amp;77233297000,Данные!$A$2:$A$722,"&lt;="&amp;77233298399)</f>
        <v>0</v>
      </c>
      <c r="S132" s="62" t="n">
        <f aca="false">COUNTIFS(Данные!$B$2:$B$722,78,Данные!$C$2:$C$722,1,Данные!$A$2:$A$722,"&gt;="&amp;77235124000,Данные!$A$2:$A$722,"&lt;="&amp;77235128499)</f>
        <v>0</v>
      </c>
      <c r="T132" s="62" t="n">
        <f aca="false">COUNTIFS(Данные!$B$2:$B$722,78,Данные!$C$2:$C$722,1,Данные!$A$2:$A$722,"&gt;="&amp;77235320000,Данные!$A$2:$A$722,"&lt;="&amp;77235320999)</f>
        <v>0</v>
      </c>
      <c r="U132" s="62" t="n">
        <f aca="false">COUNTIFS(Данные!$B$2:$B$722,78,Данные!$C$2:$C$722,1,Данные!$A$2:$A$722,"&gt;="&amp;77233620000,Данные!$A$2:$A$722,"&lt;="&amp;77233623339)</f>
        <v>0</v>
      </c>
      <c r="V132" s="62" t="n">
        <f aca="false">COUNTIFS(Данные!$B$2:$B$722,78,Данные!$C$2:$C$722,1,Данные!$A$2:$A$722,"&gt;="&amp;77233630000,Данные!$A$2:$A$722,"&lt;="&amp;77233630999)</f>
        <v>0</v>
      </c>
      <c r="W132" s="62" t="n">
        <f aca="false">COUNTIFS(Данные!$B$2:$B$722,78,Данные!$C$2:$C$722,1,Данные!$A$2:$A$722,"&gt;="&amp;77233637000,Данные!$A$2:$A$722,"&lt;="&amp;77233637599)</f>
        <v>0</v>
      </c>
      <c r="X132" s="62" t="n">
        <f aca="false">COUNTIFS(Данные!$B$2:$B$722,78,Данные!$C$2:$C$722,1,Данные!$A$2:$A$722,"&gt;="&amp;77233550000,Данные!$A$2:$A$722,"&lt;="&amp;77233550999)</f>
        <v>0</v>
      </c>
      <c r="Y132" s="62" t="n">
        <f aca="false">COUNTIFS(Данные!$B$2:$B$722,78,Данные!$C$2:$C$722,1,Данные!$A$2:$A$722,"&gt;="&amp;77233554000,Данные!$A$2:$A$722,"&lt;="&amp;77233554999)</f>
        <v>0</v>
      </c>
      <c r="Z132" s="62" t="n">
        <f aca="false">COUNTIFS(Данные!$B$2:$B$722,78,Данные!$C$2:$C$722,1,Данные!$A$2:$A$722,"&gt;="&amp;77233555000,Данные!$A$2:$A$722,"&lt;="&amp;77233556999)</f>
        <v>0</v>
      </c>
      <c r="AA132" s="62" t="n">
        <f aca="false">COUNTIFS(Данные!$B$2:$B$722,78,Данные!$C$2:$C$722,1,Данные!$A$2:$A$722,"&gt;="&amp;77233726000,Данные!$A$2:$A$722,"&lt;="&amp;77233726999)</f>
        <v>0</v>
      </c>
      <c r="AB132" s="62" t="n">
        <f aca="false">COUNTIFS(Данные!$B$2:$B$722,78,Данные!$C$2:$C$722,1,Данные!$A$2:$A$722,"&gt;="&amp;77233820000,Данные!$A$2:$A$722,"&lt;="&amp;77233820999)</f>
        <v>0</v>
      </c>
      <c r="AC132" s="62" t="n">
        <f aca="false">COUNTIFS(Данные!$B$2:$B$722,78,Данные!$C$2:$C$722,1,Данные!$A$2:$A$722,"&gt;="&amp;77233850000,Данные!$A$2:$A$722,"&lt;="&amp;77233850999)</f>
        <v>0</v>
      </c>
      <c r="AD132" s="62" t="n">
        <f aca="false">COUNTIFS(Данные!$B$2:$B$722,78,Данные!$C$2:$C$722,1,Данные!$A$2:$A$722,"&gt;="&amp;77233420000,Данные!$A$2:$A$722,"&lt;="&amp;77233420999)</f>
        <v>0</v>
      </c>
      <c r="AE132" s="62" t="n">
        <f aca="false">COUNTIFS(Данные!$B$2:$B$722,78,Данные!$C$2:$C$722,1,Данные!$A$2:$A$722,"&gt;="&amp;77234740000,Данные!$A$2:$A$722,"&lt;="&amp;77234742999)</f>
        <v>0</v>
      </c>
      <c r="AF132" s="62" t="n">
        <f aca="false">COUNTIFS(Данные!$B$2:$B$722,78,Данные!$C$2:$C$722,1,Данные!$A$2:$A$722,"&gt;="&amp;77234767000,Данные!$A$2:$A$722,"&lt;="&amp;77234767999)</f>
        <v>0</v>
      </c>
      <c r="AG132" s="62" t="n">
        <f aca="false">COUNTIFS(Данные!$B$2:$B$722,78,Данные!$C$2:$C$722,1,Данные!$A$2:$A$722,"&gt;="&amp;77234120000,Данные!$A$2:$A$722,"&lt;="&amp;77234120999)</f>
        <v>0</v>
      </c>
      <c r="AH132" s="62" t="n">
        <f aca="false">COUNTIFS(Данные!$B$2:$B$722,78,Данные!$C$2:$C$722,1,Данные!$A$2:$A$722,"&gt;="&amp;77234127000,Данные!$A$2:$A$722,"&lt;="&amp;77234127999)</f>
        <v>0</v>
      </c>
      <c r="AI132" s="62" t="n">
        <f aca="false">COUNTIFS(Данные!$B$2:$B$722,78,Данные!$C$2:$C$722,1,Данные!$A$2:$A$722,"&gt;="&amp;77234220000,Данные!$A$2:$A$722,"&lt;="&amp;77234220999)</f>
        <v>0</v>
      </c>
      <c r="AJ132" s="62" t="n">
        <f aca="false">COUNTIFS(Данные!$B$2:$B$722,78,Данные!$C$2:$C$722,1,Данные!$A$2:$A$722,"&gt;="&amp;77234250000,Данные!$A$2:$A$722,"&lt;="&amp;77234250999)</f>
        <v>0</v>
      </c>
      <c r="AK132" s="62" t="n">
        <f aca="false">COUNTIFS(Данные!$B$2:$B$722,78,Данные!$C$2:$C$722,1,Данные!$A$2:$A$722,"&gt;="&amp;77233922950,Данные!$A$2:$A$722,"&lt;="&amp;77233924999)</f>
        <v>0</v>
      </c>
      <c r="AL132" s="62" t="n">
        <f aca="false">COUNTIFS(Данные!$B$2:$B$722,78,Данные!$C$2:$C$722,1,Данные!$A$2:$A$722,"&gt;="&amp;77234320000,Данные!$A$2:$A$722,"&lt;="&amp;77234320999)</f>
        <v>0</v>
      </c>
      <c r="AM132" s="62" t="n">
        <f aca="false">COUNTIFS(Данные!$B$2:$B$722,78,Данные!$C$2:$C$722,1,Данные!$A$2:$A$722,"&gt;="&amp;77234350000,Данные!$A$2:$A$722,"&lt;="&amp;77234350999)</f>
        <v>0</v>
      </c>
      <c r="AN132" s="62" t="n">
        <f aca="false">COUNTIFS(Данные!$B$2:$B$722,78,Данные!$C$2:$C$722,1,Данные!$A$2:$A$722,"&gt;="&amp;77234020000,Данные!$A$2:$A$722,"&lt;="&amp;77234020999)</f>
        <v>0</v>
      </c>
      <c r="AO132" s="62" t="n">
        <f aca="false">COUNTIFS(Данные!$B$2:$B$722,78,Данные!$C$2:$C$722,1,Данные!$A$2:$A$722,"&gt;="&amp;77234029000,Данные!$A$2:$A$722,"&lt;="&amp;77234029999)</f>
        <v>0</v>
      </c>
      <c r="AP132" s="62" t="n">
        <f aca="false">COUNTIFS(Данные!$B$2:$B$722,78,Данные!$C$2:$C$722,1,Данные!$A$2:$A$722,"&gt;="&amp;77234050000,Данные!$A$2:$A$722,"&lt;="&amp;77234050999)</f>
        <v>0</v>
      </c>
      <c r="AQ132" s="62" t="n">
        <f aca="false">COUNTIFS(Данные!$B$2:$B$722,78,Данные!$C$2:$C$722,1,Данные!$A$2:$A$722,"&gt;="&amp;77234427000,Данные!$A$2:$A$722,"&lt;="&amp;77234428999)</f>
        <v>0</v>
      </c>
      <c r="AR132" s="62" t="n">
        <f aca="false">COUNTIFS(Данные!$B$2:$B$722,78,Данные!$C$2:$C$722,1,Данные!$A$2:$A$722,"&gt;="&amp;77234450000,Данные!$A$2:$A$722,"&lt;="&amp;77234450999)</f>
        <v>0</v>
      </c>
      <c r="AS132" s="62" t="n">
        <f aca="false">COUNTIFS(Данные!$B$2:$B$722,78,Данные!$C$2:$C$722,1,Данные!$A$2:$A$722,"&gt;="&amp;77234620000,Данные!$A$2:$A$722,"&lt;="&amp;77234620999)</f>
        <v>0</v>
      </c>
      <c r="AT132" s="62" t="n">
        <f aca="false">COUNTIFS(Данные!$B$2:$B$722,78,Данные!$C$2:$C$722,1,Данные!$A$2:$A$722,"&gt;="&amp;77234650000,Данные!$A$2:$A$722,"&lt;="&amp;77234650999)</f>
        <v>0</v>
      </c>
      <c r="AU132" s="62" t="n">
        <f aca="false">COUNTIFS(Данные!$B$2:$B$722,78,Данные!$C$2:$C$722,1,Данные!$A$2:$A$722,"&gt;="&amp;77234820000,Данные!$A$2:$A$722,"&lt;="&amp;77234820999)</f>
        <v>0</v>
      </c>
      <c r="AV132" s="62" t="n">
        <f aca="false">COUNTIFS(Данные!$B$2:$B$722,78,Данные!$C$2:$C$722,1,Данные!$A$2:$A$722,"&gt;="&amp;77234850000,Данные!$A$2:$A$722,"&lt;="&amp;77234850999)</f>
        <v>0</v>
      </c>
      <c r="AW132" s="62" t="n">
        <f aca="false">COUNTIFS(Данные!$B$2:$B$722,78,Данные!$C$2:$C$722,1,Данные!$A$2:$A$722,"&gt;="&amp;77233327000,Данные!$A$2:$A$722,"&lt;="&amp;77233327999)</f>
        <v>0</v>
      </c>
      <c r="AX132" s="62" t="n">
        <f aca="false">COUNTIFS(Данные!$B$2:$B$722,78,Данные!$C$2:$C$722,1,Данные!$A$2:$A$722,"&gt;="&amp;77233350000,Данные!$A$2:$A$722,"&lt;="&amp;77233350599)</f>
        <v>0</v>
      </c>
      <c r="AY132" s="62" t="n">
        <f aca="false">COUNTIFS(Данные!$B$2:$B$722,78,Данные!$C$2:$C$722,1,Данные!$A$2:$A$722,"&gt;="&amp;77233351000,Данные!$A$2:$A$722,"&lt;="&amp;77233351999)</f>
        <v>0</v>
      </c>
      <c r="AZ132" s="63" t="n">
        <f aca="false">COUNTIFS(Данные!$B$2:$B$722,78,Данные!$C$2:$C$722,1,Данные!$A$2:$A$722,"&gt;="&amp;7722440000,Данные!$A$2:$A$722,"&lt;="&amp;7722440999)</f>
        <v>0</v>
      </c>
      <c r="BA132" s="63" t="n">
        <f aca="false">COUNTIFS(Данные!$B$2:$B$722,78,Данные!$C$2:$C$722,1,Данные!$A$2:$A$722,"&gt;="&amp;7722442000,Данные!$A$2:$A$722,"&lt;="&amp;7722445659)</f>
        <v>0</v>
      </c>
      <c r="BB132" s="63" t="n">
        <f aca="false">COUNTIFS(Данные!$B$2:$B$722,78,Данные!$C$2:$C$722,1,Данные!$A$2:$A$722,"&gt;="&amp;7722450000,Данные!$A$2:$A$722,"&lt;="&amp;7722450199)</f>
        <v>0</v>
      </c>
      <c r="BC132" s="63" t="n">
        <f aca="false">COUNTIFS(Данные!$B$2:$B$722,78,Данные!$C$2:$C$722,1,Данные!$A$2:$A$722,"&gt;="&amp;7722451000,Данные!$A$2:$A$722,"&lt;="&amp;7722451374)</f>
        <v>0</v>
      </c>
      <c r="BD132" s="63" t="n">
        <f aca="false">COUNTIFS(Данные!$B$2:$B$722,78,Данные!$C$2:$C$722,1,Данные!$A$2:$A$722,"&gt;="&amp;7722452000,Данные!$A$2:$A$722,"&lt;="&amp;7722452299)</f>
        <v>0</v>
      </c>
      <c r="BE132" s="63" t="n">
        <f aca="false">COUNTIFS(Данные!$B$2:$B$722,78,Данные!$C$2:$C$722,1,Данные!$A$2:$A$722,"&gt;="&amp;7722453000,Данные!$A$2:$A$722,"&lt;="&amp;7722453816)</f>
        <v>0</v>
      </c>
      <c r="BF132" s="63" t="n">
        <f aca="false">COUNTIFS(Данные!$B$2:$B$722,78,Данные!$C$2:$C$722,1,Данные!$A$2:$A$722,"&gt;="&amp;7722454000,Данные!$A$2:$A$722,"&lt;="&amp;7722454099)</f>
        <v>0</v>
      </c>
      <c r="BG132" s="63" t="n">
        <f aca="false">COUNTIFS(Данные!$B$2:$B$722,78,Данные!$C$2:$C$722,1,Данные!$A$2:$A$722,"&gt;="&amp;7722458000,Данные!$A$2:$A$722,"&lt;="&amp;7722458999)</f>
        <v>0</v>
      </c>
      <c r="BH132" s="63" t="n">
        <f aca="false">COUNTIFS(Данные!$B$2:$B$722,78,Данные!$C$2:$C$722,1,Данные!$A$2:$A$722,"&gt;="&amp;7722630000,Данные!$A$2:$A$722,"&lt;="&amp;7722638549)</f>
        <v>0</v>
      </c>
      <c r="BI132" s="63" t="n">
        <f aca="false">COUNTIFS(Данные!$B$2:$B$722,78,Данные!$C$2:$C$722,1,Данные!$A$2:$A$722,"&gt;="&amp;7722639400,Данные!$A$2:$A$722,"&lt;="&amp;7722639899)</f>
        <v>0</v>
      </c>
      <c r="BJ132" s="63" t="n">
        <f aca="false">COUNTIFS(Данные!$B$2:$B$722,78,Данные!$C$2:$C$722,1,Данные!$A$2:$A$722,"&gt;="&amp;7725750000,Данные!$A$2:$A$722,"&lt;="&amp;7725750399)</f>
        <v>0</v>
      </c>
      <c r="BK132" s="63" t="n">
        <f aca="false">COUNTIFS(Данные!$B$2:$B$722,78,Данные!$C$2:$C$722,1,Данные!$A$2:$A$722,"&gt;="&amp;7723620000,Данные!$A$2:$A$722,"&lt;="&amp;7723621299)</f>
        <v>0</v>
      </c>
      <c r="BL132" s="63" t="n">
        <f aca="false">COUNTIFS(Данные!$B$2:$B$722,78,Данные!$C$2:$C$722,1,Данные!$A$2:$A$722,"&gt;="&amp;7723621600,Данные!$A$2:$A$722,"&lt;="&amp;7723623399)</f>
        <v>0</v>
      </c>
      <c r="BM132" s="63" t="n">
        <f aca="false">COUNTIFS(Данные!$B$2:$B$722,78,Данные!$C$2:$C$722,1,Данные!$A$2:$A$722,"&gt;="&amp;7725127000,Данные!$A$2:$A$722,"&lt;="&amp;7725127999)</f>
        <v>0</v>
      </c>
      <c r="BN132" s="63" t="n">
        <f aca="false">COUNTIFS(Данные!$B$2:$B$722,78,Данные!$C$2:$C$722,1,Данные!$A$2:$A$722,"&gt;="&amp;7723772000,Данные!$A$2:$A$722,"&lt;="&amp;7723724999)</f>
        <v>0</v>
      </c>
      <c r="BO132" s="62" t="n">
        <f aca="false">COUNTIFS(Данные!$B$2:$B$722,78,Данные!$C$2:$C$722,1,Данные!$A$2:$A$722,"&gt;="&amp;7723765000,Данные!$A$2:$A$722,"&lt;="&amp;7723765499)</f>
        <v>0</v>
      </c>
      <c r="BP132" s="63" t="n">
        <f aca="false">COUNTIFS(Данные!$B$2:$B$722,78,Данные!$C$2:$C$722,1,Данные!$A$2:$A$722,"&gt;="&amp;7723948000,Данные!$A$2:$A$722,"&lt;="&amp;7723948999)</f>
        <v>0</v>
      </c>
      <c r="BQ132" s="63" t="n">
        <f aca="false">COUNTIFS(Данные!$B$2:$B$722,78,Данные!$C$2:$C$722,1,Данные!$A$2:$A$722,"&gt;="&amp;7723950000,Данные!$A$2:$A$722,"&lt;="&amp;7723951099)</f>
        <v>0</v>
      </c>
      <c r="BR132" s="63" t="n">
        <f aca="false">COUNTIFS(Данные!$B$2:$B$722,78,Данные!$C$2:$C$722,1,Данные!$A$2:$A$722,"&gt;="&amp;7723020000,Данные!$A$2:$A$722,"&lt;="&amp;7723020999)</f>
        <v>0</v>
      </c>
      <c r="BS132" s="63" t="n">
        <f aca="false">COUNTIFS(Данные!$B$2:$B$722,78,Данные!$C$2:$C$722,1,Данные!$A$2:$A$722,"&gt;="&amp;7723029000,Данные!$A$2:$A$722,"&lt;="&amp;7723029999)</f>
        <v>0</v>
      </c>
      <c r="BT132" s="63" t="n">
        <f aca="false">COUNTIFS(Данные!$B$2:$B$722,78,Данные!$C$2:$C$722,1,Данные!$A$2:$A$722,"&gt;="&amp;7723055000,Данные!$A$2:$A$722,"&lt;="&amp;7723056549)</f>
        <v>0</v>
      </c>
      <c r="BU132" s="62" t="n">
        <f aca="false">COUNTIFS(Данные!$B$2:$B$722,78,Данные!$C$2:$C$722,1,Данные!$A$2:$A$722,"&gt;="&amp;7725250000,Данные!$A$2:$A$722,"&lt;="&amp;7725250499)</f>
        <v>0</v>
      </c>
      <c r="BV132" s="63" t="n">
        <f aca="false">COUNTIFS(Данные!$B$2:$B$722,78,Данные!$C$2:$C$722,1,Данные!$A$2:$A$722,"&gt;="&amp;7183841400,Данные!$A$2:$A$722,"&lt;="&amp;7183841499)</f>
        <v>0</v>
      </c>
      <c r="BW132" s="40" t="n">
        <v>300</v>
      </c>
      <c r="BX132" s="64" t="n">
        <f aca="false">F132-BW132</f>
        <v>-300</v>
      </c>
    </row>
    <row r="133" s="15" customFormat="true" ht="12" hidden="false" customHeight="true" outlineLevel="0" collapsed="false">
      <c r="A133" s="38"/>
      <c r="B133" s="39"/>
      <c r="C133" s="41" t="n">
        <v>2</v>
      </c>
      <c r="D133" s="41" t="n">
        <v>782</v>
      </c>
      <c r="E133" s="42"/>
      <c r="F133" s="62" t="n">
        <f aca="false">COUNTIFS(Данные!$B$2:$B$722,78,Данные!$C$2:$C$722,2)</f>
        <v>0</v>
      </c>
      <c r="G133" s="62" t="n">
        <f aca="false">COUNTIFS(Данные!$B$2:$B$722,78,Данные!$C$2:$C$722,2,Данные!$A$2:$A$722,"&gt;="&amp;77232210840,Данные!$A$2:$A$722,"&lt;="&amp;77232216999)</f>
        <v>0</v>
      </c>
      <c r="H133" s="62" t="n">
        <f aca="false">COUNTIFS(Данные!$B$2:$B$722,78,Данные!$C$2:$C$722,2,Данные!$A$2:$A$722,"&gt;="&amp;77232510512,Данные!$A$2:$A$722,"&lt;="&amp;77232519487)</f>
        <v>0</v>
      </c>
      <c r="I133" s="62" t="n">
        <f aca="false">COUNTIFS(Данные!$B$2:$B$722,78,Данные!$C$2:$C$722,2,Данные!$A$2:$A$722,"&gt;="&amp;77232524160,Данные!$A$2:$A$722,"&lt;="&amp;77232529999)</f>
        <v>0</v>
      </c>
      <c r="J133" s="62" t="n">
        <f aca="false">COUNTIFS(Данные!$B$2:$B$722,78,Данные!$C$2:$C$722,2,Данные!$A$2:$A$722,"&gt;="&amp;77232544000,Данные!$A$2:$A$722,"&lt;="&amp;77232544999)</f>
        <v>0</v>
      </c>
      <c r="K133" s="62" t="n">
        <f aca="false">COUNTIFS(Данные!$B$2:$B$722,78,Данные!$C$2:$C$722,2,Данные!$A$2:$A$722,"&gt;="&amp;77232295504,Данные!$A$2:$A$722,"&lt;="&amp;77232296999)</f>
        <v>0</v>
      </c>
      <c r="L133" s="62" t="n">
        <f aca="false">COUNTIFS(Данные!$B$2:$B$722,78,Данные!$C$2:$C$722,2,Данные!$A$2:$A$722,"&gt;="&amp;77232785000,Данные!$A$2:$A$722,"&lt;="&amp;77232789999)</f>
        <v>0</v>
      </c>
      <c r="M133" s="62" t="n">
        <f aca="false">COUNTIFS(Данные!$B$2:$B$722,78,Данные!$C$2:$C$722,2,Данные!$A$2:$A$722,"&gt;="&amp;77233150000,Данные!$A$2:$A$722,"&lt;="&amp;77233155999)</f>
        <v>0</v>
      </c>
      <c r="N133" s="62" t="n">
        <f aca="false">COUNTIFS(Данные!$B$2:$B$722,78,Данные!$C$2:$C$722,2,Данные!$A$2:$A$722,"&gt;="&amp;77233235000,Данные!$A$2:$A$722,"&lt;="&amp;77233235999)</f>
        <v>0</v>
      </c>
      <c r="O133" s="62" t="n">
        <f aca="false">COUNTIFS(Данные!$B$2:$B$722,78,Данные!$C$2:$C$722,2,Данные!$A$2:$A$722,"&gt;="&amp;77233239000,Данные!$A$2:$A$722,"&lt;="&amp;77233239999)</f>
        <v>0</v>
      </c>
      <c r="P133" s="62" t="n">
        <f aca="false">COUNTIFS(Данные!$B$2:$B$722,78,Данные!$C$2:$C$722,2,Данные!$A$2:$A$722,"&gt;="&amp;77233272000,Данные!$A$2:$A$722,"&lt;="&amp;77233272999)</f>
        <v>0</v>
      </c>
      <c r="Q133" s="62" t="n">
        <f aca="false">COUNTIFS(Данные!$B$2:$B$722,78,Данные!$C$2:$C$722,2,Данные!$A$2:$A$722,"&gt;="&amp;77233291100,Данные!$A$2:$A$722,"&lt;="&amp;77233292999)</f>
        <v>0</v>
      </c>
      <c r="R133" s="62" t="n">
        <f aca="false">COUNTIFS(Данные!$B$2:$B$722,78,Данные!$C$2:$C$722,2,Данные!$A$2:$A$722,"&gt;="&amp;77233297000,Данные!$A$2:$A$722,"&lt;="&amp;77233298399)</f>
        <v>0</v>
      </c>
      <c r="S133" s="62" t="n">
        <f aca="false">COUNTIFS(Данные!$B$2:$B$722,78,Данные!$C$2:$C$722,2,Данные!$A$2:$A$722,"&gt;="&amp;77235124000,Данные!$A$2:$A$722,"&lt;="&amp;77235128499)</f>
        <v>0</v>
      </c>
      <c r="T133" s="62" t="n">
        <f aca="false">COUNTIFS(Данные!$B$2:$B$722,78,Данные!$C$2:$C$722,2,Данные!$A$2:$A$722,"&gt;="&amp;77235320000,Данные!$A$2:$A$722,"&lt;="&amp;77235320999)</f>
        <v>0</v>
      </c>
      <c r="U133" s="62" t="n">
        <f aca="false">COUNTIFS(Данные!$B$2:$B$722,78,Данные!$C$2:$C$722,2,Данные!$A$2:$A$722,"&gt;="&amp;77233620000,Данные!$A$2:$A$722,"&lt;="&amp;77233623339)</f>
        <v>0</v>
      </c>
      <c r="V133" s="62" t="n">
        <f aca="false">COUNTIFS(Данные!$B$2:$B$722,78,Данные!$C$2:$C$722,2,Данные!$A$2:$A$722,"&gt;="&amp;77233630000,Данные!$A$2:$A$722,"&lt;="&amp;77233630999)</f>
        <v>0</v>
      </c>
      <c r="W133" s="62" t="n">
        <f aca="false">COUNTIFS(Данные!$B$2:$B$722,78,Данные!$C$2:$C$722,2,Данные!$A$2:$A$722,"&gt;="&amp;77233637000,Данные!$A$2:$A$722,"&lt;="&amp;77233637599)</f>
        <v>0</v>
      </c>
      <c r="X133" s="62" t="n">
        <f aca="false">COUNTIFS(Данные!$B$2:$B$722,78,Данные!$C$2:$C$722,2,Данные!$A$2:$A$722,"&gt;="&amp;77233550000,Данные!$A$2:$A$722,"&lt;="&amp;77233550999)</f>
        <v>0</v>
      </c>
      <c r="Y133" s="62" t="n">
        <f aca="false">COUNTIFS(Данные!$B$2:$B$722,78,Данные!$C$2:$C$722,2,Данные!$A$2:$A$722,"&gt;="&amp;77233554000,Данные!$A$2:$A$722,"&lt;="&amp;77233554999)</f>
        <v>0</v>
      </c>
      <c r="Z133" s="62" t="n">
        <f aca="false">COUNTIFS(Данные!$B$2:$B$722,78,Данные!$C$2:$C$722,2,Данные!$A$2:$A$722,"&gt;="&amp;77233555000,Данные!$A$2:$A$722,"&lt;="&amp;77233556999)</f>
        <v>0</v>
      </c>
      <c r="AA133" s="62" t="n">
        <f aca="false">COUNTIFS(Данные!$B$2:$B$722,78,Данные!$C$2:$C$722,2,Данные!$A$2:$A$722,"&gt;="&amp;77233726000,Данные!$A$2:$A$722,"&lt;="&amp;77233726999)</f>
        <v>0</v>
      </c>
      <c r="AB133" s="62" t="n">
        <f aca="false">COUNTIFS(Данные!$B$2:$B$722,78,Данные!$C$2:$C$722,2,Данные!$A$2:$A$722,"&gt;="&amp;77233820000,Данные!$A$2:$A$722,"&lt;="&amp;77233820999)</f>
        <v>0</v>
      </c>
      <c r="AC133" s="62" t="n">
        <f aca="false">COUNTIFS(Данные!$B$2:$B$722,78,Данные!$C$2:$C$722,2,Данные!$A$2:$A$722,"&gt;="&amp;77233850000,Данные!$A$2:$A$722,"&lt;="&amp;77233850999)</f>
        <v>0</v>
      </c>
      <c r="AD133" s="62" t="n">
        <f aca="false">COUNTIFS(Данные!$B$2:$B$722,78,Данные!$C$2:$C$722,2,Данные!$A$2:$A$722,"&gt;="&amp;77233420000,Данные!$A$2:$A$722,"&lt;="&amp;77233420999)</f>
        <v>0</v>
      </c>
      <c r="AE133" s="62" t="n">
        <f aca="false">COUNTIFS(Данные!$B$2:$B$722,78,Данные!$C$2:$C$722,2,Данные!$A$2:$A$722,"&gt;="&amp;77234740000,Данные!$A$2:$A$722,"&lt;="&amp;77234742999)</f>
        <v>0</v>
      </c>
      <c r="AF133" s="62" t="n">
        <f aca="false">COUNTIFS(Данные!$B$2:$B$722,78,Данные!$C$2:$C$722,2,Данные!$A$2:$A$722,"&gt;="&amp;77234767000,Данные!$A$2:$A$722,"&lt;="&amp;77234767999)</f>
        <v>0</v>
      </c>
      <c r="AG133" s="62" t="n">
        <f aca="false">COUNTIFS(Данные!$B$2:$B$722,78,Данные!$C$2:$C$722,2,Данные!$A$2:$A$722,"&gt;="&amp;77234120000,Данные!$A$2:$A$722,"&lt;="&amp;77234120999)</f>
        <v>0</v>
      </c>
      <c r="AH133" s="62" t="n">
        <f aca="false">COUNTIFS(Данные!$B$2:$B$722,78,Данные!$C$2:$C$722,2,Данные!$A$2:$A$722,"&gt;="&amp;77234127000,Данные!$A$2:$A$722,"&lt;="&amp;77234127999)</f>
        <v>0</v>
      </c>
      <c r="AI133" s="62" t="n">
        <f aca="false">COUNTIFS(Данные!$B$2:$B$722,78,Данные!$C$2:$C$722,2,Данные!$A$2:$A$722,"&gt;="&amp;77234220000,Данные!$A$2:$A$722,"&lt;="&amp;77234220999)</f>
        <v>0</v>
      </c>
      <c r="AJ133" s="62" t="n">
        <f aca="false">COUNTIFS(Данные!$B$2:$B$722,78,Данные!$C$2:$C$722,2,Данные!$A$2:$A$722,"&gt;="&amp;77234250000,Данные!$A$2:$A$722,"&lt;="&amp;77234250999)</f>
        <v>0</v>
      </c>
      <c r="AK133" s="62" t="n">
        <f aca="false">COUNTIFS(Данные!$B$2:$B$722,78,Данные!$C$2:$C$722,2,Данные!$A$2:$A$722,"&gt;="&amp;77233922950,Данные!$A$2:$A$722,"&lt;="&amp;77233924999)</f>
        <v>0</v>
      </c>
      <c r="AL133" s="62" t="n">
        <f aca="false">COUNTIFS(Данные!$B$2:$B$722,78,Данные!$C$2:$C$722,2,Данные!$A$2:$A$722,"&gt;="&amp;77234320000,Данные!$A$2:$A$722,"&lt;="&amp;77234320999)</f>
        <v>0</v>
      </c>
      <c r="AM133" s="62" t="n">
        <f aca="false">COUNTIFS(Данные!$B$2:$B$722,78,Данные!$C$2:$C$722,2,Данные!$A$2:$A$722,"&gt;="&amp;77234350000,Данные!$A$2:$A$722,"&lt;="&amp;77234350999)</f>
        <v>0</v>
      </c>
      <c r="AN133" s="62" t="n">
        <f aca="false">COUNTIFS(Данные!$B$2:$B$722,78,Данные!$C$2:$C$722,2,Данные!$A$2:$A$722,"&gt;="&amp;77234020000,Данные!$A$2:$A$722,"&lt;="&amp;77234020999)</f>
        <v>0</v>
      </c>
      <c r="AO133" s="62" t="n">
        <f aca="false">COUNTIFS(Данные!$B$2:$B$722,78,Данные!$C$2:$C$722,2,Данные!$A$2:$A$722,"&gt;="&amp;77234029000,Данные!$A$2:$A$722,"&lt;="&amp;77234029999)</f>
        <v>0</v>
      </c>
      <c r="AP133" s="62" t="n">
        <f aca="false">COUNTIFS(Данные!$B$2:$B$722,78,Данные!$C$2:$C$722,2,Данные!$A$2:$A$722,"&gt;="&amp;77234050000,Данные!$A$2:$A$722,"&lt;="&amp;77234050999)</f>
        <v>0</v>
      </c>
      <c r="AQ133" s="62" t="n">
        <f aca="false">COUNTIFS(Данные!$B$2:$B$722,78,Данные!$C$2:$C$722,2,Данные!$A$2:$A$722,"&gt;="&amp;77234427000,Данные!$A$2:$A$722,"&lt;="&amp;77234428999)</f>
        <v>0</v>
      </c>
      <c r="AR133" s="62" t="n">
        <f aca="false">COUNTIFS(Данные!$B$2:$B$722,78,Данные!$C$2:$C$722,2,Данные!$A$2:$A$722,"&gt;="&amp;77234450000,Данные!$A$2:$A$722,"&lt;="&amp;77234450999)</f>
        <v>0</v>
      </c>
      <c r="AS133" s="62" t="n">
        <f aca="false">COUNTIFS(Данные!$B$2:$B$722,78,Данные!$C$2:$C$722,2,Данные!$A$2:$A$722,"&gt;="&amp;77234620000,Данные!$A$2:$A$722,"&lt;="&amp;77234620999)</f>
        <v>0</v>
      </c>
      <c r="AT133" s="62" t="n">
        <f aca="false">COUNTIFS(Данные!$B$2:$B$722,78,Данные!$C$2:$C$722,2,Данные!$A$2:$A$722,"&gt;="&amp;77234650000,Данные!$A$2:$A$722,"&lt;="&amp;77234650999)</f>
        <v>0</v>
      </c>
      <c r="AU133" s="62" t="n">
        <f aca="false">COUNTIFS(Данные!$B$2:$B$722,78,Данные!$C$2:$C$722,2,Данные!$A$2:$A$722,"&gt;="&amp;77234820000,Данные!$A$2:$A$722,"&lt;="&amp;77234820999)</f>
        <v>0</v>
      </c>
      <c r="AV133" s="62" t="n">
        <f aca="false">COUNTIFS(Данные!$B$2:$B$722,78,Данные!$C$2:$C$722,2,Данные!$A$2:$A$722,"&gt;="&amp;77234850000,Данные!$A$2:$A$722,"&lt;="&amp;77234850999)</f>
        <v>0</v>
      </c>
      <c r="AW133" s="62" t="n">
        <f aca="false">COUNTIFS(Данные!$B$2:$B$722,78,Данные!$C$2:$C$722,2,Данные!$A$2:$A$722,"&gt;="&amp;77233327000,Данные!$A$2:$A$722,"&lt;="&amp;77233327999)</f>
        <v>0</v>
      </c>
      <c r="AX133" s="62" t="n">
        <f aca="false">COUNTIFS(Данные!$B$2:$B$722,78,Данные!$C$2:$C$722,2,Данные!$A$2:$A$722,"&gt;="&amp;77233350000,Данные!$A$2:$A$722,"&lt;="&amp;77233350599)</f>
        <v>0</v>
      </c>
      <c r="AY133" s="62" t="n">
        <f aca="false">COUNTIFS(Данные!$B$2:$B$722,78,Данные!$C$2:$C$722,2,Данные!$A$2:$A$722,"&gt;="&amp;77233351000,Данные!$A$2:$A$722,"&lt;="&amp;77233351999)</f>
        <v>0</v>
      </c>
      <c r="AZ133" s="63" t="n">
        <f aca="false">COUNTIFS(Данные!$B$2:$B$722,78,Данные!$C$2:$C$722,2,Данные!$A$2:$A$722,"&gt;="&amp;7722440000,Данные!$A$2:$A$722,"&lt;="&amp;7722440999)</f>
        <v>0</v>
      </c>
      <c r="BA133" s="63" t="n">
        <f aca="false">COUNTIFS(Данные!$B$2:$B$722,78,Данные!$C$2:$C$722,2,Данные!$A$2:$A$722,"&gt;="&amp;7722442000,Данные!$A$2:$A$722,"&lt;="&amp;7722445659)</f>
        <v>0</v>
      </c>
      <c r="BB133" s="63" t="n">
        <f aca="false">COUNTIFS(Данные!$B$2:$B$722,78,Данные!$C$2:$C$722,2,Данные!$A$2:$A$722,"&gt;="&amp;7722450000,Данные!$A$2:$A$722,"&lt;="&amp;7722450199)</f>
        <v>0</v>
      </c>
      <c r="BC133" s="63" t="n">
        <f aca="false">COUNTIFS(Данные!$B$2:$B$722,78,Данные!$C$2:$C$722,2,Данные!$A$2:$A$722,"&gt;="&amp;7722451000,Данные!$A$2:$A$722,"&lt;="&amp;7722451374)</f>
        <v>0</v>
      </c>
      <c r="BD133" s="63" t="n">
        <f aca="false">COUNTIFS(Данные!$B$2:$B$722,78,Данные!$C$2:$C$722,2,Данные!$A$2:$A$722,"&gt;="&amp;7722452000,Данные!$A$2:$A$722,"&lt;="&amp;7722452299)</f>
        <v>0</v>
      </c>
      <c r="BE133" s="63" t="n">
        <f aca="false">COUNTIFS(Данные!$B$2:$B$722,78,Данные!$C$2:$C$722,2,Данные!$A$2:$A$722,"&gt;="&amp;7722453000,Данные!$A$2:$A$722,"&lt;="&amp;7722453816)</f>
        <v>0</v>
      </c>
      <c r="BF133" s="63" t="n">
        <f aca="false">COUNTIFS(Данные!$B$2:$B$722,78,Данные!$C$2:$C$722,2,Данные!$A$2:$A$722,"&gt;="&amp;7722454000,Данные!$A$2:$A$722,"&lt;="&amp;7722454099)</f>
        <v>0</v>
      </c>
      <c r="BG133" s="63" t="n">
        <f aca="false">COUNTIFS(Данные!$B$2:$B$722,78,Данные!$C$2:$C$722,2,Данные!$A$2:$A$722,"&gt;="&amp;7722458000,Данные!$A$2:$A$722,"&lt;="&amp;7722458999)</f>
        <v>0</v>
      </c>
      <c r="BH133" s="63" t="n">
        <f aca="false">COUNTIFS(Данные!$B$2:$B$722,78,Данные!$C$2:$C$722,2,Данные!$A$2:$A$722,"&gt;="&amp;7722630000,Данные!$A$2:$A$722,"&lt;="&amp;7722638549)</f>
        <v>0</v>
      </c>
      <c r="BI133" s="63" t="n">
        <f aca="false">COUNTIFS(Данные!$B$2:$B$722,78,Данные!$C$2:$C$722,2,Данные!$A$2:$A$722,"&gt;="&amp;7722639400,Данные!$A$2:$A$722,"&lt;="&amp;7722639899)</f>
        <v>0</v>
      </c>
      <c r="BJ133" s="63" t="n">
        <f aca="false">COUNTIFS(Данные!$B$2:$B$722,78,Данные!$C$2:$C$722,2,Данные!$A$2:$A$722,"&gt;="&amp;7725750000,Данные!$A$2:$A$722,"&lt;="&amp;7725750399)</f>
        <v>0</v>
      </c>
      <c r="BK133" s="63" t="n">
        <f aca="false">COUNTIFS(Данные!$B$2:$B$722,78,Данные!$C$2:$C$722,2,Данные!$A$2:$A$722,"&gt;="&amp;7723620000,Данные!$A$2:$A$722,"&lt;="&amp;7723621299)</f>
        <v>0</v>
      </c>
      <c r="BL133" s="63" t="n">
        <f aca="false">COUNTIFS(Данные!$B$2:$B$722,78,Данные!$C$2:$C$722,2,Данные!$A$2:$A$722,"&gt;="&amp;7723621600,Данные!$A$2:$A$722,"&lt;="&amp;7723623399)</f>
        <v>0</v>
      </c>
      <c r="BM133" s="63" t="n">
        <f aca="false">COUNTIFS(Данные!$B$2:$B$722,78,Данные!$C$2:$C$722,2,Данные!$A$2:$A$722,"&gt;="&amp;7725127000,Данные!$A$2:$A$722,"&lt;="&amp;7725127999)</f>
        <v>0</v>
      </c>
      <c r="BN133" s="63" t="n">
        <f aca="false">COUNTIFS(Данные!$B$2:$B$722,78,Данные!$C$2:$C$722,2,Данные!$A$2:$A$722,"&gt;="&amp;7723772000,Данные!$A$2:$A$722,"&lt;="&amp;7723724999)</f>
        <v>0</v>
      </c>
      <c r="BO133" s="62" t="n">
        <f aca="false">COUNTIFS(Данные!$B$2:$B$722,78,Данные!$C$2:$C$722,2,Данные!$A$2:$A$722,"&gt;="&amp;7723765000,Данные!$A$2:$A$722,"&lt;="&amp;7723765499)</f>
        <v>0</v>
      </c>
      <c r="BP133" s="63" t="n">
        <f aca="false">COUNTIFS(Данные!$B$2:$B$722,78,Данные!$C$2:$C$722,2,Данные!$A$2:$A$722,"&gt;="&amp;7723948000,Данные!$A$2:$A$722,"&lt;="&amp;7723948999)</f>
        <v>0</v>
      </c>
      <c r="BQ133" s="63" t="n">
        <f aca="false">COUNTIFS(Данные!$B$2:$B$722,78,Данные!$C$2:$C$722,2,Данные!$A$2:$A$722,"&gt;="&amp;7723950000,Данные!$A$2:$A$722,"&lt;="&amp;7723951099)</f>
        <v>0</v>
      </c>
      <c r="BR133" s="63" t="n">
        <f aca="false">COUNTIFS(Данные!$B$2:$B$722,78,Данные!$C$2:$C$722,2,Данные!$A$2:$A$722,"&gt;="&amp;7723020000,Данные!$A$2:$A$722,"&lt;="&amp;7723020999)</f>
        <v>0</v>
      </c>
      <c r="BS133" s="63" t="n">
        <f aca="false">COUNTIFS(Данные!$B$2:$B$722,78,Данные!$C$2:$C$722,2,Данные!$A$2:$A$722,"&gt;="&amp;7723029000,Данные!$A$2:$A$722,"&lt;="&amp;7723029999)</f>
        <v>0</v>
      </c>
      <c r="BT133" s="63" t="n">
        <f aca="false">COUNTIFS(Данные!$B$2:$B$722,78,Данные!$C$2:$C$722,2,Данные!$A$2:$A$722,"&gt;="&amp;7723055000,Данные!$A$2:$A$722,"&lt;="&amp;7723056549)</f>
        <v>0</v>
      </c>
      <c r="BU133" s="62" t="n">
        <f aca="false">COUNTIFS(Данные!$B$2:$B$722,78,Данные!$C$2:$C$722,2,Данные!$A$2:$A$722,"&gt;="&amp;7725250000,Данные!$A$2:$A$722,"&lt;="&amp;7725250499)</f>
        <v>0</v>
      </c>
      <c r="BV133" s="63" t="n">
        <f aca="false">COUNTIFS(Данные!$B$2:$B$722,78,Данные!$C$2:$C$722,2,Данные!$A$2:$A$722,"&gt;="&amp;7183841400,Данные!$A$2:$A$722,"&lt;="&amp;7183841499)</f>
        <v>0</v>
      </c>
      <c r="BW133" s="40" t="n">
        <v>300</v>
      </c>
      <c r="BX133" s="64" t="n">
        <f aca="false">F133-BW133</f>
        <v>-300</v>
      </c>
    </row>
    <row r="134" s="15" customFormat="true" ht="12" hidden="false" customHeight="true" outlineLevel="0" collapsed="false">
      <c r="A134" s="47" t="n">
        <v>79</v>
      </c>
      <c r="B134" s="48" t="s">
        <v>104</v>
      </c>
      <c r="C134" s="50" t="n">
        <v>0</v>
      </c>
      <c r="D134" s="50" t="n">
        <v>790</v>
      </c>
      <c r="E134" s="51" t="n">
        <f aca="false">SUM(F134:F136)</f>
        <v>13</v>
      </c>
      <c r="F134" s="65" t="n">
        <f aca="false">COUNTIFS(Данные!$B$2:$B$722,79,Данные!$C$2:$C$722,0)</f>
        <v>5</v>
      </c>
      <c r="G134" s="65" t="n">
        <f aca="false">COUNTIFS(Данные!$B$2:$B$722,79,Данные!$C$2:$C$722,0,Данные!$A$2:$A$722,"&gt;="&amp;77232210840,Данные!$A$2:$A$722,"&lt;="&amp;77232216999)</f>
        <v>0</v>
      </c>
      <c r="H134" s="65" t="n">
        <f aca="false">COUNTIFS(Данные!$B$2:$B$722,79,Данные!$C$2:$C$722,0,Данные!$A$2:$A$722,"&gt;="&amp;77232510512,Данные!$A$2:$A$722,"&lt;="&amp;77232519487)</f>
        <v>0</v>
      </c>
      <c r="I134" s="65" t="n">
        <f aca="false">COUNTIFS(Данные!$B$2:$B$722,79,Данные!$C$2:$C$722,0,Данные!$A$2:$A$722,"&gt;="&amp;77232524160,Данные!$A$2:$A$722,"&lt;="&amp;77232529999)</f>
        <v>0</v>
      </c>
      <c r="J134" s="65" t="n">
        <f aca="false">COUNTIFS(Данные!$B$2:$B$722,79,Данные!$C$2:$C$722,0,Данные!$A$2:$A$722,"&gt;="&amp;77232544000,Данные!$A$2:$A$722,"&lt;="&amp;77232544999)</f>
        <v>0</v>
      </c>
      <c r="K134" s="65" t="n">
        <f aca="false">COUNTIFS(Данные!$B$2:$B$722,79,Данные!$C$2:$C$722,0,Данные!$A$2:$A$722,"&gt;="&amp;77232295504,Данные!$A$2:$A$722,"&lt;="&amp;77232296999)</f>
        <v>0</v>
      </c>
      <c r="L134" s="65" t="n">
        <f aca="false">COUNTIFS(Данные!$B$2:$B$722,79,Данные!$C$2:$C$722,0,Данные!$A$2:$A$722,"&gt;="&amp;77232785000,Данные!$A$2:$A$722,"&lt;="&amp;77232789999)</f>
        <v>0</v>
      </c>
      <c r="M134" s="65" t="n">
        <f aca="false">COUNTIFS(Данные!$B$2:$B$722,79,Данные!$C$2:$C$722,0,Данные!$A$2:$A$722,"&gt;="&amp;77233150000,Данные!$A$2:$A$722,"&lt;="&amp;77233155999)</f>
        <v>0</v>
      </c>
      <c r="N134" s="65" t="n">
        <f aca="false">COUNTIFS(Данные!$B$2:$B$722,79,Данные!$C$2:$C$722,0,Данные!$A$2:$A$722,"&gt;="&amp;77233235000,Данные!$A$2:$A$722,"&lt;="&amp;77233235999)</f>
        <v>0</v>
      </c>
      <c r="O134" s="65" t="n">
        <f aca="false">COUNTIFS(Данные!$B$2:$B$722,79,Данные!$C$2:$C$722,0,Данные!$A$2:$A$722,"&gt;="&amp;77233239000,Данные!$A$2:$A$722,"&lt;="&amp;77233239999)</f>
        <v>0</v>
      </c>
      <c r="P134" s="65" t="n">
        <f aca="false">COUNTIFS(Данные!$B$2:$B$722,79,Данные!$C$2:$C$722,0,Данные!$A$2:$A$722,"&gt;="&amp;77233272000,Данные!$A$2:$A$722,"&lt;="&amp;77233272999)</f>
        <v>0</v>
      </c>
      <c r="Q134" s="65" t="n">
        <f aca="false">COUNTIFS(Данные!$B$2:$B$722,79,Данные!$C$2:$C$722,0,Данные!$A$2:$A$722,"&gt;="&amp;77233291100,Данные!$A$2:$A$722,"&lt;="&amp;77233292999)</f>
        <v>0</v>
      </c>
      <c r="R134" s="65" t="n">
        <f aca="false">COUNTIFS(Данные!$B$2:$B$722,79,Данные!$C$2:$C$722,0,Данные!$A$2:$A$722,"&gt;="&amp;77233297000,Данные!$A$2:$A$722,"&lt;="&amp;77233298399)</f>
        <v>0</v>
      </c>
      <c r="S134" s="65" t="n">
        <f aca="false">COUNTIFS(Данные!$B$2:$B$722,79,Данные!$C$2:$C$722,0,Данные!$A$2:$A$722,"&gt;="&amp;77235124000,Данные!$A$2:$A$722,"&lt;="&amp;77235128499)</f>
        <v>0</v>
      </c>
      <c r="T134" s="65" t="n">
        <f aca="false">COUNTIFS(Данные!$B$2:$B$722,79,Данные!$C$2:$C$722,0,Данные!$A$2:$A$722,"&gt;="&amp;77235320000,Данные!$A$2:$A$722,"&lt;="&amp;77235320999)</f>
        <v>0</v>
      </c>
      <c r="U134" s="65" t="n">
        <f aca="false">COUNTIFS(Данные!$B$2:$B$722,79,Данные!$C$2:$C$722,0,Данные!$A$2:$A$722,"&gt;="&amp;77233620000,Данные!$A$2:$A$722,"&lt;="&amp;77233623339)</f>
        <v>0</v>
      </c>
      <c r="V134" s="65" t="n">
        <f aca="false">COUNTIFS(Данные!$B$2:$B$722,79,Данные!$C$2:$C$722,0,Данные!$A$2:$A$722,"&gt;="&amp;77233630000,Данные!$A$2:$A$722,"&lt;="&amp;77233630999)</f>
        <v>0</v>
      </c>
      <c r="W134" s="65" t="n">
        <f aca="false">COUNTIFS(Данные!$B$2:$B$722,79,Данные!$C$2:$C$722,0,Данные!$A$2:$A$722,"&gt;="&amp;77233637000,Данные!$A$2:$A$722,"&lt;="&amp;77233637599)</f>
        <v>0</v>
      </c>
      <c r="X134" s="65" t="n">
        <f aca="false">COUNTIFS(Данные!$B$2:$B$722,79,Данные!$C$2:$C$722,0,Данные!$A$2:$A$722,"&gt;="&amp;77233550000,Данные!$A$2:$A$722,"&lt;="&amp;77233550999)</f>
        <v>0</v>
      </c>
      <c r="Y134" s="65" t="n">
        <f aca="false">COUNTIFS(Данные!$B$2:$B$722,79,Данные!$C$2:$C$722,0,Данные!$A$2:$A$722,"&gt;="&amp;77233554000,Данные!$A$2:$A$722,"&lt;="&amp;77233554999)</f>
        <v>0</v>
      </c>
      <c r="Z134" s="65" t="n">
        <f aca="false">COUNTIFS(Данные!$B$2:$B$722,79,Данные!$C$2:$C$722,0,Данные!$A$2:$A$722,"&gt;="&amp;77233555000,Данные!$A$2:$A$722,"&lt;="&amp;77233556999)</f>
        <v>0</v>
      </c>
      <c r="AA134" s="65" t="n">
        <f aca="false">COUNTIFS(Данные!$B$2:$B$722,79,Данные!$C$2:$C$722,0,Данные!$A$2:$A$722,"&gt;="&amp;77233726000,Данные!$A$2:$A$722,"&lt;="&amp;77233726999)</f>
        <v>0</v>
      </c>
      <c r="AB134" s="65" t="n">
        <f aca="false">COUNTIFS(Данные!$B$2:$B$722,79,Данные!$C$2:$C$722,0,Данные!$A$2:$A$722,"&gt;="&amp;77233820000,Данные!$A$2:$A$722,"&lt;="&amp;77233820999)</f>
        <v>0</v>
      </c>
      <c r="AC134" s="65" t="n">
        <f aca="false">COUNTIFS(Данные!$B$2:$B$722,79,Данные!$C$2:$C$722,0,Данные!$A$2:$A$722,"&gt;="&amp;77233850000,Данные!$A$2:$A$722,"&lt;="&amp;77233850999)</f>
        <v>0</v>
      </c>
      <c r="AD134" s="65" t="n">
        <f aca="false">COUNTIFS(Данные!$B$2:$B$722,79,Данные!$C$2:$C$722,0,Данные!$A$2:$A$722,"&gt;="&amp;77233420000,Данные!$A$2:$A$722,"&lt;="&amp;77233420999)</f>
        <v>0</v>
      </c>
      <c r="AE134" s="65" t="n">
        <f aca="false">COUNTIFS(Данные!$B$2:$B$722,79,Данные!$C$2:$C$722,0,Данные!$A$2:$A$722,"&gt;="&amp;77234740000,Данные!$A$2:$A$722,"&lt;="&amp;77234742999)</f>
        <v>0</v>
      </c>
      <c r="AF134" s="65" t="n">
        <f aca="false">COUNTIFS(Данные!$B$2:$B$722,79,Данные!$C$2:$C$722,0,Данные!$A$2:$A$722,"&gt;="&amp;77234767000,Данные!$A$2:$A$722,"&lt;="&amp;77234767999)</f>
        <v>0</v>
      </c>
      <c r="AG134" s="65" t="n">
        <f aca="false">COUNTIFS(Данные!$B$2:$B$722,79,Данные!$C$2:$C$722,0,Данные!$A$2:$A$722,"&gt;="&amp;77234120000,Данные!$A$2:$A$722,"&lt;="&amp;77234120999)</f>
        <v>0</v>
      </c>
      <c r="AH134" s="65" t="n">
        <f aca="false">COUNTIFS(Данные!$B$2:$B$722,79,Данные!$C$2:$C$722,0,Данные!$A$2:$A$722,"&gt;="&amp;77234127000,Данные!$A$2:$A$722,"&lt;="&amp;77234127999)</f>
        <v>0</v>
      </c>
      <c r="AI134" s="65" t="n">
        <f aca="false">COUNTIFS(Данные!$B$2:$B$722,79,Данные!$C$2:$C$722,0,Данные!$A$2:$A$722,"&gt;="&amp;77234220000,Данные!$A$2:$A$722,"&lt;="&amp;77234220999)</f>
        <v>0</v>
      </c>
      <c r="AJ134" s="65" t="n">
        <f aca="false">COUNTIFS(Данные!$B$2:$B$722,79,Данные!$C$2:$C$722,0,Данные!$A$2:$A$722,"&gt;="&amp;77234250000,Данные!$A$2:$A$722,"&lt;="&amp;77234250999)</f>
        <v>0</v>
      </c>
      <c r="AK134" s="65" t="n">
        <f aca="false">COUNTIFS(Данные!$B$2:$B$722,79,Данные!$C$2:$C$722,0,Данные!$A$2:$A$722,"&gt;="&amp;77233922950,Данные!$A$2:$A$722,"&lt;="&amp;77233924999)</f>
        <v>0</v>
      </c>
      <c r="AL134" s="65" t="n">
        <f aca="false">COUNTIFS(Данные!$B$2:$B$722,79,Данные!$C$2:$C$722,0,Данные!$A$2:$A$722,"&gt;="&amp;77234320000,Данные!$A$2:$A$722,"&lt;="&amp;77234320999)</f>
        <v>0</v>
      </c>
      <c r="AM134" s="65" t="n">
        <f aca="false">COUNTIFS(Данные!$B$2:$B$722,79,Данные!$C$2:$C$722,0,Данные!$A$2:$A$722,"&gt;="&amp;77234350000,Данные!$A$2:$A$722,"&lt;="&amp;77234350999)</f>
        <v>0</v>
      </c>
      <c r="AN134" s="65" t="n">
        <f aca="false">COUNTIFS(Данные!$B$2:$B$722,79,Данные!$C$2:$C$722,0,Данные!$A$2:$A$722,"&gt;="&amp;77234020000,Данные!$A$2:$A$722,"&lt;="&amp;77234020999)</f>
        <v>0</v>
      </c>
      <c r="AO134" s="65" t="n">
        <f aca="false">COUNTIFS(Данные!$B$2:$B$722,79,Данные!$C$2:$C$722,0,Данные!$A$2:$A$722,"&gt;="&amp;77234029000,Данные!$A$2:$A$722,"&lt;="&amp;77234029999)</f>
        <v>0</v>
      </c>
      <c r="AP134" s="65" t="n">
        <f aca="false">COUNTIFS(Данные!$B$2:$B$722,79,Данные!$C$2:$C$722,0,Данные!$A$2:$A$722,"&gt;="&amp;77234050000,Данные!$A$2:$A$722,"&lt;="&amp;77234050999)</f>
        <v>0</v>
      </c>
      <c r="AQ134" s="65" t="n">
        <f aca="false">COUNTIFS(Данные!$B$2:$B$722,79,Данные!$C$2:$C$722,0,Данные!$A$2:$A$722,"&gt;="&amp;77234427000,Данные!$A$2:$A$722,"&lt;="&amp;77234428999)</f>
        <v>0</v>
      </c>
      <c r="AR134" s="65" t="n">
        <f aca="false">COUNTIFS(Данные!$B$2:$B$722,79,Данные!$C$2:$C$722,0,Данные!$A$2:$A$722,"&gt;="&amp;77234450000,Данные!$A$2:$A$722,"&lt;="&amp;77234450999)</f>
        <v>0</v>
      </c>
      <c r="AS134" s="65" t="n">
        <f aca="false">COUNTIFS(Данные!$B$2:$B$722,79,Данные!$C$2:$C$722,0,Данные!$A$2:$A$722,"&gt;="&amp;77234620000,Данные!$A$2:$A$722,"&lt;="&amp;77234620999)</f>
        <v>0</v>
      </c>
      <c r="AT134" s="65" t="n">
        <f aca="false">COUNTIFS(Данные!$B$2:$B$722,79,Данные!$C$2:$C$722,0,Данные!$A$2:$A$722,"&gt;="&amp;77234650000,Данные!$A$2:$A$722,"&lt;="&amp;77234650999)</f>
        <v>0</v>
      </c>
      <c r="AU134" s="65" t="n">
        <f aca="false">COUNTIFS(Данные!$B$2:$B$722,79,Данные!$C$2:$C$722,0,Данные!$A$2:$A$722,"&gt;="&amp;77234820000,Данные!$A$2:$A$722,"&lt;="&amp;77234820999)</f>
        <v>2</v>
      </c>
      <c r="AV134" s="65" t="n">
        <f aca="false">COUNTIFS(Данные!$B$2:$B$722,79,Данные!$C$2:$C$722,0,Данные!$A$2:$A$722,"&gt;="&amp;77234850000,Данные!$A$2:$A$722,"&lt;="&amp;77234850999)</f>
        <v>1</v>
      </c>
      <c r="AW134" s="65" t="n">
        <f aca="false">COUNTIFS(Данные!$B$2:$B$722,79,Данные!$C$2:$C$722,0,Данные!$A$2:$A$722,"&gt;="&amp;77233327000,Данные!$A$2:$A$722,"&lt;="&amp;77233327999)</f>
        <v>0</v>
      </c>
      <c r="AX134" s="65" t="n">
        <f aca="false">COUNTIFS(Данные!$B$2:$B$722,79,Данные!$C$2:$C$722,0,Данные!$A$2:$A$722,"&gt;="&amp;77233350000,Данные!$A$2:$A$722,"&lt;="&amp;77233350599)</f>
        <v>0</v>
      </c>
      <c r="AY134" s="65" t="n">
        <f aca="false">COUNTIFS(Данные!$B$2:$B$722,79,Данные!$C$2:$C$722,0,Данные!$A$2:$A$722,"&gt;="&amp;77233351000,Данные!$A$2:$A$722,"&lt;="&amp;77233351999)</f>
        <v>0</v>
      </c>
      <c r="AZ134" s="66" t="n">
        <f aca="false">COUNTIFS(Данные!$B$2:$B$722,79,Данные!$C$2:$C$722,0,Данные!$A$2:$A$722,"&gt;="&amp;7722440000,Данные!$A$2:$A$722,"&lt;="&amp;7722440999)</f>
        <v>0</v>
      </c>
      <c r="BA134" s="66" t="n">
        <f aca="false">COUNTIFS(Данные!$B$2:$B$722,79,Данные!$C$2:$C$722,0,Данные!$A$2:$A$722,"&gt;="&amp;7722442000,Данные!$A$2:$A$722,"&lt;="&amp;7722445659)</f>
        <v>0</v>
      </c>
      <c r="BB134" s="66" t="n">
        <f aca="false">COUNTIFS(Данные!$B$2:$B$722,79,Данные!$C$2:$C$722,0,Данные!$A$2:$A$722,"&gt;="&amp;7722450000,Данные!$A$2:$A$722,"&lt;="&amp;7722450199)</f>
        <v>0</v>
      </c>
      <c r="BC134" s="66" t="n">
        <f aca="false">COUNTIFS(Данные!$B$2:$B$722,79,Данные!$C$2:$C$722,0,Данные!$A$2:$A$722,"&gt;="&amp;7722451000,Данные!$A$2:$A$722,"&lt;="&amp;7722451374)</f>
        <v>0</v>
      </c>
      <c r="BD134" s="66" t="n">
        <f aca="false">COUNTIFS(Данные!$B$2:$B$722,79,Данные!$C$2:$C$722,0,Данные!$A$2:$A$722,"&gt;="&amp;7722452000,Данные!$A$2:$A$722,"&lt;="&amp;7722452299)</f>
        <v>0</v>
      </c>
      <c r="BE134" s="66" t="n">
        <f aca="false">COUNTIFS(Данные!$B$2:$B$722,79,Данные!$C$2:$C$722,0,Данные!$A$2:$A$722,"&gt;="&amp;7722453000,Данные!$A$2:$A$722,"&lt;="&amp;7722453816)</f>
        <v>0</v>
      </c>
      <c r="BF134" s="66" t="n">
        <f aca="false">COUNTIFS(Данные!$B$2:$B$722,79,Данные!$C$2:$C$722,0,Данные!$A$2:$A$722,"&gt;="&amp;7722454000,Данные!$A$2:$A$722,"&lt;="&amp;7722454099)</f>
        <v>0</v>
      </c>
      <c r="BG134" s="66" t="n">
        <f aca="false">COUNTIFS(Данные!$B$2:$B$722,79,Данные!$C$2:$C$722,0,Данные!$A$2:$A$722,"&gt;="&amp;7722458000,Данные!$A$2:$A$722,"&lt;="&amp;7722458999)</f>
        <v>0</v>
      </c>
      <c r="BH134" s="66" t="n">
        <f aca="false">COUNTIFS(Данные!$B$2:$B$722,79,Данные!$C$2:$C$722,0,Данные!$A$2:$A$722,"&gt;="&amp;7722630000,Данные!$A$2:$A$722,"&lt;="&amp;7722638549)</f>
        <v>0</v>
      </c>
      <c r="BI134" s="66" t="n">
        <f aca="false">COUNTIFS(Данные!$B$2:$B$722,79,Данные!$C$2:$C$722,0,Данные!$A$2:$A$722,"&gt;="&amp;7722639400,Данные!$A$2:$A$722,"&lt;="&amp;7722639899)</f>
        <v>0</v>
      </c>
      <c r="BJ134" s="66" t="n">
        <f aca="false">COUNTIFS(Данные!$B$2:$B$722,79,Данные!$C$2:$C$722,0,Данные!$A$2:$A$722,"&gt;="&amp;7725750000,Данные!$A$2:$A$722,"&lt;="&amp;7725750399)</f>
        <v>0</v>
      </c>
      <c r="BK134" s="66" t="n">
        <f aca="false">COUNTIFS(Данные!$B$2:$B$722,79,Данные!$C$2:$C$722,0,Данные!$A$2:$A$722,"&gt;="&amp;7723620000,Данные!$A$2:$A$722,"&lt;="&amp;7723621299)</f>
        <v>0</v>
      </c>
      <c r="BL134" s="66" t="n">
        <f aca="false">COUNTIFS(Данные!$B$2:$B$722,79,Данные!$C$2:$C$722,0,Данные!$A$2:$A$722,"&gt;="&amp;7723621600,Данные!$A$2:$A$722,"&lt;="&amp;7723623399)</f>
        <v>0</v>
      </c>
      <c r="BM134" s="66" t="n">
        <f aca="false">COUNTIFS(Данные!$B$2:$B$722,79,Данные!$C$2:$C$722,0,Данные!$A$2:$A$722,"&gt;="&amp;7725127000,Данные!$A$2:$A$722,"&lt;="&amp;7725127999)</f>
        <v>0</v>
      </c>
      <c r="BN134" s="66" t="n">
        <f aca="false">COUNTIFS(Данные!$B$2:$B$722,79,Данные!$C$2:$C$722,0,Данные!$A$2:$A$722,"&gt;="&amp;7723772000,Данные!$A$2:$A$722,"&lt;="&amp;7723724999)</f>
        <v>0</v>
      </c>
      <c r="BO134" s="65" t="n">
        <f aca="false">COUNTIFS(Данные!$B$2:$B$722,79,Данные!$C$2:$C$722,0,Данные!$A$2:$A$722,"&gt;="&amp;7723765000,Данные!$A$2:$A$722,"&lt;="&amp;7723765499)</f>
        <v>0</v>
      </c>
      <c r="BP134" s="66" t="n">
        <f aca="false">COUNTIFS(Данные!$B$2:$B$722,79,Данные!$C$2:$C$722,0,Данные!$A$2:$A$722,"&gt;="&amp;7723948000,Данные!$A$2:$A$722,"&lt;="&amp;7723948999)</f>
        <v>0</v>
      </c>
      <c r="BQ134" s="66" t="n">
        <f aca="false">COUNTIFS(Данные!$B$2:$B$722,79,Данные!$C$2:$C$722,0,Данные!$A$2:$A$722,"&gt;="&amp;7723950000,Данные!$A$2:$A$722,"&lt;="&amp;7723951099)</f>
        <v>0</v>
      </c>
      <c r="BR134" s="66" t="n">
        <f aca="false">COUNTIFS(Данные!$B$2:$B$722,79,Данные!$C$2:$C$722,0,Данные!$A$2:$A$722,"&gt;="&amp;7723020000,Данные!$A$2:$A$722,"&lt;="&amp;7723020999)</f>
        <v>0</v>
      </c>
      <c r="BS134" s="66" t="n">
        <f aca="false">COUNTIFS(Данные!$B$2:$B$722,79,Данные!$C$2:$C$722,0,Данные!$A$2:$A$722,"&gt;="&amp;7723029000,Данные!$A$2:$A$722,"&lt;="&amp;7723029999)</f>
        <v>0</v>
      </c>
      <c r="BT134" s="66" t="n">
        <f aca="false">COUNTIFS(Данные!$B$2:$B$722,79,Данные!$C$2:$C$722,0,Данные!$A$2:$A$722,"&gt;="&amp;7723055000,Данные!$A$2:$A$722,"&lt;="&amp;7723056549)</f>
        <v>0</v>
      </c>
      <c r="BU134" s="65" t="n">
        <f aca="false">COUNTIFS(Данные!$B$2:$B$722,79,Данные!$C$2:$C$722,0,Данные!$A$2:$A$722,"&gt;="&amp;7725250000,Данные!$A$2:$A$722,"&lt;="&amp;7725250499)</f>
        <v>0</v>
      </c>
      <c r="BV134" s="66" t="n">
        <f aca="false">COUNTIFS(Данные!$B$2:$B$722,79,Данные!$C$2:$C$722,0,Данные!$A$2:$A$722,"&gt;="&amp;7183841400,Данные!$A$2:$A$722,"&lt;="&amp;7183841499)</f>
        <v>0</v>
      </c>
      <c r="BW134" s="49" t="n">
        <v>300</v>
      </c>
      <c r="BX134" s="67" t="n">
        <f aca="false">F134-BW134</f>
        <v>-295</v>
      </c>
    </row>
    <row r="135" s="15" customFormat="true" ht="12" hidden="false" customHeight="true" outlineLevel="0" collapsed="false">
      <c r="A135" s="47"/>
      <c r="B135" s="48"/>
      <c r="C135" s="50" t="n">
        <v>1</v>
      </c>
      <c r="D135" s="50" t="n">
        <v>791</v>
      </c>
      <c r="E135" s="51"/>
      <c r="F135" s="65" t="n">
        <f aca="false">COUNTIFS(Данные!$B$2:$B$722,79,Данные!$C$2:$C$722,1)</f>
        <v>1</v>
      </c>
      <c r="G135" s="65" t="n">
        <f aca="false">COUNTIFS(Данные!$B$2:$B$722,79,Данные!$C$2:$C$722,1,Данные!$A$2:$A$722,"&gt;="&amp;77232210840,Данные!$A$2:$A$722,"&lt;="&amp;77232216999)</f>
        <v>0</v>
      </c>
      <c r="H135" s="65" t="n">
        <f aca="false">COUNTIFS(Данные!$B$2:$B$722,79,Данные!$C$2:$C$722,1,Данные!$A$2:$A$722,"&gt;="&amp;77232510512,Данные!$A$2:$A$722,"&lt;="&amp;77232519487)</f>
        <v>0</v>
      </c>
      <c r="I135" s="65" t="n">
        <f aca="false">COUNTIFS(Данные!$B$2:$B$722,79,Данные!$C$2:$C$722,1,Данные!$A$2:$A$722,"&gt;="&amp;77232524160,Данные!$A$2:$A$722,"&lt;="&amp;77232529999)</f>
        <v>0</v>
      </c>
      <c r="J135" s="65" t="n">
        <f aca="false">COUNTIFS(Данные!$B$2:$B$722,79,Данные!$C$2:$C$722,1,Данные!$A$2:$A$722,"&gt;="&amp;77232544000,Данные!$A$2:$A$722,"&lt;="&amp;77232544999)</f>
        <v>0</v>
      </c>
      <c r="K135" s="65" t="n">
        <f aca="false">COUNTIFS(Данные!$B$2:$B$722,79,Данные!$C$2:$C$722,1,Данные!$A$2:$A$722,"&gt;="&amp;77232295504,Данные!$A$2:$A$722,"&lt;="&amp;77232296999)</f>
        <v>0</v>
      </c>
      <c r="L135" s="65" t="n">
        <f aca="false">COUNTIFS(Данные!$B$2:$B$722,79,Данные!$C$2:$C$722,1,Данные!$A$2:$A$722,"&gt;="&amp;77232785000,Данные!$A$2:$A$722,"&lt;="&amp;77232789999)</f>
        <v>0</v>
      </c>
      <c r="M135" s="65" t="n">
        <f aca="false">COUNTIFS(Данные!$B$2:$B$722,79,Данные!$C$2:$C$722,1,Данные!$A$2:$A$722,"&gt;="&amp;77233150000,Данные!$A$2:$A$722,"&lt;="&amp;77233155999)</f>
        <v>0</v>
      </c>
      <c r="N135" s="65" t="n">
        <f aca="false">COUNTIFS(Данные!$B$2:$B$722,79,Данные!$C$2:$C$722,1,Данные!$A$2:$A$722,"&gt;="&amp;77233235000,Данные!$A$2:$A$722,"&lt;="&amp;77233235999)</f>
        <v>0</v>
      </c>
      <c r="O135" s="65" t="n">
        <f aca="false">COUNTIFS(Данные!$B$2:$B$722,79,Данные!$C$2:$C$722,1,Данные!$A$2:$A$722,"&gt;="&amp;77233239000,Данные!$A$2:$A$722,"&lt;="&amp;77233239999)</f>
        <v>0</v>
      </c>
      <c r="P135" s="65" t="n">
        <f aca="false">COUNTIFS(Данные!$B$2:$B$722,79,Данные!$C$2:$C$722,1,Данные!$A$2:$A$722,"&gt;="&amp;77233272000,Данные!$A$2:$A$722,"&lt;="&amp;77233272999)</f>
        <v>0</v>
      </c>
      <c r="Q135" s="65" t="n">
        <f aca="false">COUNTIFS(Данные!$B$2:$B$722,79,Данные!$C$2:$C$722,1,Данные!$A$2:$A$722,"&gt;="&amp;77233291100,Данные!$A$2:$A$722,"&lt;="&amp;77233292999)</f>
        <v>0</v>
      </c>
      <c r="R135" s="65" t="n">
        <f aca="false">COUNTIFS(Данные!$B$2:$B$722,79,Данные!$C$2:$C$722,1,Данные!$A$2:$A$722,"&gt;="&amp;77233297000,Данные!$A$2:$A$722,"&lt;="&amp;77233298399)</f>
        <v>0</v>
      </c>
      <c r="S135" s="65" t="n">
        <f aca="false">COUNTIFS(Данные!$B$2:$B$722,79,Данные!$C$2:$C$722,1,Данные!$A$2:$A$722,"&gt;="&amp;77235124000,Данные!$A$2:$A$722,"&lt;="&amp;77235128499)</f>
        <v>0</v>
      </c>
      <c r="T135" s="65" t="n">
        <f aca="false">COUNTIFS(Данные!$B$2:$B$722,79,Данные!$C$2:$C$722,1,Данные!$A$2:$A$722,"&gt;="&amp;77235320000,Данные!$A$2:$A$722,"&lt;="&amp;77235320999)</f>
        <v>0</v>
      </c>
      <c r="U135" s="65" t="n">
        <f aca="false">COUNTIFS(Данные!$B$2:$B$722,79,Данные!$C$2:$C$722,1,Данные!$A$2:$A$722,"&gt;="&amp;77233620000,Данные!$A$2:$A$722,"&lt;="&amp;77233623339)</f>
        <v>0</v>
      </c>
      <c r="V135" s="65" t="n">
        <f aca="false">COUNTIFS(Данные!$B$2:$B$722,79,Данные!$C$2:$C$722,1,Данные!$A$2:$A$722,"&gt;="&amp;77233630000,Данные!$A$2:$A$722,"&lt;="&amp;77233630999)</f>
        <v>0</v>
      </c>
      <c r="W135" s="65" t="n">
        <f aca="false">COUNTIFS(Данные!$B$2:$B$722,79,Данные!$C$2:$C$722,1,Данные!$A$2:$A$722,"&gt;="&amp;77233637000,Данные!$A$2:$A$722,"&lt;="&amp;77233637599)</f>
        <v>0</v>
      </c>
      <c r="X135" s="65" t="n">
        <f aca="false">COUNTIFS(Данные!$B$2:$B$722,79,Данные!$C$2:$C$722,1,Данные!$A$2:$A$722,"&gt;="&amp;77233550000,Данные!$A$2:$A$722,"&lt;="&amp;77233550999)</f>
        <v>0</v>
      </c>
      <c r="Y135" s="65" t="n">
        <f aca="false">COUNTIFS(Данные!$B$2:$B$722,79,Данные!$C$2:$C$722,1,Данные!$A$2:$A$722,"&gt;="&amp;77233554000,Данные!$A$2:$A$722,"&lt;="&amp;77233554999)</f>
        <v>0</v>
      </c>
      <c r="Z135" s="65" t="n">
        <f aca="false">COUNTIFS(Данные!$B$2:$B$722,79,Данные!$C$2:$C$722,1,Данные!$A$2:$A$722,"&gt;="&amp;77233555000,Данные!$A$2:$A$722,"&lt;="&amp;77233556999)</f>
        <v>0</v>
      </c>
      <c r="AA135" s="65" t="n">
        <f aca="false">COUNTIFS(Данные!$B$2:$B$722,79,Данные!$C$2:$C$722,1,Данные!$A$2:$A$722,"&gt;="&amp;77233726000,Данные!$A$2:$A$722,"&lt;="&amp;77233726999)</f>
        <v>0</v>
      </c>
      <c r="AB135" s="65" t="n">
        <f aca="false">COUNTIFS(Данные!$B$2:$B$722,79,Данные!$C$2:$C$722,1,Данные!$A$2:$A$722,"&gt;="&amp;77233820000,Данные!$A$2:$A$722,"&lt;="&amp;77233820999)</f>
        <v>0</v>
      </c>
      <c r="AC135" s="65" t="n">
        <f aca="false">COUNTIFS(Данные!$B$2:$B$722,79,Данные!$C$2:$C$722,1,Данные!$A$2:$A$722,"&gt;="&amp;77233850000,Данные!$A$2:$A$722,"&lt;="&amp;77233850999)</f>
        <v>0</v>
      </c>
      <c r="AD135" s="65" t="n">
        <f aca="false">COUNTIFS(Данные!$B$2:$B$722,79,Данные!$C$2:$C$722,1,Данные!$A$2:$A$722,"&gt;="&amp;77233420000,Данные!$A$2:$A$722,"&lt;="&amp;77233420999)</f>
        <v>0</v>
      </c>
      <c r="AE135" s="65" t="n">
        <f aca="false">COUNTIFS(Данные!$B$2:$B$722,79,Данные!$C$2:$C$722,1,Данные!$A$2:$A$722,"&gt;="&amp;77234740000,Данные!$A$2:$A$722,"&lt;="&amp;77234742999)</f>
        <v>0</v>
      </c>
      <c r="AF135" s="65" t="n">
        <f aca="false">COUNTIFS(Данные!$B$2:$B$722,79,Данные!$C$2:$C$722,1,Данные!$A$2:$A$722,"&gt;="&amp;77234767000,Данные!$A$2:$A$722,"&lt;="&amp;77234767999)</f>
        <v>0</v>
      </c>
      <c r="AG135" s="65" t="n">
        <f aca="false">COUNTIFS(Данные!$B$2:$B$722,79,Данные!$C$2:$C$722,1,Данные!$A$2:$A$722,"&gt;="&amp;77234120000,Данные!$A$2:$A$722,"&lt;="&amp;77234120999)</f>
        <v>0</v>
      </c>
      <c r="AH135" s="65" t="n">
        <f aca="false">COUNTIFS(Данные!$B$2:$B$722,79,Данные!$C$2:$C$722,1,Данные!$A$2:$A$722,"&gt;="&amp;77234127000,Данные!$A$2:$A$722,"&lt;="&amp;77234127999)</f>
        <v>0</v>
      </c>
      <c r="AI135" s="65" t="n">
        <f aca="false">COUNTIFS(Данные!$B$2:$B$722,79,Данные!$C$2:$C$722,1,Данные!$A$2:$A$722,"&gt;="&amp;77234220000,Данные!$A$2:$A$722,"&lt;="&amp;77234220999)</f>
        <v>0</v>
      </c>
      <c r="AJ135" s="65" t="n">
        <f aca="false">COUNTIFS(Данные!$B$2:$B$722,79,Данные!$C$2:$C$722,1,Данные!$A$2:$A$722,"&gt;="&amp;77234250000,Данные!$A$2:$A$722,"&lt;="&amp;77234250999)</f>
        <v>0</v>
      </c>
      <c r="AK135" s="65" t="n">
        <f aca="false">COUNTIFS(Данные!$B$2:$B$722,79,Данные!$C$2:$C$722,1,Данные!$A$2:$A$722,"&gt;="&amp;77233922950,Данные!$A$2:$A$722,"&lt;="&amp;77233924999)</f>
        <v>0</v>
      </c>
      <c r="AL135" s="65" t="n">
        <f aca="false">COUNTIFS(Данные!$B$2:$B$722,79,Данные!$C$2:$C$722,1,Данные!$A$2:$A$722,"&gt;="&amp;77234320000,Данные!$A$2:$A$722,"&lt;="&amp;77234320999)</f>
        <v>0</v>
      </c>
      <c r="AM135" s="65" t="n">
        <f aca="false">COUNTIFS(Данные!$B$2:$B$722,79,Данные!$C$2:$C$722,1,Данные!$A$2:$A$722,"&gt;="&amp;77234350000,Данные!$A$2:$A$722,"&lt;="&amp;77234350999)</f>
        <v>0</v>
      </c>
      <c r="AN135" s="65" t="n">
        <f aca="false">COUNTIFS(Данные!$B$2:$B$722,79,Данные!$C$2:$C$722,1,Данные!$A$2:$A$722,"&gt;="&amp;77234020000,Данные!$A$2:$A$722,"&lt;="&amp;77234020999)</f>
        <v>0</v>
      </c>
      <c r="AO135" s="65" t="n">
        <f aca="false">COUNTIFS(Данные!$B$2:$B$722,79,Данные!$C$2:$C$722,1,Данные!$A$2:$A$722,"&gt;="&amp;77234029000,Данные!$A$2:$A$722,"&lt;="&amp;77234029999)</f>
        <v>0</v>
      </c>
      <c r="AP135" s="65" t="n">
        <f aca="false">COUNTIFS(Данные!$B$2:$B$722,79,Данные!$C$2:$C$722,1,Данные!$A$2:$A$722,"&gt;="&amp;77234050000,Данные!$A$2:$A$722,"&lt;="&amp;77234050999)</f>
        <v>0</v>
      </c>
      <c r="AQ135" s="65" t="n">
        <f aca="false">COUNTIFS(Данные!$B$2:$B$722,79,Данные!$C$2:$C$722,1,Данные!$A$2:$A$722,"&gt;="&amp;77234427000,Данные!$A$2:$A$722,"&lt;="&amp;77234428999)</f>
        <v>0</v>
      </c>
      <c r="AR135" s="65" t="n">
        <f aca="false">COUNTIFS(Данные!$B$2:$B$722,79,Данные!$C$2:$C$722,1,Данные!$A$2:$A$722,"&gt;="&amp;77234450000,Данные!$A$2:$A$722,"&lt;="&amp;77234450999)</f>
        <v>0</v>
      </c>
      <c r="AS135" s="65" t="n">
        <f aca="false">COUNTIFS(Данные!$B$2:$B$722,79,Данные!$C$2:$C$722,1,Данные!$A$2:$A$722,"&gt;="&amp;77234620000,Данные!$A$2:$A$722,"&lt;="&amp;77234620999)</f>
        <v>0</v>
      </c>
      <c r="AT135" s="65" t="n">
        <f aca="false">COUNTIFS(Данные!$B$2:$B$722,79,Данные!$C$2:$C$722,1,Данные!$A$2:$A$722,"&gt;="&amp;77234650000,Данные!$A$2:$A$722,"&lt;="&amp;77234650999)</f>
        <v>0</v>
      </c>
      <c r="AU135" s="65" t="n">
        <f aca="false">COUNTIFS(Данные!$B$2:$B$722,79,Данные!$C$2:$C$722,1,Данные!$A$2:$A$722,"&gt;="&amp;77234820000,Данные!$A$2:$A$722,"&lt;="&amp;77234820999)</f>
        <v>0</v>
      </c>
      <c r="AV135" s="65" t="n">
        <f aca="false">COUNTIFS(Данные!$B$2:$B$722,79,Данные!$C$2:$C$722,1,Данные!$A$2:$A$722,"&gt;="&amp;77234850000,Данные!$A$2:$A$722,"&lt;="&amp;77234850999)</f>
        <v>0</v>
      </c>
      <c r="AW135" s="65" t="n">
        <f aca="false">COUNTIFS(Данные!$B$2:$B$722,79,Данные!$C$2:$C$722,1,Данные!$A$2:$A$722,"&gt;="&amp;77233327000,Данные!$A$2:$A$722,"&lt;="&amp;77233327999)</f>
        <v>0</v>
      </c>
      <c r="AX135" s="65" t="n">
        <f aca="false">COUNTIFS(Данные!$B$2:$B$722,79,Данные!$C$2:$C$722,1,Данные!$A$2:$A$722,"&gt;="&amp;77233350000,Данные!$A$2:$A$722,"&lt;="&amp;77233350599)</f>
        <v>0</v>
      </c>
      <c r="AY135" s="65" t="n">
        <f aca="false">COUNTIFS(Данные!$B$2:$B$722,79,Данные!$C$2:$C$722,1,Данные!$A$2:$A$722,"&gt;="&amp;77233351000,Данные!$A$2:$A$722,"&lt;="&amp;77233351999)</f>
        <v>0</v>
      </c>
      <c r="AZ135" s="66" t="n">
        <f aca="false">COUNTIFS(Данные!$B$2:$B$722,79,Данные!$C$2:$C$722,1,Данные!$A$2:$A$722,"&gt;="&amp;7722440000,Данные!$A$2:$A$722,"&lt;="&amp;7722440999)</f>
        <v>0</v>
      </c>
      <c r="BA135" s="66" t="n">
        <f aca="false">COUNTIFS(Данные!$B$2:$B$722,79,Данные!$C$2:$C$722,1,Данные!$A$2:$A$722,"&gt;="&amp;7722442000,Данные!$A$2:$A$722,"&lt;="&amp;7722445659)</f>
        <v>0</v>
      </c>
      <c r="BB135" s="66" t="n">
        <f aca="false">COUNTIFS(Данные!$B$2:$B$722,79,Данные!$C$2:$C$722,1,Данные!$A$2:$A$722,"&gt;="&amp;7722450000,Данные!$A$2:$A$722,"&lt;="&amp;7722450199)</f>
        <v>0</v>
      </c>
      <c r="BC135" s="66" t="n">
        <f aca="false">COUNTIFS(Данные!$B$2:$B$722,79,Данные!$C$2:$C$722,1,Данные!$A$2:$A$722,"&gt;="&amp;7722451000,Данные!$A$2:$A$722,"&lt;="&amp;7722451374)</f>
        <v>0</v>
      </c>
      <c r="BD135" s="66" t="n">
        <f aca="false">COUNTIFS(Данные!$B$2:$B$722,79,Данные!$C$2:$C$722,1,Данные!$A$2:$A$722,"&gt;="&amp;7722452000,Данные!$A$2:$A$722,"&lt;="&amp;7722452299)</f>
        <v>0</v>
      </c>
      <c r="BE135" s="66" t="n">
        <f aca="false">COUNTIFS(Данные!$B$2:$B$722,79,Данные!$C$2:$C$722,1,Данные!$A$2:$A$722,"&gt;="&amp;7722453000,Данные!$A$2:$A$722,"&lt;="&amp;7722453816)</f>
        <v>0</v>
      </c>
      <c r="BF135" s="66" t="n">
        <f aca="false">COUNTIFS(Данные!$B$2:$B$722,79,Данные!$C$2:$C$722,1,Данные!$A$2:$A$722,"&gt;="&amp;7722454000,Данные!$A$2:$A$722,"&lt;="&amp;7722454099)</f>
        <v>0</v>
      </c>
      <c r="BG135" s="66" t="n">
        <f aca="false">COUNTIFS(Данные!$B$2:$B$722,79,Данные!$C$2:$C$722,1,Данные!$A$2:$A$722,"&gt;="&amp;7722458000,Данные!$A$2:$A$722,"&lt;="&amp;7722458999)</f>
        <v>0</v>
      </c>
      <c r="BH135" s="66" t="n">
        <f aca="false">COUNTIFS(Данные!$B$2:$B$722,79,Данные!$C$2:$C$722,1,Данные!$A$2:$A$722,"&gt;="&amp;7722630000,Данные!$A$2:$A$722,"&lt;="&amp;7722638549)</f>
        <v>0</v>
      </c>
      <c r="BI135" s="66" t="n">
        <f aca="false">COUNTIFS(Данные!$B$2:$B$722,79,Данные!$C$2:$C$722,1,Данные!$A$2:$A$722,"&gt;="&amp;7722639400,Данные!$A$2:$A$722,"&lt;="&amp;7722639899)</f>
        <v>0</v>
      </c>
      <c r="BJ135" s="66" t="n">
        <f aca="false">COUNTIFS(Данные!$B$2:$B$722,79,Данные!$C$2:$C$722,1,Данные!$A$2:$A$722,"&gt;="&amp;7725750000,Данные!$A$2:$A$722,"&lt;="&amp;7725750399)</f>
        <v>0</v>
      </c>
      <c r="BK135" s="66" t="n">
        <f aca="false">COUNTIFS(Данные!$B$2:$B$722,79,Данные!$C$2:$C$722,1,Данные!$A$2:$A$722,"&gt;="&amp;7723620000,Данные!$A$2:$A$722,"&lt;="&amp;7723621299)</f>
        <v>0</v>
      </c>
      <c r="BL135" s="66" t="n">
        <f aca="false">COUNTIFS(Данные!$B$2:$B$722,79,Данные!$C$2:$C$722,1,Данные!$A$2:$A$722,"&gt;="&amp;7723621600,Данные!$A$2:$A$722,"&lt;="&amp;7723623399)</f>
        <v>0</v>
      </c>
      <c r="BM135" s="66" t="n">
        <f aca="false">COUNTIFS(Данные!$B$2:$B$722,79,Данные!$C$2:$C$722,1,Данные!$A$2:$A$722,"&gt;="&amp;7725127000,Данные!$A$2:$A$722,"&lt;="&amp;7725127999)</f>
        <v>0</v>
      </c>
      <c r="BN135" s="66" t="n">
        <f aca="false">COUNTIFS(Данные!$B$2:$B$722,79,Данные!$C$2:$C$722,1,Данные!$A$2:$A$722,"&gt;="&amp;7723772000,Данные!$A$2:$A$722,"&lt;="&amp;7723724999)</f>
        <v>0</v>
      </c>
      <c r="BO135" s="65" t="n">
        <f aca="false">COUNTIFS(Данные!$B$2:$B$722,79,Данные!$C$2:$C$722,1,Данные!$A$2:$A$722,"&gt;="&amp;7723765000,Данные!$A$2:$A$722,"&lt;="&amp;7723765499)</f>
        <v>0</v>
      </c>
      <c r="BP135" s="66" t="n">
        <f aca="false">COUNTIFS(Данные!$B$2:$B$722,79,Данные!$C$2:$C$722,1,Данные!$A$2:$A$722,"&gt;="&amp;7723948000,Данные!$A$2:$A$722,"&lt;="&amp;7723948999)</f>
        <v>0</v>
      </c>
      <c r="BQ135" s="66" t="n">
        <f aca="false">COUNTIFS(Данные!$B$2:$B$722,79,Данные!$C$2:$C$722,1,Данные!$A$2:$A$722,"&gt;="&amp;7723950000,Данные!$A$2:$A$722,"&lt;="&amp;7723951099)</f>
        <v>0</v>
      </c>
      <c r="BR135" s="66" t="n">
        <f aca="false">COUNTIFS(Данные!$B$2:$B$722,79,Данные!$C$2:$C$722,1,Данные!$A$2:$A$722,"&gt;="&amp;7723020000,Данные!$A$2:$A$722,"&lt;="&amp;7723020999)</f>
        <v>0</v>
      </c>
      <c r="BS135" s="66" t="n">
        <f aca="false">COUNTIFS(Данные!$B$2:$B$722,79,Данные!$C$2:$C$722,1,Данные!$A$2:$A$722,"&gt;="&amp;7723029000,Данные!$A$2:$A$722,"&lt;="&amp;7723029999)</f>
        <v>0</v>
      </c>
      <c r="BT135" s="66" t="n">
        <f aca="false">COUNTIFS(Данные!$B$2:$B$722,79,Данные!$C$2:$C$722,1,Данные!$A$2:$A$722,"&gt;="&amp;7723055000,Данные!$A$2:$A$722,"&lt;="&amp;7723056549)</f>
        <v>0</v>
      </c>
      <c r="BU135" s="65" t="n">
        <f aca="false">COUNTIFS(Данные!$B$2:$B$722,79,Данные!$C$2:$C$722,1,Данные!$A$2:$A$722,"&gt;="&amp;7725250000,Данные!$A$2:$A$722,"&lt;="&amp;7725250499)</f>
        <v>0</v>
      </c>
      <c r="BV135" s="66" t="n">
        <f aca="false">COUNTIFS(Данные!$B$2:$B$722,79,Данные!$C$2:$C$722,1,Данные!$A$2:$A$722,"&gt;="&amp;7183841400,Данные!$A$2:$A$722,"&lt;="&amp;7183841499)</f>
        <v>0</v>
      </c>
      <c r="BW135" s="49" t="n">
        <v>300</v>
      </c>
      <c r="BX135" s="67" t="n">
        <f aca="false">F135-BW135</f>
        <v>-299</v>
      </c>
    </row>
    <row r="136" s="15" customFormat="true" ht="12" hidden="false" customHeight="true" outlineLevel="0" collapsed="false">
      <c r="A136" s="47"/>
      <c r="B136" s="48"/>
      <c r="C136" s="50" t="n">
        <v>2</v>
      </c>
      <c r="D136" s="50" t="n">
        <v>792</v>
      </c>
      <c r="E136" s="51"/>
      <c r="F136" s="65" t="n">
        <f aca="false">COUNTIFS(Данные!$B$2:$B$722,79,Данные!$C$2:$C$722,2)</f>
        <v>7</v>
      </c>
      <c r="G136" s="65" t="n">
        <f aca="false">COUNTIFS(Данные!$B$2:$B$722,79,Данные!$C$2:$C$722,2,Данные!$A$2:$A$722,"&gt;="&amp;77232210840,Данные!$A$2:$A$722,"&lt;="&amp;77232216999)</f>
        <v>0</v>
      </c>
      <c r="H136" s="65" t="n">
        <f aca="false">COUNTIFS(Данные!$B$2:$B$722,79,Данные!$C$2:$C$722,2,Данные!$A$2:$A$722,"&gt;="&amp;77232510512,Данные!$A$2:$A$722,"&lt;="&amp;77232519487)</f>
        <v>0</v>
      </c>
      <c r="I136" s="65" t="n">
        <f aca="false">COUNTIFS(Данные!$B$2:$B$722,79,Данные!$C$2:$C$722,2,Данные!$A$2:$A$722,"&gt;="&amp;77232524160,Данные!$A$2:$A$722,"&lt;="&amp;77232529999)</f>
        <v>0</v>
      </c>
      <c r="J136" s="65" t="n">
        <f aca="false">COUNTIFS(Данные!$B$2:$B$722,79,Данные!$C$2:$C$722,2,Данные!$A$2:$A$722,"&gt;="&amp;77232544000,Данные!$A$2:$A$722,"&lt;="&amp;77232544999)</f>
        <v>0</v>
      </c>
      <c r="K136" s="65" t="n">
        <f aca="false">COUNTIFS(Данные!$B$2:$B$722,79,Данные!$C$2:$C$722,2,Данные!$A$2:$A$722,"&gt;="&amp;77232295504,Данные!$A$2:$A$722,"&lt;="&amp;77232296999)</f>
        <v>0</v>
      </c>
      <c r="L136" s="65" t="n">
        <f aca="false">COUNTIFS(Данные!$B$2:$B$722,79,Данные!$C$2:$C$722,2,Данные!$A$2:$A$722,"&gt;="&amp;77232785000,Данные!$A$2:$A$722,"&lt;="&amp;77232789999)</f>
        <v>0</v>
      </c>
      <c r="M136" s="65" t="n">
        <f aca="false">COUNTIFS(Данные!$B$2:$B$722,79,Данные!$C$2:$C$722,2,Данные!$A$2:$A$722,"&gt;="&amp;77233150000,Данные!$A$2:$A$722,"&lt;="&amp;77233155999)</f>
        <v>0</v>
      </c>
      <c r="N136" s="65" t="n">
        <f aca="false">COUNTIFS(Данные!$B$2:$B$722,79,Данные!$C$2:$C$722,2,Данные!$A$2:$A$722,"&gt;="&amp;77233235000,Данные!$A$2:$A$722,"&lt;="&amp;77233235999)</f>
        <v>0</v>
      </c>
      <c r="O136" s="65" t="n">
        <f aca="false">COUNTIFS(Данные!$B$2:$B$722,79,Данные!$C$2:$C$722,2,Данные!$A$2:$A$722,"&gt;="&amp;77233239000,Данные!$A$2:$A$722,"&lt;="&amp;77233239999)</f>
        <v>0</v>
      </c>
      <c r="P136" s="65" t="n">
        <f aca="false">COUNTIFS(Данные!$B$2:$B$722,79,Данные!$C$2:$C$722,2,Данные!$A$2:$A$722,"&gt;="&amp;77233272000,Данные!$A$2:$A$722,"&lt;="&amp;77233272999)</f>
        <v>0</v>
      </c>
      <c r="Q136" s="65" t="n">
        <f aca="false">COUNTIFS(Данные!$B$2:$B$722,79,Данные!$C$2:$C$722,2,Данные!$A$2:$A$722,"&gt;="&amp;77233291100,Данные!$A$2:$A$722,"&lt;="&amp;77233292999)</f>
        <v>0</v>
      </c>
      <c r="R136" s="65" t="n">
        <f aca="false">COUNTIFS(Данные!$B$2:$B$722,79,Данные!$C$2:$C$722,2,Данные!$A$2:$A$722,"&gt;="&amp;77233297000,Данные!$A$2:$A$722,"&lt;="&amp;77233298399)</f>
        <v>0</v>
      </c>
      <c r="S136" s="65" t="n">
        <f aca="false">COUNTIFS(Данные!$B$2:$B$722,79,Данные!$C$2:$C$722,2,Данные!$A$2:$A$722,"&gt;="&amp;77235124000,Данные!$A$2:$A$722,"&lt;="&amp;77235128499)</f>
        <v>0</v>
      </c>
      <c r="T136" s="65" t="n">
        <f aca="false">COUNTIFS(Данные!$B$2:$B$722,79,Данные!$C$2:$C$722,2,Данные!$A$2:$A$722,"&gt;="&amp;77235320000,Данные!$A$2:$A$722,"&lt;="&amp;77235320999)</f>
        <v>0</v>
      </c>
      <c r="U136" s="65" t="n">
        <f aca="false">COUNTIFS(Данные!$B$2:$B$722,79,Данные!$C$2:$C$722,2,Данные!$A$2:$A$722,"&gt;="&amp;77233620000,Данные!$A$2:$A$722,"&lt;="&amp;77233623339)</f>
        <v>0</v>
      </c>
      <c r="V136" s="65" t="n">
        <f aca="false">COUNTIFS(Данные!$B$2:$B$722,79,Данные!$C$2:$C$722,2,Данные!$A$2:$A$722,"&gt;="&amp;77233630000,Данные!$A$2:$A$722,"&lt;="&amp;77233630999)</f>
        <v>0</v>
      </c>
      <c r="W136" s="65" t="n">
        <f aca="false">COUNTIFS(Данные!$B$2:$B$722,79,Данные!$C$2:$C$722,2,Данные!$A$2:$A$722,"&gt;="&amp;77233637000,Данные!$A$2:$A$722,"&lt;="&amp;77233637599)</f>
        <v>0</v>
      </c>
      <c r="X136" s="65" t="n">
        <f aca="false">COUNTIFS(Данные!$B$2:$B$722,79,Данные!$C$2:$C$722,2,Данные!$A$2:$A$722,"&gt;="&amp;77233550000,Данные!$A$2:$A$722,"&lt;="&amp;77233550999)</f>
        <v>0</v>
      </c>
      <c r="Y136" s="65" t="n">
        <f aca="false">COUNTIFS(Данные!$B$2:$B$722,79,Данные!$C$2:$C$722,2,Данные!$A$2:$A$722,"&gt;="&amp;77233554000,Данные!$A$2:$A$722,"&lt;="&amp;77233554999)</f>
        <v>0</v>
      </c>
      <c r="Z136" s="65" t="n">
        <f aca="false">COUNTIFS(Данные!$B$2:$B$722,79,Данные!$C$2:$C$722,2,Данные!$A$2:$A$722,"&gt;="&amp;77233555000,Данные!$A$2:$A$722,"&lt;="&amp;77233556999)</f>
        <v>0</v>
      </c>
      <c r="AA136" s="65" t="n">
        <f aca="false">COUNTIFS(Данные!$B$2:$B$722,79,Данные!$C$2:$C$722,2,Данные!$A$2:$A$722,"&gt;="&amp;77233726000,Данные!$A$2:$A$722,"&lt;="&amp;77233726999)</f>
        <v>0</v>
      </c>
      <c r="AB136" s="65" t="n">
        <f aca="false">COUNTIFS(Данные!$B$2:$B$722,79,Данные!$C$2:$C$722,2,Данные!$A$2:$A$722,"&gt;="&amp;77233820000,Данные!$A$2:$A$722,"&lt;="&amp;77233820999)</f>
        <v>0</v>
      </c>
      <c r="AC136" s="65" t="n">
        <f aca="false">COUNTIFS(Данные!$B$2:$B$722,79,Данные!$C$2:$C$722,2,Данные!$A$2:$A$722,"&gt;="&amp;77233850000,Данные!$A$2:$A$722,"&lt;="&amp;77233850999)</f>
        <v>0</v>
      </c>
      <c r="AD136" s="65" t="n">
        <f aca="false">COUNTIFS(Данные!$B$2:$B$722,79,Данные!$C$2:$C$722,2,Данные!$A$2:$A$722,"&gt;="&amp;77233420000,Данные!$A$2:$A$722,"&lt;="&amp;77233420999)</f>
        <v>0</v>
      </c>
      <c r="AE136" s="65" t="n">
        <f aca="false">COUNTIFS(Данные!$B$2:$B$722,79,Данные!$C$2:$C$722,2,Данные!$A$2:$A$722,"&gt;="&amp;77234740000,Данные!$A$2:$A$722,"&lt;="&amp;77234742999)</f>
        <v>0</v>
      </c>
      <c r="AF136" s="65" t="n">
        <f aca="false">COUNTIFS(Данные!$B$2:$B$722,79,Данные!$C$2:$C$722,2,Данные!$A$2:$A$722,"&gt;="&amp;77234767000,Данные!$A$2:$A$722,"&lt;="&amp;77234767999)</f>
        <v>0</v>
      </c>
      <c r="AG136" s="65" t="n">
        <f aca="false">COUNTIFS(Данные!$B$2:$B$722,79,Данные!$C$2:$C$722,2,Данные!$A$2:$A$722,"&gt;="&amp;77234120000,Данные!$A$2:$A$722,"&lt;="&amp;77234120999)</f>
        <v>0</v>
      </c>
      <c r="AH136" s="65" t="n">
        <f aca="false">COUNTIFS(Данные!$B$2:$B$722,79,Данные!$C$2:$C$722,2,Данные!$A$2:$A$722,"&gt;="&amp;77234127000,Данные!$A$2:$A$722,"&lt;="&amp;77234127999)</f>
        <v>0</v>
      </c>
      <c r="AI136" s="65" t="n">
        <f aca="false">COUNTIFS(Данные!$B$2:$B$722,79,Данные!$C$2:$C$722,2,Данные!$A$2:$A$722,"&gt;="&amp;77234220000,Данные!$A$2:$A$722,"&lt;="&amp;77234220999)</f>
        <v>0</v>
      </c>
      <c r="AJ136" s="65" t="n">
        <f aca="false">COUNTIFS(Данные!$B$2:$B$722,79,Данные!$C$2:$C$722,2,Данные!$A$2:$A$722,"&gt;="&amp;77234250000,Данные!$A$2:$A$722,"&lt;="&amp;77234250999)</f>
        <v>0</v>
      </c>
      <c r="AK136" s="65" t="n">
        <f aca="false">COUNTIFS(Данные!$B$2:$B$722,79,Данные!$C$2:$C$722,2,Данные!$A$2:$A$722,"&gt;="&amp;77233922950,Данные!$A$2:$A$722,"&lt;="&amp;77233924999)</f>
        <v>0</v>
      </c>
      <c r="AL136" s="65" t="n">
        <f aca="false">COUNTIFS(Данные!$B$2:$B$722,79,Данные!$C$2:$C$722,2,Данные!$A$2:$A$722,"&gt;="&amp;77234320000,Данные!$A$2:$A$722,"&lt;="&amp;77234320999)</f>
        <v>0</v>
      </c>
      <c r="AM136" s="65" t="n">
        <f aca="false">COUNTIFS(Данные!$B$2:$B$722,79,Данные!$C$2:$C$722,2,Данные!$A$2:$A$722,"&gt;="&amp;77234350000,Данные!$A$2:$A$722,"&lt;="&amp;77234350999)</f>
        <v>0</v>
      </c>
      <c r="AN136" s="65" t="n">
        <f aca="false">COUNTIFS(Данные!$B$2:$B$722,79,Данные!$C$2:$C$722,2,Данные!$A$2:$A$722,"&gt;="&amp;77234020000,Данные!$A$2:$A$722,"&lt;="&amp;77234020999)</f>
        <v>0</v>
      </c>
      <c r="AO136" s="65" t="n">
        <f aca="false">COUNTIFS(Данные!$B$2:$B$722,79,Данные!$C$2:$C$722,2,Данные!$A$2:$A$722,"&gt;="&amp;77234029000,Данные!$A$2:$A$722,"&lt;="&amp;77234029999)</f>
        <v>0</v>
      </c>
      <c r="AP136" s="65" t="n">
        <f aca="false">COUNTIFS(Данные!$B$2:$B$722,79,Данные!$C$2:$C$722,2,Данные!$A$2:$A$722,"&gt;="&amp;77234050000,Данные!$A$2:$A$722,"&lt;="&amp;77234050999)</f>
        <v>0</v>
      </c>
      <c r="AQ136" s="65" t="n">
        <f aca="false">COUNTIFS(Данные!$B$2:$B$722,79,Данные!$C$2:$C$722,2,Данные!$A$2:$A$722,"&gt;="&amp;77234427000,Данные!$A$2:$A$722,"&lt;="&amp;77234428999)</f>
        <v>0</v>
      </c>
      <c r="AR136" s="65" t="n">
        <f aca="false">COUNTIFS(Данные!$B$2:$B$722,79,Данные!$C$2:$C$722,2,Данные!$A$2:$A$722,"&gt;="&amp;77234450000,Данные!$A$2:$A$722,"&lt;="&amp;77234450999)</f>
        <v>0</v>
      </c>
      <c r="AS136" s="65" t="n">
        <f aca="false">COUNTIFS(Данные!$B$2:$B$722,79,Данные!$C$2:$C$722,2,Данные!$A$2:$A$722,"&gt;="&amp;77234620000,Данные!$A$2:$A$722,"&lt;="&amp;77234620999)</f>
        <v>0</v>
      </c>
      <c r="AT136" s="65" t="n">
        <f aca="false">COUNTIFS(Данные!$B$2:$B$722,79,Данные!$C$2:$C$722,2,Данные!$A$2:$A$722,"&gt;="&amp;77234650000,Данные!$A$2:$A$722,"&lt;="&amp;77234650999)</f>
        <v>0</v>
      </c>
      <c r="AU136" s="65" t="n">
        <f aca="false">COUNTIFS(Данные!$B$2:$B$722,79,Данные!$C$2:$C$722,2,Данные!$A$2:$A$722,"&gt;="&amp;77234820000,Данные!$A$2:$A$722,"&lt;="&amp;77234820999)</f>
        <v>2</v>
      </c>
      <c r="AV136" s="65" t="n">
        <f aca="false">COUNTIFS(Данные!$B$2:$B$722,79,Данные!$C$2:$C$722,2,Данные!$A$2:$A$722,"&gt;="&amp;77234850000,Данные!$A$2:$A$722,"&lt;="&amp;77234850999)</f>
        <v>4</v>
      </c>
      <c r="AW136" s="65" t="n">
        <f aca="false">COUNTIFS(Данные!$B$2:$B$722,79,Данные!$C$2:$C$722,2,Данные!$A$2:$A$722,"&gt;="&amp;77233327000,Данные!$A$2:$A$722,"&lt;="&amp;77233327999)</f>
        <v>0</v>
      </c>
      <c r="AX136" s="65" t="n">
        <f aca="false">COUNTIFS(Данные!$B$2:$B$722,79,Данные!$C$2:$C$722,2,Данные!$A$2:$A$722,"&gt;="&amp;77233350000,Данные!$A$2:$A$722,"&lt;="&amp;77233350599)</f>
        <v>0</v>
      </c>
      <c r="AY136" s="65" t="n">
        <f aca="false">COUNTIFS(Данные!$B$2:$B$722,79,Данные!$C$2:$C$722,2,Данные!$A$2:$A$722,"&gt;="&amp;77233351000,Данные!$A$2:$A$722,"&lt;="&amp;77233351999)</f>
        <v>0</v>
      </c>
      <c r="AZ136" s="66" t="n">
        <f aca="false">COUNTIFS(Данные!$B$2:$B$722,79,Данные!$C$2:$C$722,2,Данные!$A$2:$A$722,"&gt;="&amp;7722440000,Данные!$A$2:$A$722,"&lt;="&amp;7722440999)</f>
        <v>0</v>
      </c>
      <c r="BA136" s="66" t="n">
        <f aca="false">COUNTIFS(Данные!$B$2:$B$722,79,Данные!$C$2:$C$722,2,Данные!$A$2:$A$722,"&gt;="&amp;7722442000,Данные!$A$2:$A$722,"&lt;="&amp;7722445659)</f>
        <v>0</v>
      </c>
      <c r="BB136" s="66" t="n">
        <f aca="false">COUNTIFS(Данные!$B$2:$B$722,79,Данные!$C$2:$C$722,2,Данные!$A$2:$A$722,"&gt;="&amp;7722450000,Данные!$A$2:$A$722,"&lt;="&amp;7722450199)</f>
        <v>0</v>
      </c>
      <c r="BC136" s="66" t="n">
        <f aca="false">COUNTIFS(Данные!$B$2:$B$722,79,Данные!$C$2:$C$722,2,Данные!$A$2:$A$722,"&gt;="&amp;7722451000,Данные!$A$2:$A$722,"&lt;="&amp;7722451374)</f>
        <v>0</v>
      </c>
      <c r="BD136" s="66" t="n">
        <f aca="false">COUNTIFS(Данные!$B$2:$B$722,79,Данные!$C$2:$C$722,2,Данные!$A$2:$A$722,"&gt;="&amp;7722452000,Данные!$A$2:$A$722,"&lt;="&amp;7722452299)</f>
        <v>0</v>
      </c>
      <c r="BE136" s="66" t="n">
        <f aca="false">COUNTIFS(Данные!$B$2:$B$722,79,Данные!$C$2:$C$722,2,Данные!$A$2:$A$722,"&gt;="&amp;7722453000,Данные!$A$2:$A$722,"&lt;="&amp;7722453816)</f>
        <v>0</v>
      </c>
      <c r="BF136" s="66" t="n">
        <f aca="false">COUNTIFS(Данные!$B$2:$B$722,79,Данные!$C$2:$C$722,2,Данные!$A$2:$A$722,"&gt;="&amp;7722454000,Данные!$A$2:$A$722,"&lt;="&amp;7722454099)</f>
        <v>0</v>
      </c>
      <c r="BG136" s="66" t="n">
        <f aca="false">COUNTIFS(Данные!$B$2:$B$722,79,Данные!$C$2:$C$722,2,Данные!$A$2:$A$722,"&gt;="&amp;7722458000,Данные!$A$2:$A$722,"&lt;="&amp;7722458999)</f>
        <v>0</v>
      </c>
      <c r="BH136" s="66" t="n">
        <f aca="false">COUNTIFS(Данные!$B$2:$B$722,79,Данные!$C$2:$C$722,2,Данные!$A$2:$A$722,"&gt;="&amp;7722630000,Данные!$A$2:$A$722,"&lt;="&amp;7722638549)</f>
        <v>0</v>
      </c>
      <c r="BI136" s="66" t="n">
        <f aca="false">COUNTIFS(Данные!$B$2:$B$722,79,Данные!$C$2:$C$722,2,Данные!$A$2:$A$722,"&gt;="&amp;7722639400,Данные!$A$2:$A$722,"&lt;="&amp;7722639899)</f>
        <v>0</v>
      </c>
      <c r="BJ136" s="66" t="n">
        <f aca="false">COUNTIFS(Данные!$B$2:$B$722,79,Данные!$C$2:$C$722,2,Данные!$A$2:$A$722,"&gt;="&amp;7725750000,Данные!$A$2:$A$722,"&lt;="&amp;7725750399)</f>
        <v>0</v>
      </c>
      <c r="BK136" s="66" t="n">
        <f aca="false">COUNTIFS(Данные!$B$2:$B$722,79,Данные!$C$2:$C$722,2,Данные!$A$2:$A$722,"&gt;="&amp;7723620000,Данные!$A$2:$A$722,"&lt;="&amp;7723621299)</f>
        <v>0</v>
      </c>
      <c r="BL136" s="66" t="n">
        <f aca="false">COUNTIFS(Данные!$B$2:$B$722,79,Данные!$C$2:$C$722,2,Данные!$A$2:$A$722,"&gt;="&amp;7723621600,Данные!$A$2:$A$722,"&lt;="&amp;7723623399)</f>
        <v>0</v>
      </c>
      <c r="BM136" s="66" t="n">
        <f aca="false">COUNTIFS(Данные!$B$2:$B$722,79,Данные!$C$2:$C$722,2,Данные!$A$2:$A$722,"&gt;="&amp;7725127000,Данные!$A$2:$A$722,"&lt;="&amp;7725127999)</f>
        <v>0</v>
      </c>
      <c r="BN136" s="66" t="n">
        <f aca="false">COUNTIFS(Данные!$B$2:$B$722,79,Данные!$C$2:$C$722,2,Данные!$A$2:$A$722,"&gt;="&amp;7723772000,Данные!$A$2:$A$722,"&lt;="&amp;7723724999)</f>
        <v>0</v>
      </c>
      <c r="BO136" s="65" t="n">
        <f aca="false">COUNTIFS(Данные!$B$2:$B$722,79,Данные!$C$2:$C$722,2,Данные!$A$2:$A$722,"&gt;="&amp;7723765000,Данные!$A$2:$A$722,"&lt;="&amp;7723765499)</f>
        <v>0</v>
      </c>
      <c r="BP136" s="66" t="n">
        <f aca="false">COUNTIFS(Данные!$B$2:$B$722,79,Данные!$C$2:$C$722,2,Данные!$A$2:$A$722,"&gt;="&amp;7723948000,Данные!$A$2:$A$722,"&lt;="&amp;7723948999)</f>
        <v>0</v>
      </c>
      <c r="BQ136" s="66" t="n">
        <f aca="false">COUNTIFS(Данные!$B$2:$B$722,79,Данные!$C$2:$C$722,2,Данные!$A$2:$A$722,"&gt;="&amp;7723950000,Данные!$A$2:$A$722,"&lt;="&amp;7723951099)</f>
        <v>0</v>
      </c>
      <c r="BR136" s="66" t="n">
        <f aca="false">COUNTIFS(Данные!$B$2:$B$722,79,Данные!$C$2:$C$722,2,Данные!$A$2:$A$722,"&gt;="&amp;7723020000,Данные!$A$2:$A$722,"&lt;="&amp;7723020999)</f>
        <v>0</v>
      </c>
      <c r="BS136" s="66" t="n">
        <f aca="false">COUNTIFS(Данные!$B$2:$B$722,79,Данные!$C$2:$C$722,2,Данные!$A$2:$A$722,"&gt;="&amp;7723029000,Данные!$A$2:$A$722,"&lt;="&amp;7723029999)</f>
        <v>0</v>
      </c>
      <c r="BT136" s="66" t="n">
        <f aca="false">COUNTIFS(Данные!$B$2:$B$722,79,Данные!$C$2:$C$722,2,Данные!$A$2:$A$722,"&gt;="&amp;7723055000,Данные!$A$2:$A$722,"&lt;="&amp;7723056549)</f>
        <v>0</v>
      </c>
      <c r="BU136" s="65" t="n">
        <f aca="false">COUNTIFS(Данные!$B$2:$B$722,79,Данные!$C$2:$C$722,2,Данные!$A$2:$A$722,"&gt;="&amp;7725250000,Данные!$A$2:$A$722,"&lt;="&amp;7725250499)</f>
        <v>0</v>
      </c>
      <c r="BV136" s="66" t="n">
        <f aca="false">COUNTIFS(Данные!$B$2:$B$722,79,Данные!$C$2:$C$722,2,Данные!$A$2:$A$722,"&gt;="&amp;7183841400,Данные!$A$2:$A$722,"&lt;="&amp;7183841499)</f>
        <v>0</v>
      </c>
      <c r="BW136" s="49" t="n">
        <v>300</v>
      </c>
      <c r="BX136" s="67" t="n">
        <f aca="false">F136-BW136</f>
        <v>-293</v>
      </c>
    </row>
    <row r="137" s="15" customFormat="true" ht="12" hidden="false" customHeight="true" outlineLevel="0" collapsed="false">
      <c r="A137" s="38" t="n">
        <v>80</v>
      </c>
      <c r="B137" s="39" t="s">
        <v>105</v>
      </c>
      <c r="C137" s="41" t="n">
        <v>0</v>
      </c>
      <c r="D137" s="41" t="n">
        <v>800</v>
      </c>
      <c r="E137" s="42" t="n">
        <f aca="false">SUM(F137:F139)</f>
        <v>0</v>
      </c>
      <c r="F137" s="62" t="n">
        <f aca="false">COUNTIFS(Данные!$B$2:$B$722,80,Данные!$C$2:$C$722,0)</f>
        <v>0</v>
      </c>
      <c r="G137" s="62" t="n">
        <f aca="false">COUNTIFS(Данные!$B$2:$B$722,80,Данные!$C$2:$C$722,0,Данные!$A$2:$A$722,"&gt;="&amp;77232210840,Данные!$A$2:$A$722,"&lt;="&amp;77232216999)</f>
        <v>0</v>
      </c>
      <c r="H137" s="62" t="n">
        <f aca="false">COUNTIFS(Данные!$B$2:$B$722,80,Данные!$C$2:$C$722,0,Данные!$A$2:$A$722,"&gt;="&amp;77232510512,Данные!$A$2:$A$722,"&lt;="&amp;77232519487)</f>
        <v>0</v>
      </c>
      <c r="I137" s="62" t="n">
        <f aca="false">COUNTIFS(Данные!$B$2:$B$722,80,Данные!$C$2:$C$722,0,Данные!$A$2:$A$722,"&gt;="&amp;77232524160,Данные!$A$2:$A$722,"&lt;="&amp;77232529999)</f>
        <v>0</v>
      </c>
      <c r="J137" s="62" t="n">
        <f aca="false">COUNTIFS(Данные!$B$2:$B$722,80,Данные!$C$2:$C$722,0,Данные!$A$2:$A$722,"&gt;="&amp;77232544000,Данные!$A$2:$A$722,"&lt;="&amp;77232544999)</f>
        <v>0</v>
      </c>
      <c r="K137" s="62" t="n">
        <f aca="false">COUNTIFS(Данные!$B$2:$B$722,80,Данные!$C$2:$C$722,0,Данные!$A$2:$A$722,"&gt;="&amp;77232295504,Данные!$A$2:$A$722,"&lt;="&amp;77232296999)</f>
        <v>0</v>
      </c>
      <c r="L137" s="62" t="n">
        <f aca="false">COUNTIFS(Данные!$B$2:$B$722,80,Данные!$C$2:$C$722,0,Данные!$A$2:$A$722,"&gt;="&amp;77232785000,Данные!$A$2:$A$722,"&lt;="&amp;77232789999)</f>
        <v>0</v>
      </c>
      <c r="M137" s="62" t="n">
        <f aca="false">COUNTIFS(Данные!$B$2:$B$722,80,Данные!$C$2:$C$722,0,Данные!$A$2:$A$722,"&gt;="&amp;77233150000,Данные!$A$2:$A$722,"&lt;="&amp;77233155999)</f>
        <v>0</v>
      </c>
      <c r="N137" s="62" t="n">
        <f aca="false">COUNTIFS(Данные!$B$2:$B$722,80,Данные!$C$2:$C$722,0,Данные!$A$2:$A$722,"&gt;="&amp;77233235000,Данные!$A$2:$A$722,"&lt;="&amp;77233235999)</f>
        <v>0</v>
      </c>
      <c r="O137" s="62" t="n">
        <f aca="false">COUNTIFS(Данные!$B$2:$B$722,80,Данные!$C$2:$C$722,0,Данные!$A$2:$A$722,"&gt;="&amp;77233239000,Данные!$A$2:$A$722,"&lt;="&amp;77233239999)</f>
        <v>0</v>
      </c>
      <c r="P137" s="62" t="n">
        <f aca="false">COUNTIFS(Данные!$B$2:$B$722,80,Данные!$C$2:$C$722,0,Данные!$A$2:$A$722,"&gt;="&amp;77233272000,Данные!$A$2:$A$722,"&lt;="&amp;77233272999)</f>
        <v>0</v>
      </c>
      <c r="Q137" s="62" t="n">
        <f aca="false">COUNTIFS(Данные!$B$2:$B$722,80,Данные!$C$2:$C$722,0,Данные!$A$2:$A$722,"&gt;="&amp;77233291100,Данные!$A$2:$A$722,"&lt;="&amp;77233292999)</f>
        <v>0</v>
      </c>
      <c r="R137" s="62" t="n">
        <f aca="false">COUNTIFS(Данные!$B$2:$B$722,80,Данные!$C$2:$C$722,0,Данные!$A$2:$A$722,"&gt;="&amp;77233297000,Данные!$A$2:$A$722,"&lt;="&amp;77233298399)</f>
        <v>0</v>
      </c>
      <c r="S137" s="62" t="n">
        <f aca="false">COUNTIFS(Данные!$B$2:$B$722,80,Данные!$C$2:$C$722,0,Данные!$A$2:$A$722,"&gt;="&amp;77235124000,Данные!$A$2:$A$722,"&lt;="&amp;77235128499)</f>
        <v>0</v>
      </c>
      <c r="T137" s="62" t="n">
        <f aca="false">COUNTIFS(Данные!$B$2:$B$722,80,Данные!$C$2:$C$722,0,Данные!$A$2:$A$722,"&gt;="&amp;77235320000,Данные!$A$2:$A$722,"&lt;="&amp;77235320999)</f>
        <v>0</v>
      </c>
      <c r="U137" s="62" t="n">
        <f aca="false">COUNTIFS(Данные!$B$2:$B$722,80,Данные!$C$2:$C$722,0,Данные!$A$2:$A$722,"&gt;="&amp;77233620000,Данные!$A$2:$A$722,"&lt;="&amp;77233623339)</f>
        <v>0</v>
      </c>
      <c r="V137" s="62" t="n">
        <f aca="false">COUNTIFS(Данные!$B$2:$B$722,80,Данные!$C$2:$C$722,0,Данные!$A$2:$A$722,"&gt;="&amp;77233630000,Данные!$A$2:$A$722,"&lt;="&amp;77233630999)</f>
        <v>0</v>
      </c>
      <c r="W137" s="62" t="n">
        <f aca="false">COUNTIFS(Данные!$B$2:$B$722,80,Данные!$C$2:$C$722,0,Данные!$A$2:$A$722,"&gt;="&amp;77233637000,Данные!$A$2:$A$722,"&lt;="&amp;77233637599)</f>
        <v>0</v>
      </c>
      <c r="X137" s="62" t="n">
        <f aca="false">COUNTIFS(Данные!$B$2:$B$722,80,Данные!$C$2:$C$722,0,Данные!$A$2:$A$722,"&gt;="&amp;77233550000,Данные!$A$2:$A$722,"&lt;="&amp;77233550999)</f>
        <v>0</v>
      </c>
      <c r="Y137" s="62" t="n">
        <f aca="false">COUNTIFS(Данные!$B$2:$B$722,80,Данные!$C$2:$C$722,0,Данные!$A$2:$A$722,"&gt;="&amp;77233554000,Данные!$A$2:$A$722,"&lt;="&amp;77233554999)</f>
        <v>0</v>
      </c>
      <c r="Z137" s="62" t="n">
        <f aca="false">COUNTIFS(Данные!$B$2:$B$722,80,Данные!$C$2:$C$722,0,Данные!$A$2:$A$722,"&gt;="&amp;77233555000,Данные!$A$2:$A$722,"&lt;="&amp;77233556999)</f>
        <v>0</v>
      </c>
      <c r="AA137" s="62" t="n">
        <f aca="false">COUNTIFS(Данные!$B$2:$B$722,80,Данные!$C$2:$C$722,0,Данные!$A$2:$A$722,"&gt;="&amp;77233726000,Данные!$A$2:$A$722,"&lt;="&amp;77233726999)</f>
        <v>0</v>
      </c>
      <c r="AB137" s="62" t="n">
        <f aca="false">COUNTIFS(Данные!$B$2:$B$722,80,Данные!$C$2:$C$722,0,Данные!$A$2:$A$722,"&gt;="&amp;77233820000,Данные!$A$2:$A$722,"&lt;="&amp;77233820999)</f>
        <v>0</v>
      </c>
      <c r="AC137" s="62" t="n">
        <f aca="false">COUNTIFS(Данные!$B$2:$B$722,80,Данные!$C$2:$C$722,0,Данные!$A$2:$A$722,"&gt;="&amp;77233850000,Данные!$A$2:$A$722,"&lt;="&amp;77233850999)</f>
        <v>0</v>
      </c>
      <c r="AD137" s="62" t="n">
        <f aca="false">COUNTIFS(Данные!$B$2:$B$722,80,Данные!$C$2:$C$722,0,Данные!$A$2:$A$722,"&gt;="&amp;77233420000,Данные!$A$2:$A$722,"&lt;="&amp;77233420999)</f>
        <v>0</v>
      </c>
      <c r="AE137" s="62" t="n">
        <f aca="false">COUNTIFS(Данные!$B$2:$B$722,80,Данные!$C$2:$C$722,0,Данные!$A$2:$A$722,"&gt;="&amp;77234740000,Данные!$A$2:$A$722,"&lt;="&amp;77234742999)</f>
        <v>0</v>
      </c>
      <c r="AF137" s="62" t="n">
        <f aca="false">COUNTIFS(Данные!$B$2:$B$722,80,Данные!$C$2:$C$722,0,Данные!$A$2:$A$722,"&gt;="&amp;77234767000,Данные!$A$2:$A$722,"&lt;="&amp;77234767999)</f>
        <v>0</v>
      </c>
      <c r="AG137" s="62" t="n">
        <f aca="false">COUNTIFS(Данные!$B$2:$B$722,80,Данные!$C$2:$C$722,0,Данные!$A$2:$A$722,"&gt;="&amp;77234120000,Данные!$A$2:$A$722,"&lt;="&amp;77234120999)</f>
        <v>0</v>
      </c>
      <c r="AH137" s="62" t="n">
        <f aca="false">COUNTIFS(Данные!$B$2:$B$722,80,Данные!$C$2:$C$722,0,Данные!$A$2:$A$722,"&gt;="&amp;77234127000,Данные!$A$2:$A$722,"&lt;="&amp;77234127999)</f>
        <v>0</v>
      </c>
      <c r="AI137" s="62" t="n">
        <f aca="false">COUNTIFS(Данные!$B$2:$B$722,80,Данные!$C$2:$C$722,0,Данные!$A$2:$A$722,"&gt;="&amp;77234220000,Данные!$A$2:$A$722,"&lt;="&amp;77234220999)</f>
        <v>0</v>
      </c>
      <c r="AJ137" s="62" t="n">
        <f aca="false">COUNTIFS(Данные!$B$2:$B$722,80,Данные!$C$2:$C$722,0,Данные!$A$2:$A$722,"&gt;="&amp;77234250000,Данные!$A$2:$A$722,"&lt;="&amp;77234250999)</f>
        <v>0</v>
      </c>
      <c r="AK137" s="62" t="n">
        <f aca="false">COUNTIFS(Данные!$B$2:$B$722,80,Данные!$C$2:$C$722,0,Данные!$A$2:$A$722,"&gt;="&amp;77233922950,Данные!$A$2:$A$722,"&lt;="&amp;77233924999)</f>
        <v>0</v>
      </c>
      <c r="AL137" s="62" t="n">
        <f aca="false">COUNTIFS(Данные!$B$2:$B$722,80,Данные!$C$2:$C$722,0,Данные!$A$2:$A$722,"&gt;="&amp;77234320000,Данные!$A$2:$A$722,"&lt;="&amp;77234320999)</f>
        <v>0</v>
      </c>
      <c r="AM137" s="62" t="n">
        <f aca="false">COUNTIFS(Данные!$B$2:$B$722,80,Данные!$C$2:$C$722,0,Данные!$A$2:$A$722,"&gt;="&amp;77234350000,Данные!$A$2:$A$722,"&lt;="&amp;77234350999)</f>
        <v>0</v>
      </c>
      <c r="AN137" s="62" t="n">
        <f aca="false">COUNTIFS(Данные!$B$2:$B$722,80,Данные!$C$2:$C$722,0,Данные!$A$2:$A$722,"&gt;="&amp;77234020000,Данные!$A$2:$A$722,"&lt;="&amp;77234020999)</f>
        <v>0</v>
      </c>
      <c r="AO137" s="62" t="n">
        <f aca="false">COUNTIFS(Данные!$B$2:$B$722,80,Данные!$C$2:$C$722,0,Данные!$A$2:$A$722,"&gt;="&amp;77234029000,Данные!$A$2:$A$722,"&lt;="&amp;77234029999)</f>
        <v>0</v>
      </c>
      <c r="AP137" s="62" t="n">
        <f aca="false">COUNTIFS(Данные!$B$2:$B$722,80,Данные!$C$2:$C$722,0,Данные!$A$2:$A$722,"&gt;="&amp;77234050000,Данные!$A$2:$A$722,"&lt;="&amp;77234050999)</f>
        <v>0</v>
      </c>
      <c r="AQ137" s="62" t="n">
        <f aca="false">COUNTIFS(Данные!$B$2:$B$722,80,Данные!$C$2:$C$722,0,Данные!$A$2:$A$722,"&gt;="&amp;77234427000,Данные!$A$2:$A$722,"&lt;="&amp;77234428999)</f>
        <v>0</v>
      </c>
      <c r="AR137" s="62" t="n">
        <f aca="false">COUNTIFS(Данные!$B$2:$B$722,80,Данные!$C$2:$C$722,0,Данные!$A$2:$A$722,"&gt;="&amp;77234450000,Данные!$A$2:$A$722,"&lt;="&amp;77234450999)</f>
        <v>0</v>
      </c>
      <c r="AS137" s="62" t="n">
        <f aca="false">COUNTIFS(Данные!$B$2:$B$722,80,Данные!$C$2:$C$722,0,Данные!$A$2:$A$722,"&gt;="&amp;77234620000,Данные!$A$2:$A$722,"&lt;="&amp;77234620999)</f>
        <v>0</v>
      </c>
      <c r="AT137" s="62" t="n">
        <f aca="false">COUNTIFS(Данные!$B$2:$B$722,80,Данные!$C$2:$C$722,0,Данные!$A$2:$A$722,"&gt;="&amp;77234650000,Данные!$A$2:$A$722,"&lt;="&amp;77234650999)</f>
        <v>0</v>
      </c>
      <c r="AU137" s="62" t="n">
        <f aca="false">COUNTIFS(Данные!$B$2:$B$722,80,Данные!$C$2:$C$722,0,Данные!$A$2:$A$722,"&gt;="&amp;77234820000,Данные!$A$2:$A$722,"&lt;="&amp;77234820999)</f>
        <v>0</v>
      </c>
      <c r="AV137" s="62" t="n">
        <f aca="false">COUNTIFS(Данные!$B$2:$B$722,80,Данные!$C$2:$C$722,0,Данные!$A$2:$A$722,"&gt;="&amp;77234850000,Данные!$A$2:$A$722,"&lt;="&amp;77234850999)</f>
        <v>0</v>
      </c>
      <c r="AW137" s="62" t="n">
        <f aca="false">COUNTIFS(Данные!$B$2:$B$722,80,Данные!$C$2:$C$722,0,Данные!$A$2:$A$722,"&gt;="&amp;77233327000,Данные!$A$2:$A$722,"&lt;="&amp;77233327999)</f>
        <v>0</v>
      </c>
      <c r="AX137" s="62" t="n">
        <f aca="false">COUNTIFS(Данные!$B$2:$B$722,80,Данные!$C$2:$C$722,0,Данные!$A$2:$A$722,"&gt;="&amp;77233350000,Данные!$A$2:$A$722,"&lt;="&amp;77233350599)</f>
        <v>0</v>
      </c>
      <c r="AY137" s="62" t="n">
        <f aca="false">COUNTIFS(Данные!$B$2:$B$722,80,Данные!$C$2:$C$722,0,Данные!$A$2:$A$722,"&gt;="&amp;77233351000,Данные!$A$2:$A$722,"&lt;="&amp;77233351999)</f>
        <v>0</v>
      </c>
      <c r="AZ137" s="62" t="n">
        <f aca="false">COUNTIFS(Данные!$B$2:$B$722,80,Данные!$C$2:$C$722,0,Данные!$A$2:$A$722,"&gt;="&amp;7722440000,Данные!$A$2:$A$722,"&lt;="&amp;7722440999)</f>
        <v>0</v>
      </c>
      <c r="BA137" s="63" t="n">
        <f aca="false">COUNTIFS(Данные!$B$2:$B$722,80,Данные!$C$2:$C$722,0,Данные!$A$2:$A$722,"&gt;="&amp;7722442000,Данные!$A$2:$A$722,"&lt;="&amp;7722445659)</f>
        <v>0</v>
      </c>
      <c r="BB137" s="63" t="n">
        <f aca="false">COUNTIFS(Данные!$B$2:$B$722,80,Данные!$C$2:$C$722,0,Данные!$A$2:$A$722,"&gt;="&amp;7722450000,Данные!$A$2:$A$722,"&lt;="&amp;7722450199)</f>
        <v>0</v>
      </c>
      <c r="BC137" s="63" t="n">
        <f aca="false">COUNTIFS(Данные!$B$2:$B$722,80,Данные!$C$2:$C$722,0,Данные!$A$2:$A$722,"&gt;="&amp;7722451000,Данные!$A$2:$A$722,"&lt;="&amp;7722451374)</f>
        <v>0</v>
      </c>
      <c r="BD137" s="63" t="n">
        <f aca="false">COUNTIFS(Данные!$B$2:$B$722,80,Данные!$C$2:$C$722,0,Данные!$A$2:$A$722,"&gt;="&amp;7722452000,Данные!$A$2:$A$722,"&lt;="&amp;7722452299)</f>
        <v>0</v>
      </c>
      <c r="BE137" s="63" t="n">
        <f aca="false">COUNTIFS(Данные!$B$2:$B$722,80,Данные!$C$2:$C$722,0,Данные!$A$2:$A$722,"&gt;="&amp;7722453000,Данные!$A$2:$A$722,"&lt;="&amp;7722453816)</f>
        <v>0</v>
      </c>
      <c r="BF137" s="63" t="n">
        <f aca="false">COUNTIFS(Данные!$B$2:$B$722,80,Данные!$C$2:$C$722,0,Данные!$A$2:$A$722,"&gt;="&amp;7722454000,Данные!$A$2:$A$722,"&lt;="&amp;7722454099)</f>
        <v>0</v>
      </c>
      <c r="BG137" s="63" t="n">
        <f aca="false">COUNTIFS(Данные!$B$2:$B$722,80,Данные!$C$2:$C$722,0,Данные!$A$2:$A$722,"&gt;="&amp;7722458000,Данные!$A$2:$A$722,"&lt;="&amp;7722458999)</f>
        <v>0</v>
      </c>
      <c r="BH137" s="63" t="n">
        <f aca="false">COUNTIFS(Данные!$B$2:$B$722,80,Данные!$C$2:$C$722,0,Данные!$A$2:$A$722,"&gt;="&amp;7722630000,Данные!$A$2:$A$722,"&lt;="&amp;7722638549)</f>
        <v>0</v>
      </c>
      <c r="BI137" s="63" t="n">
        <f aca="false">COUNTIFS(Данные!$B$2:$B$722,80,Данные!$C$2:$C$722,0,Данные!$A$2:$A$722,"&gt;="&amp;7722639400,Данные!$A$2:$A$722,"&lt;="&amp;7722639899)</f>
        <v>0</v>
      </c>
      <c r="BJ137" s="63" t="n">
        <f aca="false">COUNTIFS(Данные!$B$2:$B$722,80,Данные!$C$2:$C$722,0,Данные!$A$2:$A$722,"&gt;="&amp;7725750000,Данные!$A$2:$A$722,"&lt;="&amp;7725750399)</f>
        <v>0</v>
      </c>
      <c r="BK137" s="63" t="n">
        <f aca="false">COUNTIFS(Данные!$B$2:$B$722,80,Данные!$C$2:$C$722,0,Данные!$A$2:$A$722,"&gt;="&amp;7723620000,Данные!$A$2:$A$722,"&lt;="&amp;7723621299)</f>
        <v>0</v>
      </c>
      <c r="BL137" s="63" t="n">
        <f aca="false">COUNTIFS(Данные!$B$2:$B$722,80,Данные!$C$2:$C$722,0,Данные!$A$2:$A$722,"&gt;="&amp;7723621600,Данные!$A$2:$A$722,"&lt;="&amp;7723623399)</f>
        <v>0</v>
      </c>
      <c r="BM137" s="63" t="n">
        <f aca="false">COUNTIFS(Данные!$B$2:$B$722,80,Данные!$C$2:$C$722,0,Данные!$A$2:$A$722,"&gt;="&amp;7725127000,Данные!$A$2:$A$722,"&lt;="&amp;7725127999)</f>
        <v>0</v>
      </c>
      <c r="BN137" s="63" t="n">
        <f aca="false">COUNTIFS(Данные!$B$2:$B$722,80,Данные!$C$2:$C$722,0,Данные!$A$2:$A$722,"&gt;="&amp;7723772000,Данные!$A$2:$A$722,"&lt;="&amp;7723724999)</f>
        <v>0</v>
      </c>
      <c r="BO137" s="62" t="n">
        <f aca="false">COUNTIFS(Данные!$B$2:$B$722,80,Данные!$C$2:$C$722,0,Данные!$A$2:$A$722,"&gt;="&amp;7723765000,Данные!$A$2:$A$722,"&lt;="&amp;7723765499)</f>
        <v>0</v>
      </c>
      <c r="BP137" s="63" t="n">
        <f aca="false">COUNTIFS(Данные!$B$2:$B$722,80,Данные!$C$2:$C$722,0,Данные!$A$2:$A$722,"&gt;="&amp;7723948000,Данные!$A$2:$A$722,"&lt;="&amp;7723948999)</f>
        <v>0</v>
      </c>
      <c r="BQ137" s="63" t="n">
        <f aca="false">COUNTIFS(Данные!$B$2:$B$722,80,Данные!$C$2:$C$722,0,Данные!$A$2:$A$722,"&gt;="&amp;7723950000,Данные!$A$2:$A$722,"&lt;="&amp;7723951099)</f>
        <v>0</v>
      </c>
      <c r="BR137" s="63" t="n">
        <f aca="false">COUNTIFS(Данные!$B$2:$B$722,80,Данные!$C$2:$C$722,0,Данные!$A$2:$A$722,"&gt;="&amp;7723020000,Данные!$A$2:$A$722,"&lt;="&amp;7723020999)</f>
        <v>0</v>
      </c>
      <c r="BS137" s="63" t="n">
        <f aca="false">COUNTIFS(Данные!$B$2:$B$722,80,Данные!$C$2:$C$722,0,Данные!$A$2:$A$722,"&gt;="&amp;7723029000,Данные!$A$2:$A$722,"&lt;="&amp;7723029999)</f>
        <v>0</v>
      </c>
      <c r="BT137" s="63" t="n">
        <f aca="false">COUNTIFS(Данные!$B$2:$B$722,80,Данные!$C$2:$C$722,0,Данные!$A$2:$A$722,"&gt;="&amp;7723055000,Данные!$A$2:$A$722,"&lt;="&amp;7723056549)</f>
        <v>0</v>
      </c>
      <c r="BU137" s="62" t="n">
        <f aca="false">COUNTIFS(Данные!$B$2:$B$722,80,Данные!$C$2:$C$722,0,Данные!$A$2:$A$722,"&gt;="&amp;7725250000,Данные!$A$2:$A$722,"&lt;="&amp;7725250499)</f>
        <v>0</v>
      </c>
      <c r="BV137" s="63" t="n">
        <f aca="false">COUNTIFS(Данные!$B$2:$B$722,80,Данные!$C$2:$C$722,0,Данные!$A$2:$A$722,"&gt;="&amp;7183841400,Данные!$A$2:$A$722,"&lt;="&amp;7183841499)</f>
        <v>0</v>
      </c>
      <c r="BW137" s="40" t="n">
        <v>300</v>
      </c>
      <c r="BX137" s="64" t="n">
        <f aca="false">F137-BW137</f>
        <v>-300</v>
      </c>
    </row>
    <row r="138" s="15" customFormat="true" ht="12" hidden="false" customHeight="true" outlineLevel="0" collapsed="false">
      <c r="A138" s="38"/>
      <c r="B138" s="39"/>
      <c r="C138" s="41" t="n">
        <v>1</v>
      </c>
      <c r="D138" s="41" t="n">
        <v>801</v>
      </c>
      <c r="E138" s="42"/>
      <c r="F138" s="62" t="n">
        <f aca="false">COUNTIFS(Данные!$B$2:$B$722,80,Данные!$C$2:$C$722,1)</f>
        <v>0</v>
      </c>
      <c r="G138" s="62" t="n">
        <f aca="false">COUNTIFS(Данные!$B$2:$B$722,80,Данные!$C$2:$C$722,1,Данные!$A$2:$A$722,"&gt;="&amp;77232210840,Данные!$A$2:$A$722,"&lt;="&amp;77232216999)</f>
        <v>0</v>
      </c>
      <c r="H138" s="62" t="n">
        <f aca="false">COUNTIFS(Данные!$B$2:$B$722,80,Данные!$C$2:$C$722,1,Данные!$A$2:$A$722,"&gt;="&amp;77232510512,Данные!$A$2:$A$722,"&lt;="&amp;77232519487)</f>
        <v>0</v>
      </c>
      <c r="I138" s="62" t="n">
        <f aca="false">COUNTIFS(Данные!$B$2:$B$722,80,Данные!$C$2:$C$722,1,Данные!$A$2:$A$722,"&gt;="&amp;77232524160,Данные!$A$2:$A$722,"&lt;="&amp;77232529999)</f>
        <v>0</v>
      </c>
      <c r="J138" s="62" t="n">
        <f aca="false">COUNTIFS(Данные!$B$2:$B$722,80,Данные!$C$2:$C$722,1,Данные!$A$2:$A$722,"&gt;="&amp;77232544000,Данные!$A$2:$A$722,"&lt;="&amp;77232544999)</f>
        <v>0</v>
      </c>
      <c r="K138" s="62" t="n">
        <f aca="false">COUNTIFS(Данные!$B$2:$B$722,80,Данные!$C$2:$C$722,1,Данные!$A$2:$A$722,"&gt;="&amp;77232295504,Данные!$A$2:$A$722,"&lt;="&amp;77232296999)</f>
        <v>0</v>
      </c>
      <c r="L138" s="62" t="n">
        <f aca="false">COUNTIFS(Данные!$B$2:$B$722,80,Данные!$C$2:$C$722,1,Данные!$A$2:$A$722,"&gt;="&amp;77232785000,Данные!$A$2:$A$722,"&lt;="&amp;77232789999)</f>
        <v>0</v>
      </c>
      <c r="M138" s="62" t="n">
        <f aca="false">COUNTIFS(Данные!$B$2:$B$722,80,Данные!$C$2:$C$722,1,Данные!$A$2:$A$722,"&gt;="&amp;77233150000,Данные!$A$2:$A$722,"&lt;="&amp;77233155999)</f>
        <v>0</v>
      </c>
      <c r="N138" s="62" t="n">
        <f aca="false">COUNTIFS(Данные!$B$2:$B$722,80,Данные!$C$2:$C$722,1,Данные!$A$2:$A$722,"&gt;="&amp;77233235000,Данные!$A$2:$A$722,"&lt;="&amp;77233235999)</f>
        <v>0</v>
      </c>
      <c r="O138" s="62" t="n">
        <f aca="false">COUNTIFS(Данные!$B$2:$B$722,80,Данные!$C$2:$C$722,1,Данные!$A$2:$A$722,"&gt;="&amp;77233239000,Данные!$A$2:$A$722,"&lt;="&amp;77233239999)</f>
        <v>0</v>
      </c>
      <c r="P138" s="62" t="n">
        <f aca="false">COUNTIFS(Данные!$B$2:$B$722,80,Данные!$C$2:$C$722,1,Данные!$A$2:$A$722,"&gt;="&amp;77233272000,Данные!$A$2:$A$722,"&lt;="&amp;77233272999)</f>
        <v>0</v>
      </c>
      <c r="Q138" s="62" t="n">
        <f aca="false">COUNTIFS(Данные!$B$2:$B$722,80,Данные!$C$2:$C$722,1,Данные!$A$2:$A$722,"&gt;="&amp;77233291100,Данные!$A$2:$A$722,"&lt;="&amp;77233292999)</f>
        <v>0</v>
      </c>
      <c r="R138" s="62" t="n">
        <f aca="false">COUNTIFS(Данные!$B$2:$B$722,80,Данные!$C$2:$C$722,1,Данные!$A$2:$A$722,"&gt;="&amp;77233297000,Данные!$A$2:$A$722,"&lt;="&amp;77233298399)</f>
        <v>0</v>
      </c>
      <c r="S138" s="62" t="n">
        <f aca="false">COUNTIFS(Данные!$B$2:$B$722,80,Данные!$C$2:$C$722,1,Данные!$A$2:$A$722,"&gt;="&amp;77235124000,Данные!$A$2:$A$722,"&lt;="&amp;77235128499)</f>
        <v>0</v>
      </c>
      <c r="T138" s="62" t="n">
        <f aca="false">COUNTIFS(Данные!$B$2:$B$722,80,Данные!$C$2:$C$722,1,Данные!$A$2:$A$722,"&gt;="&amp;77235320000,Данные!$A$2:$A$722,"&lt;="&amp;77235320999)</f>
        <v>0</v>
      </c>
      <c r="U138" s="62" t="n">
        <f aca="false">COUNTIFS(Данные!$B$2:$B$722,80,Данные!$C$2:$C$722,1,Данные!$A$2:$A$722,"&gt;="&amp;77233620000,Данные!$A$2:$A$722,"&lt;="&amp;77233623339)</f>
        <v>0</v>
      </c>
      <c r="V138" s="62" t="n">
        <f aca="false">COUNTIFS(Данные!$B$2:$B$722,80,Данные!$C$2:$C$722,1,Данные!$A$2:$A$722,"&gt;="&amp;77233630000,Данные!$A$2:$A$722,"&lt;="&amp;77233630999)</f>
        <v>0</v>
      </c>
      <c r="W138" s="62" t="n">
        <f aca="false">COUNTIFS(Данные!$B$2:$B$722,80,Данные!$C$2:$C$722,1,Данные!$A$2:$A$722,"&gt;="&amp;77233637000,Данные!$A$2:$A$722,"&lt;="&amp;77233637599)</f>
        <v>0</v>
      </c>
      <c r="X138" s="62" t="n">
        <f aca="false">COUNTIFS(Данные!$B$2:$B$722,80,Данные!$C$2:$C$722,1,Данные!$A$2:$A$722,"&gt;="&amp;77233550000,Данные!$A$2:$A$722,"&lt;="&amp;77233550999)</f>
        <v>0</v>
      </c>
      <c r="Y138" s="62" t="n">
        <f aca="false">COUNTIFS(Данные!$B$2:$B$722,80,Данные!$C$2:$C$722,1,Данные!$A$2:$A$722,"&gt;="&amp;77233554000,Данные!$A$2:$A$722,"&lt;="&amp;77233554999)</f>
        <v>0</v>
      </c>
      <c r="Z138" s="62" t="n">
        <f aca="false">COUNTIFS(Данные!$B$2:$B$722,80,Данные!$C$2:$C$722,1,Данные!$A$2:$A$722,"&gt;="&amp;77233555000,Данные!$A$2:$A$722,"&lt;="&amp;77233556999)</f>
        <v>0</v>
      </c>
      <c r="AA138" s="62" t="n">
        <f aca="false">COUNTIFS(Данные!$B$2:$B$722,80,Данные!$C$2:$C$722,1,Данные!$A$2:$A$722,"&gt;="&amp;77233726000,Данные!$A$2:$A$722,"&lt;="&amp;77233726999)</f>
        <v>0</v>
      </c>
      <c r="AB138" s="62" t="n">
        <f aca="false">COUNTIFS(Данные!$B$2:$B$722,80,Данные!$C$2:$C$722,1,Данные!$A$2:$A$722,"&gt;="&amp;77233820000,Данные!$A$2:$A$722,"&lt;="&amp;77233820999)</f>
        <v>0</v>
      </c>
      <c r="AC138" s="62" t="n">
        <f aca="false">COUNTIFS(Данные!$B$2:$B$722,80,Данные!$C$2:$C$722,1,Данные!$A$2:$A$722,"&gt;="&amp;77233850000,Данные!$A$2:$A$722,"&lt;="&amp;77233850999)</f>
        <v>0</v>
      </c>
      <c r="AD138" s="62" t="n">
        <f aca="false">COUNTIFS(Данные!$B$2:$B$722,80,Данные!$C$2:$C$722,1,Данные!$A$2:$A$722,"&gt;="&amp;77233420000,Данные!$A$2:$A$722,"&lt;="&amp;77233420999)</f>
        <v>0</v>
      </c>
      <c r="AE138" s="62" t="n">
        <f aca="false">COUNTIFS(Данные!$B$2:$B$722,80,Данные!$C$2:$C$722,1,Данные!$A$2:$A$722,"&gt;="&amp;77234740000,Данные!$A$2:$A$722,"&lt;="&amp;77234742999)</f>
        <v>0</v>
      </c>
      <c r="AF138" s="62" t="n">
        <f aca="false">COUNTIFS(Данные!$B$2:$B$722,80,Данные!$C$2:$C$722,1,Данные!$A$2:$A$722,"&gt;="&amp;77234767000,Данные!$A$2:$A$722,"&lt;="&amp;77234767999)</f>
        <v>0</v>
      </c>
      <c r="AG138" s="62" t="n">
        <f aca="false">COUNTIFS(Данные!$B$2:$B$722,80,Данные!$C$2:$C$722,1,Данные!$A$2:$A$722,"&gt;="&amp;77234120000,Данные!$A$2:$A$722,"&lt;="&amp;77234120999)</f>
        <v>0</v>
      </c>
      <c r="AH138" s="62" t="n">
        <f aca="false">COUNTIFS(Данные!$B$2:$B$722,80,Данные!$C$2:$C$722,1,Данные!$A$2:$A$722,"&gt;="&amp;77234127000,Данные!$A$2:$A$722,"&lt;="&amp;77234127999)</f>
        <v>0</v>
      </c>
      <c r="AI138" s="62" t="n">
        <f aca="false">COUNTIFS(Данные!$B$2:$B$722,80,Данные!$C$2:$C$722,1,Данные!$A$2:$A$722,"&gt;="&amp;77234220000,Данные!$A$2:$A$722,"&lt;="&amp;77234220999)</f>
        <v>0</v>
      </c>
      <c r="AJ138" s="62" t="n">
        <f aca="false">COUNTIFS(Данные!$B$2:$B$722,80,Данные!$C$2:$C$722,1,Данные!$A$2:$A$722,"&gt;="&amp;77234250000,Данные!$A$2:$A$722,"&lt;="&amp;77234250999)</f>
        <v>0</v>
      </c>
      <c r="AK138" s="62" t="n">
        <f aca="false">COUNTIFS(Данные!$B$2:$B$722,80,Данные!$C$2:$C$722,1,Данные!$A$2:$A$722,"&gt;="&amp;77233922950,Данные!$A$2:$A$722,"&lt;="&amp;77233924999)</f>
        <v>0</v>
      </c>
      <c r="AL138" s="62" t="n">
        <f aca="false">COUNTIFS(Данные!$B$2:$B$722,80,Данные!$C$2:$C$722,1,Данные!$A$2:$A$722,"&gt;="&amp;77234320000,Данные!$A$2:$A$722,"&lt;="&amp;77234320999)</f>
        <v>0</v>
      </c>
      <c r="AM138" s="62" t="n">
        <f aca="false">COUNTIFS(Данные!$B$2:$B$722,80,Данные!$C$2:$C$722,1,Данные!$A$2:$A$722,"&gt;="&amp;77234350000,Данные!$A$2:$A$722,"&lt;="&amp;77234350999)</f>
        <v>0</v>
      </c>
      <c r="AN138" s="62" t="n">
        <f aca="false">COUNTIFS(Данные!$B$2:$B$722,80,Данные!$C$2:$C$722,1,Данные!$A$2:$A$722,"&gt;="&amp;77234020000,Данные!$A$2:$A$722,"&lt;="&amp;77234020999)</f>
        <v>0</v>
      </c>
      <c r="AO138" s="62" t="n">
        <f aca="false">COUNTIFS(Данные!$B$2:$B$722,80,Данные!$C$2:$C$722,1,Данные!$A$2:$A$722,"&gt;="&amp;77234029000,Данные!$A$2:$A$722,"&lt;="&amp;77234029999)</f>
        <v>0</v>
      </c>
      <c r="AP138" s="62" t="n">
        <f aca="false">COUNTIFS(Данные!$B$2:$B$722,80,Данные!$C$2:$C$722,1,Данные!$A$2:$A$722,"&gt;="&amp;77234050000,Данные!$A$2:$A$722,"&lt;="&amp;77234050999)</f>
        <v>0</v>
      </c>
      <c r="AQ138" s="62" t="n">
        <f aca="false">COUNTIFS(Данные!$B$2:$B$722,80,Данные!$C$2:$C$722,1,Данные!$A$2:$A$722,"&gt;="&amp;77234427000,Данные!$A$2:$A$722,"&lt;="&amp;77234428999)</f>
        <v>0</v>
      </c>
      <c r="AR138" s="62" t="n">
        <f aca="false">COUNTIFS(Данные!$B$2:$B$722,80,Данные!$C$2:$C$722,1,Данные!$A$2:$A$722,"&gt;="&amp;77234450000,Данные!$A$2:$A$722,"&lt;="&amp;77234450999)</f>
        <v>0</v>
      </c>
      <c r="AS138" s="62" t="n">
        <f aca="false">COUNTIFS(Данные!$B$2:$B$722,80,Данные!$C$2:$C$722,1,Данные!$A$2:$A$722,"&gt;="&amp;77234620000,Данные!$A$2:$A$722,"&lt;="&amp;77234620999)</f>
        <v>0</v>
      </c>
      <c r="AT138" s="62" t="n">
        <f aca="false">COUNTIFS(Данные!$B$2:$B$722,80,Данные!$C$2:$C$722,1,Данные!$A$2:$A$722,"&gt;="&amp;77234650000,Данные!$A$2:$A$722,"&lt;="&amp;77234650999)</f>
        <v>0</v>
      </c>
      <c r="AU138" s="62" t="n">
        <f aca="false">COUNTIFS(Данные!$B$2:$B$722,80,Данные!$C$2:$C$722,1,Данные!$A$2:$A$722,"&gt;="&amp;77234820000,Данные!$A$2:$A$722,"&lt;="&amp;77234820999)</f>
        <v>0</v>
      </c>
      <c r="AV138" s="62" t="n">
        <f aca="false">COUNTIFS(Данные!$B$2:$B$722,80,Данные!$C$2:$C$722,1,Данные!$A$2:$A$722,"&gt;="&amp;77234850000,Данные!$A$2:$A$722,"&lt;="&amp;77234850999)</f>
        <v>0</v>
      </c>
      <c r="AW138" s="62" t="n">
        <f aca="false">COUNTIFS(Данные!$B$2:$B$722,80,Данные!$C$2:$C$722,1,Данные!$A$2:$A$722,"&gt;="&amp;77233327000,Данные!$A$2:$A$722,"&lt;="&amp;77233327999)</f>
        <v>0</v>
      </c>
      <c r="AX138" s="62" t="n">
        <f aca="false">COUNTIFS(Данные!$B$2:$B$722,80,Данные!$C$2:$C$722,1,Данные!$A$2:$A$722,"&gt;="&amp;77233350000,Данные!$A$2:$A$722,"&lt;="&amp;77233350599)</f>
        <v>0</v>
      </c>
      <c r="AY138" s="62" t="n">
        <f aca="false">COUNTIFS(Данные!$B$2:$B$722,80,Данные!$C$2:$C$722,1,Данные!$A$2:$A$722,"&gt;="&amp;77233351000,Данные!$A$2:$A$722,"&lt;="&amp;77233351999)</f>
        <v>0</v>
      </c>
      <c r="AZ138" s="63" t="n">
        <f aca="false">COUNTIFS(Данные!$B$2:$B$722,80,Данные!$C$2:$C$722,1,Данные!$A$2:$A$722,"&gt;="&amp;7722440000,Данные!$A$2:$A$722,"&lt;="&amp;7722440999)</f>
        <v>0</v>
      </c>
      <c r="BA138" s="63" t="n">
        <f aca="false">COUNTIFS(Данные!$B$2:$B$722,80,Данные!$C$2:$C$722,1,Данные!$A$2:$A$722,"&gt;="&amp;7722442000,Данные!$A$2:$A$722,"&lt;="&amp;7722445659)</f>
        <v>0</v>
      </c>
      <c r="BB138" s="63" t="n">
        <f aca="false">COUNTIFS(Данные!$B$2:$B$722,80,Данные!$C$2:$C$722,1,Данные!$A$2:$A$722,"&gt;="&amp;7722450000,Данные!$A$2:$A$722,"&lt;="&amp;7722450199)</f>
        <v>0</v>
      </c>
      <c r="BC138" s="63" t="n">
        <f aca="false">COUNTIFS(Данные!$B$2:$B$722,80,Данные!$C$2:$C$722,1,Данные!$A$2:$A$722,"&gt;="&amp;7722451000,Данные!$A$2:$A$722,"&lt;="&amp;7722451374)</f>
        <v>0</v>
      </c>
      <c r="BD138" s="63" t="n">
        <f aca="false">COUNTIFS(Данные!$B$2:$B$722,80,Данные!$C$2:$C$722,1,Данные!$A$2:$A$722,"&gt;="&amp;7722452000,Данные!$A$2:$A$722,"&lt;="&amp;7722452299)</f>
        <v>0</v>
      </c>
      <c r="BE138" s="63" t="n">
        <f aca="false">COUNTIFS(Данные!$B$2:$B$722,80,Данные!$C$2:$C$722,1,Данные!$A$2:$A$722,"&gt;="&amp;7722453000,Данные!$A$2:$A$722,"&lt;="&amp;7722453816)</f>
        <v>0</v>
      </c>
      <c r="BF138" s="63" t="n">
        <f aca="false">COUNTIFS(Данные!$B$2:$B$722,80,Данные!$C$2:$C$722,1,Данные!$A$2:$A$722,"&gt;="&amp;7722454000,Данные!$A$2:$A$722,"&lt;="&amp;7722454099)</f>
        <v>0</v>
      </c>
      <c r="BG138" s="63" t="n">
        <f aca="false">COUNTIFS(Данные!$B$2:$B$722,80,Данные!$C$2:$C$722,1,Данные!$A$2:$A$722,"&gt;="&amp;7722458000,Данные!$A$2:$A$722,"&lt;="&amp;7722458999)</f>
        <v>0</v>
      </c>
      <c r="BH138" s="63" t="n">
        <f aca="false">COUNTIFS(Данные!$B$2:$B$722,80,Данные!$C$2:$C$722,1,Данные!$A$2:$A$722,"&gt;="&amp;7722630000,Данные!$A$2:$A$722,"&lt;="&amp;7722638549)</f>
        <v>0</v>
      </c>
      <c r="BI138" s="63" t="n">
        <f aca="false">COUNTIFS(Данные!$B$2:$B$722,80,Данные!$C$2:$C$722,1,Данные!$A$2:$A$722,"&gt;="&amp;7722639400,Данные!$A$2:$A$722,"&lt;="&amp;7722639899)</f>
        <v>0</v>
      </c>
      <c r="BJ138" s="63" t="n">
        <f aca="false">COUNTIFS(Данные!$B$2:$B$722,80,Данные!$C$2:$C$722,1,Данные!$A$2:$A$722,"&gt;="&amp;7725750000,Данные!$A$2:$A$722,"&lt;="&amp;7725750399)</f>
        <v>0</v>
      </c>
      <c r="BK138" s="63" t="n">
        <f aca="false">COUNTIFS(Данные!$B$2:$B$722,80,Данные!$C$2:$C$722,1,Данные!$A$2:$A$722,"&gt;="&amp;7723620000,Данные!$A$2:$A$722,"&lt;="&amp;7723621299)</f>
        <v>0</v>
      </c>
      <c r="BL138" s="63" t="n">
        <f aca="false">COUNTIFS(Данные!$B$2:$B$722,80,Данные!$C$2:$C$722,1,Данные!$A$2:$A$722,"&gt;="&amp;7723621600,Данные!$A$2:$A$722,"&lt;="&amp;7723623399)</f>
        <v>0</v>
      </c>
      <c r="BM138" s="63" t="n">
        <f aca="false">COUNTIFS(Данные!$B$2:$B$722,80,Данные!$C$2:$C$722,1,Данные!$A$2:$A$722,"&gt;="&amp;7725127000,Данные!$A$2:$A$722,"&lt;="&amp;7725127999)</f>
        <v>0</v>
      </c>
      <c r="BN138" s="63" t="n">
        <f aca="false">COUNTIFS(Данные!$B$2:$B$722,80,Данные!$C$2:$C$722,1,Данные!$A$2:$A$722,"&gt;="&amp;7723772000,Данные!$A$2:$A$722,"&lt;="&amp;7723724999)</f>
        <v>0</v>
      </c>
      <c r="BO138" s="62" t="n">
        <f aca="false">COUNTIFS(Данные!$B$2:$B$722,80,Данные!$C$2:$C$722,1,Данные!$A$2:$A$722,"&gt;="&amp;7723765000,Данные!$A$2:$A$722,"&lt;="&amp;7723765499)</f>
        <v>0</v>
      </c>
      <c r="BP138" s="63" t="n">
        <f aca="false">COUNTIFS(Данные!$B$2:$B$722,80,Данные!$C$2:$C$722,1,Данные!$A$2:$A$722,"&gt;="&amp;7723948000,Данные!$A$2:$A$722,"&lt;="&amp;7723948999)</f>
        <v>0</v>
      </c>
      <c r="BQ138" s="63" t="n">
        <f aca="false">COUNTIFS(Данные!$B$2:$B$722,80,Данные!$C$2:$C$722,1,Данные!$A$2:$A$722,"&gt;="&amp;7723950000,Данные!$A$2:$A$722,"&lt;="&amp;7723951099)</f>
        <v>0</v>
      </c>
      <c r="BR138" s="63" t="n">
        <f aca="false">COUNTIFS(Данные!$B$2:$B$722,80,Данные!$C$2:$C$722,1,Данные!$A$2:$A$722,"&gt;="&amp;7723020000,Данные!$A$2:$A$722,"&lt;="&amp;7723020999)</f>
        <v>0</v>
      </c>
      <c r="BS138" s="63" t="n">
        <f aca="false">COUNTIFS(Данные!$B$2:$B$722,80,Данные!$C$2:$C$722,1,Данные!$A$2:$A$722,"&gt;="&amp;7723029000,Данные!$A$2:$A$722,"&lt;="&amp;7723029999)</f>
        <v>0</v>
      </c>
      <c r="BT138" s="63" t="n">
        <f aca="false">COUNTIFS(Данные!$B$2:$B$722,80,Данные!$C$2:$C$722,1,Данные!$A$2:$A$722,"&gt;="&amp;7723055000,Данные!$A$2:$A$722,"&lt;="&amp;7723056549)</f>
        <v>0</v>
      </c>
      <c r="BU138" s="62" t="n">
        <f aca="false">COUNTIFS(Данные!$B$2:$B$722,80,Данные!$C$2:$C$722,1,Данные!$A$2:$A$722,"&gt;="&amp;7725250000,Данные!$A$2:$A$722,"&lt;="&amp;7725250499)</f>
        <v>0</v>
      </c>
      <c r="BV138" s="63" t="n">
        <f aca="false">COUNTIFS(Данные!$B$2:$B$722,80,Данные!$C$2:$C$722,1,Данные!$A$2:$A$722,"&gt;="&amp;7183841400,Данные!$A$2:$A$722,"&lt;="&amp;7183841499)</f>
        <v>0</v>
      </c>
      <c r="BW138" s="40" t="n">
        <v>300</v>
      </c>
      <c r="BX138" s="64" t="n">
        <f aca="false">F138-BW138</f>
        <v>-300</v>
      </c>
    </row>
    <row r="139" s="15" customFormat="true" ht="12" hidden="false" customHeight="true" outlineLevel="0" collapsed="false">
      <c r="A139" s="38"/>
      <c r="B139" s="39"/>
      <c r="C139" s="41" t="n">
        <v>2</v>
      </c>
      <c r="D139" s="41" t="n">
        <v>802</v>
      </c>
      <c r="E139" s="42"/>
      <c r="F139" s="62" t="n">
        <f aca="false">COUNTIFS(Данные!$B$2:$B$722,80,Данные!$C$2:$C$722,2)</f>
        <v>0</v>
      </c>
      <c r="G139" s="62" t="n">
        <f aca="false">COUNTIFS(Данные!$B$2:$B$722,80,Данные!$C$2:$C$722,2,Данные!$A$2:$A$722,"&gt;="&amp;77232210840,Данные!$A$2:$A$722,"&lt;="&amp;77232216999)</f>
        <v>0</v>
      </c>
      <c r="H139" s="62" t="n">
        <f aca="false">COUNTIFS(Данные!$B$2:$B$722,80,Данные!$C$2:$C$722,2,Данные!$A$2:$A$722,"&gt;="&amp;77232510512,Данные!$A$2:$A$722,"&lt;="&amp;77232519487)</f>
        <v>0</v>
      </c>
      <c r="I139" s="62" t="n">
        <f aca="false">COUNTIFS(Данные!$B$2:$B$722,80,Данные!$C$2:$C$722,2,Данные!$A$2:$A$722,"&gt;="&amp;77232524160,Данные!$A$2:$A$722,"&lt;="&amp;77232529999)</f>
        <v>0</v>
      </c>
      <c r="J139" s="62" t="n">
        <f aca="false">COUNTIFS(Данные!$B$2:$B$722,80,Данные!$C$2:$C$722,2,Данные!$A$2:$A$722,"&gt;="&amp;77232544000,Данные!$A$2:$A$722,"&lt;="&amp;77232544999)</f>
        <v>0</v>
      </c>
      <c r="K139" s="62" t="n">
        <f aca="false">COUNTIFS(Данные!$B$2:$B$722,80,Данные!$C$2:$C$722,2,Данные!$A$2:$A$722,"&gt;="&amp;77232295504,Данные!$A$2:$A$722,"&lt;="&amp;77232296999)</f>
        <v>0</v>
      </c>
      <c r="L139" s="62" t="n">
        <f aca="false">COUNTIFS(Данные!$B$2:$B$722,80,Данные!$C$2:$C$722,2,Данные!$A$2:$A$722,"&gt;="&amp;77232785000,Данные!$A$2:$A$722,"&lt;="&amp;77232789999)</f>
        <v>0</v>
      </c>
      <c r="M139" s="62" t="n">
        <f aca="false">COUNTIFS(Данные!$B$2:$B$722,80,Данные!$C$2:$C$722,2,Данные!$A$2:$A$722,"&gt;="&amp;77233150000,Данные!$A$2:$A$722,"&lt;="&amp;77233155999)</f>
        <v>0</v>
      </c>
      <c r="N139" s="62" t="n">
        <f aca="false">COUNTIFS(Данные!$B$2:$B$722,80,Данные!$C$2:$C$722,2,Данные!$A$2:$A$722,"&gt;="&amp;77233235000,Данные!$A$2:$A$722,"&lt;="&amp;77233235999)</f>
        <v>0</v>
      </c>
      <c r="O139" s="62" t="n">
        <f aca="false">COUNTIFS(Данные!$B$2:$B$722,80,Данные!$C$2:$C$722,2,Данные!$A$2:$A$722,"&gt;="&amp;77233239000,Данные!$A$2:$A$722,"&lt;="&amp;77233239999)</f>
        <v>0</v>
      </c>
      <c r="P139" s="62" t="n">
        <f aca="false">COUNTIFS(Данные!$B$2:$B$722,80,Данные!$C$2:$C$722,2,Данные!$A$2:$A$722,"&gt;="&amp;77233272000,Данные!$A$2:$A$722,"&lt;="&amp;77233272999)</f>
        <v>0</v>
      </c>
      <c r="Q139" s="62" t="n">
        <f aca="false">COUNTIFS(Данные!$B$2:$B$722,80,Данные!$C$2:$C$722,2,Данные!$A$2:$A$722,"&gt;="&amp;77233291100,Данные!$A$2:$A$722,"&lt;="&amp;77233292999)</f>
        <v>0</v>
      </c>
      <c r="R139" s="62" t="n">
        <f aca="false">COUNTIFS(Данные!$B$2:$B$722,80,Данные!$C$2:$C$722,2,Данные!$A$2:$A$722,"&gt;="&amp;77233297000,Данные!$A$2:$A$722,"&lt;="&amp;77233298399)</f>
        <v>0</v>
      </c>
      <c r="S139" s="62" t="n">
        <f aca="false">COUNTIFS(Данные!$B$2:$B$722,80,Данные!$C$2:$C$722,2,Данные!$A$2:$A$722,"&gt;="&amp;77235124000,Данные!$A$2:$A$722,"&lt;="&amp;77235128499)</f>
        <v>0</v>
      </c>
      <c r="T139" s="62" t="n">
        <f aca="false">COUNTIFS(Данные!$B$2:$B$722,80,Данные!$C$2:$C$722,2,Данные!$A$2:$A$722,"&gt;="&amp;77235320000,Данные!$A$2:$A$722,"&lt;="&amp;77235320999)</f>
        <v>0</v>
      </c>
      <c r="U139" s="62" t="n">
        <f aca="false">COUNTIFS(Данные!$B$2:$B$722,80,Данные!$C$2:$C$722,2,Данные!$A$2:$A$722,"&gt;="&amp;77233620000,Данные!$A$2:$A$722,"&lt;="&amp;77233623339)</f>
        <v>0</v>
      </c>
      <c r="V139" s="62" t="n">
        <f aca="false">COUNTIFS(Данные!$B$2:$B$722,80,Данные!$C$2:$C$722,2,Данные!$A$2:$A$722,"&gt;="&amp;77233630000,Данные!$A$2:$A$722,"&lt;="&amp;77233630999)</f>
        <v>0</v>
      </c>
      <c r="W139" s="62" t="n">
        <f aca="false">COUNTIFS(Данные!$B$2:$B$722,80,Данные!$C$2:$C$722,2,Данные!$A$2:$A$722,"&gt;="&amp;77233637000,Данные!$A$2:$A$722,"&lt;="&amp;77233637599)</f>
        <v>0</v>
      </c>
      <c r="X139" s="62" t="n">
        <f aca="false">COUNTIFS(Данные!$B$2:$B$722,80,Данные!$C$2:$C$722,2,Данные!$A$2:$A$722,"&gt;="&amp;77233550000,Данные!$A$2:$A$722,"&lt;="&amp;77233550999)</f>
        <v>0</v>
      </c>
      <c r="Y139" s="62" t="n">
        <f aca="false">COUNTIFS(Данные!$B$2:$B$722,80,Данные!$C$2:$C$722,2,Данные!$A$2:$A$722,"&gt;="&amp;77233554000,Данные!$A$2:$A$722,"&lt;="&amp;77233554999)</f>
        <v>0</v>
      </c>
      <c r="Z139" s="62" t="n">
        <f aca="false">COUNTIFS(Данные!$B$2:$B$722,80,Данные!$C$2:$C$722,2,Данные!$A$2:$A$722,"&gt;="&amp;77233555000,Данные!$A$2:$A$722,"&lt;="&amp;77233556999)</f>
        <v>0</v>
      </c>
      <c r="AA139" s="62" t="n">
        <f aca="false">COUNTIFS(Данные!$B$2:$B$722,80,Данные!$C$2:$C$722,2,Данные!$A$2:$A$722,"&gt;="&amp;77233726000,Данные!$A$2:$A$722,"&lt;="&amp;77233726999)</f>
        <v>0</v>
      </c>
      <c r="AB139" s="62" t="n">
        <f aca="false">COUNTIFS(Данные!$B$2:$B$722,80,Данные!$C$2:$C$722,2,Данные!$A$2:$A$722,"&gt;="&amp;77233820000,Данные!$A$2:$A$722,"&lt;="&amp;77233820999)</f>
        <v>0</v>
      </c>
      <c r="AC139" s="62" t="n">
        <f aca="false">COUNTIFS(Данные!$B$2:$B$722,80,Данные!$C$2:$C$722,2,Данные!$A$2:$A$722,"&gt;="&amp;77233850000,Данные!$A$2:$A$722,"&lt;="&amp;77233850999)</f>
        <v>0</v>
      </c>
      <c r="AD139" s="62" t="n">
        <f aca="false">COUNTIFS(Данные!$B$2:$B$722,80,Данные!$C$2:$C$722,2,Данные!$A$2:$A$722,"&gt;="&amp;77233420000,Данные!$A$2:$A$722,"&lt;="&amp;77233420999)</f>
        <v>0</v>
      </c>
      <c r="AE139" s="62" t="n">
        <f aca="false">COUNTIFS(Данные!$B$2:$B$722,80,Данные!$C$2:$C$722,2,Данные!$A$2:$A$722,"&gt;="&amp;77234740000,Данные!$A$2:$A$722,"&lt;="&amp;77234742999)</f>
        <v>0</v>
      </c>
      <c r="AF139" s="62" t="n">
        <f aca="false">COUNTIFS(Данные!$B$2:$B$722,80,Данные!$C$2:$C$722,2,Данные!$A$2:$A$722,"&gt;="&amp;77234767000,Данные!$A$2:$A$722,"&lt;="&amp;77234767999)</f>
        <v>0</v>
      </c>
      <c r="AG139" s="62" t="n">
        <f aca="false">COUNTIFS(Данные!$B$2:$B$722,80,Данные!$C$2:$C$722,2,Данные!$A$2:$A$722,"&gt;="&amp;77234120000,Данные!$A$2:$A$722,"&lt;="&amp;77234120999)</f>
        <v>0</v>
      </c>
      <c r="AH139" s="62" t="n">
        <f aca="false">COUNTIFS(Данные!$B$2:$B$722,80,Данные!$C$2:$C$722,2,Данные!$A$2:$A$722,"&gt;="&amp;77234127000,Данные!$A$2:$A$722,"&lt;="&amp;77234127999)</f>
        <v>0</v>
      </c>
      <c r="AI139" s="62" t="n">
        <f aca="false">COUNTIFS(Данные!$B$2:$B$722,80,Данные!$C$2:$C$722,2,Данные!$A$2:$A$722,"&gt;="&amp;77234220000,Данные!$A$2:$A$722,"&lt;="&amp;77234220999)</f>
        <v>0</v>
      </c>
      <c r="AJ139" s="62" t="n">
        <f aca="false">COUNTIFS(Данные!$B$2:$B$722,80,Данные!$C$2:$C$722,2,Данные!$A$2:$A$722,"&gt;="&amp;77234250000,Данные!$A$2:$A$722,"&lt;="&amp;77234250999)</f>
        <v>0</v>
      </c>
      <c r="AK139" s="62" t="n">
        <f aca="false">COUNTIFS(Данные!$B$2:$B$722,80,Данные!$C$2:$C$722,2,Данные!$A$2:$A$722,"&gt;="&amp;77233922950,Данные!$A$2:$A$722,"&lt;="&amp;77233924999)</f>
        <v>0</v>
      </c>
      <c r="AL139" s="62" t="n">
        <f aca="false">COUNTIFS(Данные!$B$2:$B$722,80,Данные!$C$2:$C$722,2,Данные!$A$2:$A$722,"&gt;="&amp;77234320000,Данные!$A$2:$A$722,"&lt;="&amp;77234320999)</f>
        <v>0</v>
      </c>
      <c r="AM139" s="62" t="n">
        <f aca="false">COUNTIFS(Данные!$B$2:$B$722,80,Данные!$C$2:$C$722,2,Данные!$A$2:$A$722,"&gt;="&amp;77234350000,Данные!$A$2:$A$722,"&lt;="&amp;77234350999)</f>
        <v>0</v>
      </c>
      <c r="AN139" s="62" t="n">
        <f aca="false">COUNTIFS(Данные!$B$2:$B$722,80,Данные!$C$2:$C$722,2,Данные!$A$2:$A$722,"&gt;="&amp;77234020000,Данные!$A$2:$A$722,"&lt;="&amp;77234020999)</f>
        <v>0</v>
      </c>
      <c r="AO139" s="62" t="n">
        <f aca="false">COUNTIFS(Данные!$B$2:$B$722,80,Данные!$C$2:$C$722,2,Данные!$A$2:$A$722,"&gt;="&amp;77234029000,Данные!$A$2:$A$722,"&lt;="&amp;77234029999)</f>
        <v>0</v>
      </c>
      <c r="AP139" s="62" t="n">
        <f aca="false">COUNTIFS(Данные!$B$2:$B$722,80,Данные!$C$2:$C$722,2,Данные!$A$2:$A$722,"&gt;="&amp;77234050000,Данные!$A$2:$A$722,"&lt;="&amp;77234050999)</f>
        <v>0</v>
      </c>
      <c r="AQ139" s="62" t="n">
        <f aca="false">COUNTIFS(Данные!$B$2:$B$722,80,Данные!$C$2:$C$722,2,Данные!$A$2:$A$722,"&gt;="&amp;77234427000,Данные!$A$2:$A$722,"&lt;="&amp;77234428999)</f>
        <v>0</v>
      </c>
      <c r="AR139" s="62" t="n">
        <f aca="false">COUNTIFS(Данные!$B$2:$B$722,80,Данные!$C$2:$C$722,2,Данные!$A$2:$A$722,"&gt;="&amp;77234450000,Данные!$A$2:$A$722,"&lt;="&amp;77234450999)</f>
        <v>0</v>
      </c>
      <c r="AS139" s="62" t="n">
        <f aca="false">COUNTIFS(Данные!$B$2:$B$722,80,Данные!$C$2:$C$722,2,Данные!$A$2:$A$722,"&gt;="&amp;77234620000,Данные!$A$2:$A$722,"&lt;="&amp;77234620999)</f>
        <v>0</v>
      </c>
      <c r="AT139" s="62" t="n">
        <f aca="false">COUNTIFS(Данные!$B$2:$B$722,80,Данные!$C$2:$C$722,2,Данные!$A$2:$A$722,"&gt;="&amp;77234650000,Данные!$A$2:$A$722,"&lt;="&amp;77234650999)</f>
        <v>0</v>
      </c>
      <c r="AU139" s="62" t="n">
        <f aca="false">COUNTIFS(Данные!$B$2:$B$722,80,Данные!$C$2:$C$722,2,Данные!$A$2:$A$722,"&gt;="&amp;77234820000,Данные!$A$2:$A$722,"&lt;="&amp;77234820999)</f>
        <v>0</v>
      </c>
      <c r="AV139" s="62" t="n">
        <f aca="false">COUNTIFS(Данные!$B$2:$B$722,80,Данные!$C$2:$C$722,2,Данные!$A$2:$A$722,"&gt;="&amp;77234850000,Данные!$A$2:$A$722,"&lt;="&amp;77234850999)</f>
        <v>0</v>
      </c>
      <c r="AW139" s="62" t="n">
        <f aca="false">COUNTIFS(Данные!$B$2:$B$722,80,Данные!$C$2:$C$722,2,Данные!$A$2:$A$722,"&gt;="&amp;77233327000,Данные!$A$2:$A$722,"&lt;="&amp;77233327999)</f>
        <v>0</v>
      </c>
      <c r="AX139" s="62" t="n">
        <f aca="false">COUNTIFS(Данные!$B$2:$B$722,80,Данные!$C$2:$C$722,2,Данные!$A$2:$A$722,"&gt;="&amp;77233350000,Данные!$A$2:$A$722,"&lt;="&amp;77233350599)</f>
        <v>0</v>
      </c>
      <c r="AY139" s="62" t="n">
        <f aca="false">COUNTIFS(Данные!$B$2:$B$722,80,Данные!$C$2:$C$722,2,Данные!$A$2:$A$722,"&gt;="&amp;77233351000,Данные!$A$2:$A$722,"&lt;="&amp;77233351999)</f>
        <v>0</v>
      </c>
      <c r="AZ139" s="63" t="n">
        <f aca="false">COUNTIFS(Данные!$B$2:$B$722,80,Данные!$C$2:$C$722,2,Данные!$A$2:$A$722,"&gt;="&amp;7722440000,Данные!$A$2:$A$722,"&lt;="&amp;7722440999)</f>
        <v>0</v>
      </c>
      <c r="BA139" s="63" t="n">
        <f aca="false">COUNTIFS(Данные!$B$2:$B$722,80,Данные!$C$2:$C$722,2,Данные!$A$2:$A$722,"&gt;="&amp;7722442000,Данные!$A$2:$A$722,"&lt;="&amp;7722445659)</f>
        <v>0</v>
      </c>
      <c r="BB139" s="63" t="n">
        <f aca="false">COUNTIFS(Данные!$B$2:$B$722,80,Данные!$C$2:$C$722,2,Данные!$A$2:$A$722,"&gt;="&amp;7722450000,Данные!$A$2:$A$722,"&lt;="&amp;7722450199)</f>
        <v>0</v>
      </c>
      <c r="BC139" s="63" t="n">
        <f aca="false">COUNTIFS(Данные!$B$2:$B$722,80,Данные!$C$2:$C$722,2,Данные!$A$2:$A$722,"&gt;="&amp;7722451000,Данные!$A$2:$A$722,"&lt;="&amp;7722451374)</f>
        <v>0</v>
      </c>
      <c r="BD139" s="63" t="n">
        <f aca="false">COUNTIFS(Данные!$B$2:$B$722,80,Данные!$C$2:$C$722,2,Данные!$A$2:$A$722,"&gt;="&amp;7722452000,Данные!$A$2:$A$722,"&lt;="&amp;7722452299)</f>
        <v>0</v>
      </c>
      <c r="BE139" s="63" t="n">
        <f aca="false">COUNTIFS(Данные!$B$2:$B$722,80,Данные!$C$2:$C$722,2,Данные!$A$2:$A$722,"&gt;="&amp;7722453000,Данные!$A$2:$A$722,"&lt;="&amp;7722453816)</f>
        <v>0</v>
      </c>
      <c r="BF139" s="63" t="n">
        <f aca="false">COUNTIFS(Данные!$B$2:$B$722,80,Данные!$C$2:$C$722,2,Данные!$A$2:$A$722,"&gt;="&amp;7722454000,Данные!$A$2:$A$722,"&lt;="&amp;7722454099)</f>
        <v>0</v>
      </c>
      <c r="BG139" s="63" t="n">
        <f aca="false">COUNTIFS(Данные!$B$2:$B$722,80,Данные!$C$2:$C$722,2,Данные!$A$2:$A$722,"&gt;="&amp;7722458000,Данные!$A$2:$A$722,"&lt;="&amp;7722458999)</f>
        <v>0</v>
      </c>
      <c r="BH139" s="63" t="n">
        <f aca="false">COUNTIFS(Данные!$B$2:$B$722,80,Данные!$C$2:$C$722,2,Данные!$A$2:$A$722,"&gt;="&amp;7722630000,Данные!$A$2:$A$722,"&lt;="&amp;7722638549)</f>
        <v>0</v>
      </c>
      <c r="BI139" s="63" t="n">
        <f aca="false">COUNTIFS(Данные!$B$2:$B$722,80,Данные!$C$2:$C$722,2,Данные!$A$2:$A$722,"&gt;="&amp;7722639400,Данные!$A$2:$A$722,"&lt;="&amp;7722639899)</f>
        <v>0</v>
      </c>
      <c r="BJ139" s="63" t="n">
        <f aca="false">COUNTIFS(Данные!$B$2:$B$722,80,Данные!$C$2:$C$722,2,Данные!$A$2:$A$722,"&gt;="&amp;7725750000,Данные!$A$2:$A$722,"&lt;="&amp;7725750399)</f>
        <v>0</v>
      </c>
      <c r="BK139" s="63" t="n">
        <f aca="false">COUNTIFS(Данные!$B$2:$B$722,80,Данные!$C$2:$C$722,2,Данные!$A$2:$A$722,"&gt;="&amp;7723620000,Данные!$A$2:$A$722,"&lt;="&amp;7723621299)</f>
        <v>0</v>
      </c>
      <c r="BL139" s="63" t="n">
        <f aca="false">COUNTIFS(Данные!$B$2:$B$722,80,Данные!$C$2:$C$722,2,Данные!$A$2:$A$722,"&gt;="&amp;7723621600,Данные!$A$2:$A$722,"&lt;="&amp;7723623399)</f>
        <v>0</v>
      </c>
      <c r="BM139" s="63" t="n">
        <f aca="false">COUNTIFS(Данные!$B$2:$B$722,80,Данные!$C$2:$C$722,2,Данные!$A$2:$A$722,"&gt;="&amp;7725127000,Данные!$A$2:$A$722,"&lt;="&amp;7725127999)</f>
        <v>0</v>
      </c>
      <c r="BN139" s="63" t="n">
        <f aca="false">COUNTIFS(Данные!$B$2:$B$722,80,Данные!$C$2:$C$722,2,Данные!$A$2:$A$722,"&gt;="&amp;7723772000,Данные!$A$2:$A$722,"&lt;="&amp;7723724999)</f>
        <v>0</v>
      </c>
      <c r="BO139" s="62" t="n">
        <f aca="false">COUNTIFS(Данные!$B$2:$B$722,80,Данные!$C$2:$C$722,2,Данные!$A$2:$A$722,"&gt;="&amp;7723765000,Данные!$A$2:$A$722,"&lt;="&amp;7723765499)</f>
        <v>0</v>
      </c>
      <c r="BP139" s="63" t="n">
        <f aca="false">COUNTIFS(Данные!$B$2:$B$722,80,Данные!$C$2:$C$722,2,Данные!$A$2:$A$722,"&gt;="&amp;7723948000,Данные!$A$2:$A$722,"&lt;="&amp;7723948999)</f>
        <v>0</v>
      </c>
      <c r="BQ139" s="63" t="n">
        <f aca="false">COUNTIFS(Данные!$B$2:$B$722,80,Данные!$C$2:$C$722,2,Данные!$A$2:$A$722,"&gt;="&amp;7723950000,Данные!$A$2:$A$722,"&lt;="&amp;7723951099)</f>
        <v>0</v>
      </c>
      <c r="BR139" s="63" t="n">
        <f aca="false">COUNTIFS(Данные!$B$2:$B$722,80,Данные!$C$2:$C$722,2,Данные!$A$2:$A$722,"&gt;="&amp;7723020000,Данные!$A$2:$A$722,"&lt;="&amp;7723020999)</f>
        <v>0</v>
      </c>
      <c r="BS139" s="63" t="n">
        <f aca="false">COUNTIFS(Данные!$B$2:$B$722,80,Данные!$C$2:$C$722,2,Данные!$A$2:$A$722,"&gt;="&amp;7723029000,Данные!$A$2:$A$722,"&lt;="&amp;7723029999)</f>
        <v>0</v>
      </c>
      <c r="BT139" s="63" t="n">
        <f aca="false">COUNTIFS(Данные!$B$2:$B$722,80,Данные!$C$2:$C$722,2,Данные!$A$2:$A$722,"&gt;="&amp;7723055000,Данные!$A$2:$A$722,"&lt;="&amp;7723056549)</f>
        <v>0</v>
      </c>
      <c r="BU139" s="62" t="n">
        <f aca="false">COUNTIFS(Данные!$B$2:$B$722,80,Данные!$C$2:$C$722,2,Данные!$A$2:$A$722,"&gt;="&amp;7725250000,Данные!$A$2:$A$722,"&lt;="&amp;7725250499)</f>
        <v>0</v>
      </c>
      <c r="BV139" s="63" t="n">
        <f aca="false">COUNTIFS(Данные!$B$2:$B$722,80,Данные!$C$2:$C$722,2,Данные!$A$2:$A$722,"&gt;="&amp;7183841400,Данные!$A$2:$A$722,"&lt;="&amp;7183841499)</f>
        <v>0</v>
      </c>
      <c r="BW139" s="40" t="n">
        <v>300</v>
      </c>
      <c r="BX139" s="64" t="n">
        <f aca="false">F139-BW139</f>
        <v>-300</v>
      </c>
    </row>
    <row r="140" s="15" customFormat="true" ht="12" hidden="false" customHeight="true" outlineLevel="0" collapsed="false">
      <c r="A140" s="47" t="n">
        <v>81</v>
      </c>
      <c r="B140" s="48" t="s">
        <v>106</v>
      </c>
      <c r="C140" s="50" t="n">
        <v>0</v>
      </c>
      <c r="D140" s="50" t="n">
        <v>810</v>
      </c>
      <c r="E140" s="51" t="n">
        <f aca="false">SUM(F140:F142)</f>
        <v>3</v>
      </c>
      <c r="F140" s="65" t="n">
        <f aca="false">COUNTIFS(Данные!$B$2:$B$722,81,Данные!$C$2:$C$722,0)</f>
        <v>0</v>
      </c>
      <c r="G140" s="65" t="n">
        <f aca="false">COUNTIFS(Данные!$B$2:$B$722,81,Данные!$C$2:$C$722,0,Данные!$A$2:$A$722,"&gt;="&amp;77232210840,Данные!$A$2:$A$722,"&lt;="&amp;77232216999)</f>
        <v>0</v>
      </c>
      <c r="H140" s="65" t="n">
        <f aca="false">COUNTIFS(Данные!$B$2:$B$722,81,Данные!$C$2:$C$722,0,Данные!$A$2:$A$722,"&gt;="&amp;77232510512,Данные!$A$2:$A$722,"&lt;="&amp;77232519487)</f>
        <v>0</v>
      </c>
      <c r="I140" s="65" t="n">
        <f aca="false">COUNTIFS(Данные!$B$2:$B$722,81,Данные!$C$2:$C$722,0,Данные!$A$2:$A$722,"&gt;="&amp;77232524160,Данные!$A$2:$A$722,"&lt;="&amp;77232529999)</f>
        <v>0</v>
      </c>
      <c r="J140" s="65" t="n">
        <f aca="false">COUNTIFS(Данные!$B$2:$B$722,81,Данные!$C$2:$C$722,0,Данные!$A$2:$A$722,"&gt;="&amp;77232544000,Данные!$A$2:$A$722,"&lt;="&amp;77232544999)</f>
        <v>0</v>
      </c>
      <c r="K140" s="65" t="n">
        <f aca="false">COUNTIFS(Данные!$B$2:$B$722,81,Данные!$C$2:$C$722,0,Данные!$A$2:$A$722,"&gt;="&amp;77232295504,Данные!$A$2:$A$722,"&lt;="&amp;77232296999)</f>
        <v>0</v>
      </c>
      <c r="L140" s="65" t="n">
        <f aca="false">COUNTIFS(Данные!$B$2:$B$722,81,Данные!$C$2:$C$722,0,Данные!$A$2:$A$722,"&gt;="&amp;77232785000,Данные!$A$2:$A$722,"&lt;="&amp;77232789999)</f>
        <v>0</v>
      </c>
      <c r="M140" s="65" t="n">
        <f aca="false">COUNTIFS(Данные!$B$2:$B$722,81,Данные!$C$2:$C$722,0,Данные!$A$2:$A$722,"&gt;="&amp;77233150000,Данные!$A$2:$A$722,"&lt;="&amp;77233155999)</f>
        <v>0</v>
      </c>
      <c r="N140" s="65" t="n">
        <f aca="false">COUNTIFS(Данные!$B$2:$B$722,81,Данные!$C$2:$C$722,0,Данные!$A$2:$A$722,"&gt;="&amp;77233235000,Данные!$A$2:$A$722,"&lt;="&amp;77233235999)</f>
        <v>0</v>
      </c>
      <c r="O140" s="65" t="n">
        <f aca="false">COUNTIFS(Данные!$B$2:$B$722,81,Данные!$C$2:$C$722,0,Данные!$A$2:$A$722,"&gt;="&amp;77233239000,Данные!$A$2:$A$722,"&lt;="&amp;77233239999)</f>
        <v>0</v>
      </c>
      <c r="P140" s="65" t="n">
        <f aca="false">COUNTIFS(Данные!$B$2:$B$722,81,Данные!$C$2:$C$722,0,Данные!$A$2:$A$722,"&gt;="&amp;77233272000,Данные!$A$2:$A$722,"&lt;="&amp;77233272999)</f>
        <v>0</v>
      </c>
      <c r="Q140" s="65" t="n">
        <f aca="false">COUNTIFS(Данные!$B$2:$B$722,81,Данные!$C$2:$C$722,0,Данные!$A$2:$A$722,"&gt;="&amp;77233291100,Данные!$A$2:$A$722,"&lt;="&amp;77233292999)</f>
        <v>0</v>
      </c>
      <c r="R140" s="65" t="n">
        <f aca="false">COUNTIFS(Данные!$B$2:$B$722,81,Данные!$C$2:$C$722,0,Данные!$A$2:$A$722,"&gt;="&amp;77233297000,Данные!$A$2:$A$722,"&lt;="&amp;77233298399)</f>
        <v>0</v>
      </c>
      <c r="S140" s="65" t="n">
        <f aca="false">COUNTIFS(Данные!$B$2:$B$722,81,Данные!$C$2:$C$722,0,Данные!$A$2:$A$722,"&gt;="&amp;77235124000,Данные!$A$2:$A$722,"&lt;="&amp;77235128499)</f>
        <v>0</v>
      </c>
      <c r="T140" s="65" t="n">
        <f aca="false">COUNTIFS(Данные!$B$2:$B$722,81,Данные!$C$2:$C$722,0,Данные!$A$2:$A$722,"&gt;="&amp;77235320000,Данные!$A$2:$A$722,"&lt;="&amp;77235320999)</f>
        <v>0</v>
      </c>
      <c r="U140" s="65" t="n">
        <f aca="false">COUNTIFS(Данные!$B$2:$B$722,81,Данные!$C$2:$C$722,0,Данные!$A$2:$A$722,"&gt;="&amp;77233620000,Данные!$A$2:$A$722,"&lt;="&amp;77233623339)</f>
        <v>0</v>
      </c>
      <c r="V140" s="65" t="n">
        <f aca="false">COUNTIFS(Данные!$B$2:$B$722,81,Данные!$C$2:$C$722,0,Данные!$A$2:$A$722,"&gt;="&amp;77233630000,Данные!$A$2:$A$722,"&lt;="&amp;77233630999)</f>
        <v>0</v>
      </c>
      <c r="W140" s="65" t="n">
        <f aca="false">COUNTIFS(Данные!$B$2:$B$722,81,Данные!$C$2:$C$722,0,Данные!$A$2:$A$722,"&gt;="&amp;77233637000,Данные!$A$2:$A$722,"&lt;="&amp;77233637599)</f>
        <v>0</v>
      </c>
      <c r="X140" s="65" t="n">
        <f aca="false">COUNTIFS(Данные!$B$2:$B$722,81,Данные!$C$2:$C$722,0,Данные!$A$2:$A$722,"&gt;="&amp;77233550000,Данные!$A$2:$A$722,"&lt;="&amp;77233550999)</f>
        <v>0</v>
      </c>
      <c r="Y140" s="65" t="n">
        <f aca="false">COUNTIFS(Данные!$B$2:$B$722,81,Данные!$C$2:$C$722,0,Данные!$A$2:$A$722,"&gt;="&amp;77233554000,Данные!$A$2:$A$722,"&lt;="&amp;77233554999)</f>
        <v>0</v>
      </c>
      <c r="Z140" s="65" t="n">
        <f aca="false">COUNTIFS(Данные!$B$2:$B$722,81,Данные!$C$2:$C$722,0,Данные!$A$2:$A$722,"&gt;="&amp;77233555000,Данные!$A$2:$A$722,"&lt;="&amp;77233556999)</f>
        <v>0</v>
      </c>
      <c r="AA140" s="65" t="n">
        <f aca="false">COUNTIFS(Данные!$B$2:$B$722,81,Данные!$C$2:$C$722,0,Данные!$A$2:$A$722,"&gt;="&amp;77233726000,Данные!$A$2:$A$722,"&lt;="&amp;77233726999)</f>
        <v>0</v>
      </c>
      <c r="AB140" s="65" t="n">
        <f aca="false">COUNTIFS(Данные!$B$2:$B$722,81,Данные!$C$2:$C$722,0,Данные!$A$2:$A$722,"&gt;="&amp;77233820000,Данные!$A$2:$A$722,"&lt;="&amp;77233820999)</f>
        <v>0</v>
      </c>
      <c r="AC140" s="65" t="n">
        <f aca="false">COUNTIFS(Данные!$B$2:$B$722,81,Данные!$C$2:$C$722,0,Данные!$A$2:$A$722,"&gt;="&amp;77233850000,Данные!$A$2:$A$722,"&lt;="&amp;77233850999)</f>
        <v>0</v>
      </c>
      <c r="AD140" s="65" t="n">
        <f aca="false">COUNTIFS(Данные!$B$2:$B$722,81,Данные!$C$2:$C$722,0,Данные!$A$2:$A$722,"&gt;="&amp;77233420000,Данные!$A$2:$A$722,"&lt;="&amp;77233420999)</f>
        <v>0</v>
      </c>
      <c r="AE140" s="65" t="n">
        <f aca="false">COUNTIFS(Данные!$B$2:$B$722,81,Данные!$C$2:$C$722,0,Данные!$A$2:$A$722,"&gt;="&amp;77234740000,Данные!$A$2:$A$722,"&lt;="&amp;77234742999)</f>
        <v>0</v>
      </c>
      <c r="AF140" s="65" t="n">
        <f aca="false">COUNTIFS(Данные!$B$2:$B$722,81,Данные!$C$2:$C$722,0,Данные!$A$2:$A$722,"&gt;="&amp;77234767000,Данные!$A$2:$A$722,"&lt;="&amp;77234767999)</f>
        <v>0</v>
      </c>
      <c r="AG140" s="65" t="n">
        <f aca="false">COUNTIFS(Данные!$B$2:$B$722,81,Данные!$C$2:$C$722,0,Данные!$A$2:$A$722,"&gt;="&amp;77234120000,Данные!$A$2:$A$722,"&lt;="&amp;77234120999)</f>
        <v>0</v>
      </c>
      <c r="AH140" s="65" t="n">
        <f aca="false">COUNTIFS(Данные!$B$2:$B$722,81,Данные!$C$2:$C$722,0,Данные!$A$2:$A$722,"&gt;="&amp;77234127000,Данные!$A$2:$A$722,"&lt;="&amp;77234127999)</f>
        <v>0</v>
      </c>
      <c r="AI140" s="65" t="n">
        <f aca="false">COUNTIFS(Данные!$B$2:$B$722,81,Данные!$C$2:$C$722,0,Данные!$A$2:$A$722,"&gt;="&amp;77234220000,Данные!$A$2:$A$722,"&lt;="&amp;77234220999)</f>
        <v>0</v>
      </c>
      <c r="AJ140" s="65" t="n">
        <f aca="false">COUNTIFS(Данные!$B$2:$B$722,81,Данные!$C$2:$C$722,0,Данные!$A$2:$A$722,"&gt;="&amp;77234250000,Данные!$A$2:$A$722,"&lt;="&amp;77234250999)</f>
        <v>0</v>
      </c>
      <c r="AK140" s="65" t="n">
        <f aca="false">COUNTIFS(Данные!$B$2:$B$722,81,Данные!$C$2:$C$722,0,Данные!$A$2:$A$722,"&gt;="&amp;77233922950,Данные!$A$2:$A$722,"&lt;="&amp;77233924999)</f>
        <v>0</v>
      </c>
      <c r="AL140" s="65" t="n">
        <f aca="false">COUNTIFS(Данные!$B$2:$B$722,81,Данные!$C$2:$C$722,0,Данные!$A$2:$A$722,"&gt;="&amp;77234320000,Данные!$A$2:$A$722,"&lt;="&amp;77234320999)</f>
        <v>0</v>
      </c>
      <c r="AM140" s="65" t="n">
        <f aca="false">COUNTIFS(Данные!$B$2:$B$722,81,Данные!$C$2:$C$722,0,Данные!$A$2:$A$722,"&gt;="&amp;77234350000,Данные!$A$2:$A$722,"&lt;="&amp;77234350999)</f>
        <v>0</v>
      </c>
      <c r="AN140" s="65" t="n">
        <f aca="false">COUNTIFS(Данные!$B$2:$B$722,81,Данные!$C$2:$C$722,0,Данные!$A$2:$A$722,"&gt;="&amp;77234020000,Данные!$A$2:$A$722,"&lt;="&amp;77234020999)</f>
        <v>0</v>
      </c>
      <c r="AO140" s="65" t="n">
        <f aca="false">COUNTIFS(Данные!$B$2:$B$722,81,Данные!$C$2:$C$722,0,Данные!$A$2:$A$722,"&gt;="&amp;77234029000,Данные!$A$2:$A$722,"&lt;="&amp;77234029999)</f>
        <v>0</v>
      </c>
      <c r="AP140" s="65" t="n">
        <f aca="false">COUNTIFS(Данные!$B$2:$B$722,81,Данные!$C$2:$C$722,0,Данные!$A$2:$A$722,"&gt;="&amp;77234050000,Данные!$A$2:$A$722,"&lt;="&amp;77234050999)</f>
        <v>0</v>
      </c>
      <c r="AQ140" s="65" t="n">
        <f aca="false">COUNTIFS(Данные!$B$2:$B$722,81,Данные!$C$2:$C$722,0,Данные!$A$2:$A$722,"&gt;="&amp;77234427000,Данные!$A$2:$A$722,"&lt;="&amp;77234428999)</f>
        <v>0</v>
      </c>
      <c r="AR140" s="65" t="n">
        <f aca="false">COUNTIFS(Данные!$B$2:$B$722,81,Данные!$C$2:$C$722,0,Данные!$A$2:$A$722,"&gt;="&amp;77234450000,Данные!$A$2:$A$722,"&lt;="&amp;77234450999)</f>
        <v>0</v>
      </c>
      <c r="AS140" s="65" t="n">
        <f aca="false">COUNTIFS(Данные!$B$2:$B$722,81,Данные!$C$2:$C$722,0,Данные!$A$2:$A$722,"&gt;="&amp;77234620000,Данные!$A$2:$A$722,"&lt;="&amp;77234620999)</f>
        <v>0</v>
      </c>
      <c r="AT140" s="65" t="n">
        <f aca="false">COUNTIFS(Данные!$B$2:$B$722,81,Данные!$C$2:$C$722,0,Данные!$A$2:$A$722,"&gt;="&amp;77234650000,Данные!$A$2:$A$722,"&lt;="&amp;77234650999)</f>
        <v>0</v>
      </c>
      <c r="AU140" s="65" t="n">
        <f aca="false">COUNTIFS(Данные!$B$2:$B$722,81,Данные!$C$2:$C$722,0,Данные!$A$2:$A$722,"&gt;="&amp;77234820000,Данные!$A$2:$A$722,"&lt;="&amp;77234820999)</f>
        <v>0</v>
      </c>
      <c r="AV140" s="65" t="n">
        <f aca="false">COUNTIFS(Данные!$B$2:$B$722,81,Данные!$C$2:$C$722,0,Данные!$A$2:$A$722,"&gt;="&amp;77234850000,Данные!$A$2:$A$722,"&lt;="&amp;77234850999)</f>
        <v>0</v>
      </c>
      <c r="AW140" s="65" t="n">
        <f aca="false">COUNTIFS(Данные!$B$2:$B$722,81,Данные!$C$2:$C$722,0,Данные!$A$2:$A$722,"&gt;="&amp;77233327000,Данные!$A$2:$A$722,"&lt;="&amp;77233327999)</f>
        <v>0</v>
      </c>
      <c r="AX140" s="65" t="n">
        <f aca="false">COUNTIFS(Данные!$B$2:$B$722,81,Данные!$C$2:$C$722,0,Данные!$A$2:$A$722,"&gt;="&amp;77233350000,Данные!$A$2:$A$722,"&lt;="&amp;77233350599)</f>
        <v>0</v>
      </c>
      <c r="AY140" s="65" t="n">
        <f aca="false">COUNTIFS(Данные!$B$2:$B$722,81,Данные!$C$2:$C$722,0,Данные!$A$2:$A$722,"&gt;="&amp;77233351000,Данные!$A$2:$A$722,"&lt;="&amp;77233351999)</f>
        <v>0</v>
      </c>
      <c r="AZ140" s="66" t="n">
        <f aca="false">COUNTIFS(Данные!$B$2:$B$722,81,Данные!$C$2:$C$722,0,Данные!$A$2:$A$722,"&gt;="&amp;7722440000,Данные!$A$2:$A$722,"&lt;="&amp;7722440999)</f>
        <v>0</v>
      </c>
      <c r="BA140" s="66" t="n">
        <f aca="false">COUNTIFS(Данные!$B$2:$B$722,81,Данные!$C$2:$C$722,0,Данные!$A$2:$A$722,"&gt;="&amp;7722442000,Данные!$A$2:$A$722,"&lt;="&amp;7722445659)</f>
        <v>0</v>
      </c>
      <c r="BB140" s="66" t="n">
        <f aca="false">COUNTIFS(Данные!$B$2:$B$722,81,Данные!$C$2:$C$722,0,Данные!$A$2:$A$722,"&gt;="&amp;7722450000,Данные!$A$2:$A$722,"&lt;="&amp;7722450199)</f>
        <v>0</v>
      </c>
      <c r="BC140" s="66" t="n">
        <f aca="false">COUNTIFS(Данные!$B$2:$B$722,81,Данные!$C$2:$C$722,0,Данные!$A$2:$A$722,"&gt;="&amp;7722451000,Данные!$A$2:$A$722,"&lt;="&amp;7722451374)</f>
        <v>0</v>
      </c>
      <c r="BD140" s="66" t="n">
        <f aca="false">COUNTIFS(Данные!$B$2:$B$722,81,Данные!$C$2:$C$722,0,Данные!$A$2:$A$722,"&gt;="&amp;7722452000,Данные!$A$2:$A$722,"&lt;="&amp;7722452299)</f>
        <v>0</v>
      </c>
      <c r="BE140" s="66" t="n">
        <f aca="false">COUNTIFS(Данные!$B$2:$B$722,81,Данные!$C$2:$C$722,0,Данные!$A$2:$A$722,"&gt;="&amp;7722453000,Данные!$A$2:$A$722,"&lt;="&amp;7722453816)</f>
        <v>0</v>
      </c>
      <c r="BF140" s="66" t="n">
        <f aca="false">COUNTIFS(Данные!$B$2:$B$722,81,Данные!$C$2:$C$722,0,Данные!$A$2:$A$722,"&gt;="&amp;7722454000,Данные!$A$2:$A$722,"&lt;="&amp;7722454099)</f>
        <v>0</v>
      </c>
      <c r="BG140" s="66" t="n">
        <f aca="false">COUNTIFS(Данные!$B$2:$B$722,81,Данные!$C$2:$C$722,0,Данные!$A$2:$A$722,"&gt;="&amp;7722458000,Данные!$A$2:$A$722,"&lt;="&amp;7722458999)</f>
        <v>0</v>
      </c>
      <c r="BH140" s="66" t="n">
        <f aca="false">COUNTIFS(Данные!$B$2:$B$722,81,Данные!$C$2:$C$722,0,Данные!$A$2:$A$722,"&gt;="&amp;7722630000,Данные!$A$2:$A$722,"&lt;="&amp;7722638549)</f>
        <v>0</v>
      </c>
      <c r="BI140" s="66" t="n">
        <f aca="false">COUNTIFS(Данные!$B$2:$B$722,81,Данные!$C$2:$C$722,0,Данные!$A$2:$A$722,"&gt;="&amp;7722639400,Данные!$A$2:$A$722,"&lt;="&amp;7722639899)</f>
        <v>0</v>
      </c>
      <c r="BJ140" s="66" t="n">
        <f aca="false">COUNTIFS(Данные!$B$2:$B$722,81,Данные!$C$2:$C$722,0,Данные!$A$2:$A$722,"&gt;="&amp;7725750000,Данные!$A$2:$A$722,"&lt;="&amp;7725750399)</f>
        <v>0</v>
      </c>
      <c r="BK140" s="66" t="n">
        <f aca="false">COUNTIFS(Данные!$B$2:$B$722,81,Данные!$C$2:$C$722,0,Данные!$A$2:$A$722,"&gt;="&amp;7723620000,Данные!$A$2:$A$722,"&lt;="&amp;7723621299)</f>
        <v>0</v>
      </c>
      <c r="BL140" s="66" t="n">
        <f aca="false">COUNTIFS(Данные!$B$2:$B$722,81,Данные!$C$2:$C$722,0,Данные!$A$2:$A$722,"&gt;="&amp;7723621600,Данные!$A$2:$A$722,"&lt;="&amp;7723623399)</f>
        <v>0</v>
      </c>
      <c r="BM140" s="66" t="n">
        <f aca="false">COUNTIFS(Данные!$B$2:$B$722,81,Данные!$C$2:$C$722,0,Данные!$A$2:$A$722,"&gt;="&amp;7725127000,Данные!$A$2:$A$722,"&lt;="&amp;7725127999)</f>
        <v>0</v>
      </c>
      <c r="BN140" s="66" t="n">
        <f aca="false">COUNTIFS(Данные!$B$2:$B$722,81,Данные!$C$2:$C$722,0,Данные!$A$2:$A$722,"&gt;="&amp;7723772000,Данные!$A$2:$A$722,"&lt;="&amp;7723724999)</f>
        <v>0</v>
      </c>
      <c r="BO140" s="65" t="n">
        <f aca="false">COUNTIFS(Данные!$B$2:$B$722,81,Данные!$C$2:$C$722,0,Данные!$A$2:$A$722,"&gt;="&amp;7723765000,Данные!$A$2:$A$722,"&lt;="&amp;7723765499)</f>
        <v>0</v>
      </c>
      <c r="BP140" s="66" t="n">
        <f aca="false">COUNTIFS(Данные!$B$2:$B$722,81,Данные!$C$2:$C$722,0,Данные!$A$2:$A$722,"&gt;="&amp;7723948000,Данные!$A$2:$A$722,"&lt;="&amp;7723948999)</f>
        <v>0</v>
      </c>
      <c r="BQ140" s="66" t="n">
        <f aca="false">COUNTIFS(Данные!$B$2:$B$722,81,Данные!$C$2:$C$722,0,Данные!$A$2:$A$722,"&gt;="&amp;7723950000,Данные!$A$2:$A$722,"&lt;="&amp;7723951099)</f>
        <v>0</v>
      </c>
      <c r="BR140" s="66" t="n">
        <f aca="false">COUNTIFS(Данные!$B$2:$B$722,81,Данные!$C$2:$C$722,0,Данные!$A$2:$A$722,"&gt;="&amp;7723020000,Данные!$A$2:$A$722,"&lt;="&amp;7723020999)</f>
        <v>0</v>
      </c>
      <c r="BS140" s="66" t="n">
        <f aca="false">COUNTIFS(Данные!$B$2:$B$722,81,Данные!$C$2:$C$722,0,Данные!$A$2:$A$722,"&gt;="&amp;7723029000,Данные!$A$2:$A$722,"&lt;="&amp;7723029999)</f>
        <v>0</v>
      </c>
      <c r="BT140" s="66" t="n">
        <f aca="false">COUNTIFS(Данные!$B$2:$B$722,81,Данные!$C$2:$C$722,0,Данные!$A$2:$A$722,"&gt;="&amp;7723055000,Данные!$A$2:$A$722,"&lt;="&amp;7723056549)</f>
        <v>0</v>
      </c>
      <c r="BU140" s="65" t="n">
        <f aca="false">COUNTIFS(Данные!$B$2:$B$722,81,Данные!$C$2:$C$722,0,Данные!$A$2:$A$722,"&gt;="&amp;7725250000,Данные!$A$2:$A$722,"&lt;="&amp;7725250499)</f>
        <v>0</v>
      </c>
      <c r="BV140" s="66" t="n">
        <f aca="false">COUNTIFS(Данные!$B$2:$B$722,81,Данные!$C$2:$C$722,0,Данные!$A$2:$A$722,"&gt;="&amp;7183841400,Данные!$A$2:$A$722,"&lt;="&amp;7183841499)</f>
        <v>0</v>
      </c>
      <c r="BW140" s="49" t="n">
        <v>300</v>
      </c>
      <c r="BX140" s="67" t="n">
        <f aca="false">F140-BW140</f>
        <v>-300</v>
      </c>
    </row>
    <row r="141" s="15" customFormat="true" ht="12" hidden="false" customHeight="true" outlineLevel="0" collapsed="false">
      <c r="A141" s="47"/>
      <c r="B141" s="48"/>
      <c r="C141" s="50" t="n">
        <v>1</v>
      </c>
      <c r="D141" s="50" t="n">
        <v>811</v>
      </c>
      <c r="E141" s="51"/>
      <c r="F141" s="65" t="n">
        <f aca="false">COUNTIFS(Данные!$B$2:$B$722,81,Данные!$C$2:$C$722,1)</f>
        <v>0</v>
      </c>
      <c r="G141" s="65" t="n">
        <f aca="false">COUNTIFS(Данные!$B$2:$B$722,81,Данные!$C$2:$C$722,1,Данные!$A$2:$A$722,"&gt;="&amp;77232210840,Данные!$A$2:$A$722,"&lt;="&amp;77232216999)</f>
        <v>0</v>
      </c>
      <c r="H141" s="65" t="n">
        <f aca="false">COUNTIFS(Данные!$B$2:$B$722,81,Данные!$C$2:$C$722,1,Данные!$A$2:$A$722,"&gt;="&amp;77232510512,Данные!$A$2:$A$722,"&lt;="&amp;77232519487)</f>
        <v>0</v>
      </c>
      <c r="I141" s="65" t="n">
        <f aca="false">COUNTIFS(Данные!$B$2:$B$722,81,Данные!$C$2:$C$722,1,Данные!$A$2:$A$722,"&gt;="&amp;77232524160,Данные!$A$2:$A$722,"&lt;="&amp;77232529999)</f>
        <v>0</v>
      </c>
      <c r="J141" s="65" t="n">
        <f aca="false">COUNTIFS(Данные!$B$2:$B$722,81,Данные!$C$2:$C$722,1,Данные!$A$2:$A$722,"&gt;="&amp;77232544000,Данные!$A$2:$A$722,"&lt;="&amp;77232544999)</f>
        <v>0</v>
      </c>
      <c r="K141" s="65" t="n">
        <f aca="false">COUNTIFS(Данные!$B$2:$B$722,81,Данные!$C$2:$C$722,1,Данные!$A$2:$A$722,"&gt;="&amp;77232295504,Данные!$A$2:$A$722,"&lt;="&amp;77232296999)</f>
        <v>0</v>
      </c>
      <c r="L141" s="65" t="n">
        <f aca="false">COUNTIFS(Данные!$B$2:$B$722,81,Данные!$C$2:$C$722,1,Данные!$A$2:$A$722,"&gt;="&amp;77232785000,Данные!$A$2:$A$722,"&lt;="&amp;77232789999)</f>
        <v>0</v>
      </c>
      <c r="M141" s="65" t="n">
        <f aca="false">COUNTIFS(Данные!$B$2:$B$722,81,Данные!$C$2:$C$722,1,Данные!$A$2:$A$722,"&gt;="&amp;77233150000,Данные!$A$2:$A$722,"&lt;="&amp;77233155999)</f>
        <v>0</v>
      </c>
      <c r="N141" s="65" t="n">
        <f aca="false">COUNTIFS(Данные!$B$2:$B$722,81,Данные!$C$2:$C$722,1,Данные!$A$2:$A$722,"&gt;="&amp;77233235000,Данные!$A$2:$A$722,"&lt;="&amp;77233235999)</f>
        <v>0</v>
      </c>
      <c r="O141" s="65" t="n">
        <f aca="false">COUNTIFS(Данные!$B$2:$B$722,81,Данные!$C$2:$C$722,1,Данные!$A$2:$A$722,"&gt;="&amp;77233239000,Данные!$A$2:$A$722,"&lt;="&amp;77233239999)</f>
        <v>0</v>
      </c>
      <c r="P141" s="65" t="n">
        <f aca="false">COUNTIFS(Данные!$B$2:$B$722,81,Данные!$C$2:$C$722,1,Данные!$A$2:$A$722,"&gt;="&amp;77233272000,Данные!$A$2:$A$722,"&lt;="&amp;77233272999)</f>
        <v>0</v>
      </c>
      <c r="Q141" s="65" t="n">
        <f aca="false">COUNTIFS(Данные!$B$2:$B$722,81,Данные!$C$2:$C$722,1,Данные!$A$2:$A$722,"&gt;="&amp;77233291100,Данные!$A$2:$A$722,"&lt;="&amp;77233292999)</f>
        <v>0</v>
      </c>
      <c r="R141" s="65" t="n">
        <f aca="false">COUNTIFS(Данные!$B$2:$B$722,81,Данные!$C$2:$C$722,1,Данные!$A$2:$A$722,"&gt;="&amp;77233297000,Данные!$A$2:$A$722,"&lt;="&amp;77233298399)</f>
        <v>0</v>
      </c>
      <c r="S141" s="65" t="n">
        <f aca="false">COUNTIFS(Данные!$B$2:$B$722,81,Данные!$C$2:$C$722,1,Данные!$A$2:$A$722,"&gt;="&amp;77235124000,Данные!$A$2:$A$722,"&lt;="&amp;77235128499)</f>
        <v>0</v>
      </c>
      <c r="T141" s="65" t="n">
        <f aca="false">COUNTIFS(Данные!$B$2:$B$722,81,Данные!$C$2:$C$722,1,Данные!$A$2:$A$722,"&gt;="&amp;77235320000,Данные!$A$2:$A$722,"&lt;="&amp;77235320999)</f>
        <v>0</v>
      </c>
      <c r="U141" s="65" t="n">
        <f aca="false">COUNTIFS(Данные!$B$2:$B$722,81,Данные!$C$2:$C$722,1,Данные!$A$2:$A$722,"&gt;="&amp;77233620000,Данные!$A$2:$A$722,"&lt;="&amp;77233623339)</f>
        <v>0</v>
      </c>
      <c r="V141" s="65" t="n">
        <f aca="false">COUNTIFS(Данные!$B$2:$B$722,81,Данные!$C$2:$C$722,1,Данные!$A$2:$A$722,"&gt;="&amp;77233630000,Данные!$A$2:$A$722,"&lt;="&amp;77233630999)</f>
        <v>0</v>
      </c>
      <c r="W141" s="65" t="n">
        <f aca="false">COUNTIFS(Данные!$B$2:$B$722,81,Данные!$C$2:$C$722,1,Данные!$A$2:$A$722,"&gt;="&amp;77233637000,Данные!$A$2:$A$722,"&lt;="&amp;77233637599)</f>
        <v>0</v>
      </c>
      <c r="X141" s="65" t="n">
        <f aca="false">COUNTIFS(Данные!$B$2:$B$722,81,Данные!$C$2:$C$722,1,Данные!$A$2:$A$722,"&gt;="&amp;77233550000,Данные!$A$2:$A$722,"&lt;="&amp;77233550999)</f>
        <v>0</v>
      </c>
      <c r="Y141" s="65" t="n">
        <f aca="false">COUNTIFS(Данные!$B$2:$B$722,81,Данные!$C$2:$C$722,1,Данные!$A$2:$A$722,"&gt;="&amp;77233554000,Данные!$A$2:$A$722,"&lt;="&amp;77233554999)</f>
        <v>0</v>
      </c>
      <c r="Z141" s="65" t="n">
        <f aca="false">COUNTIFS(Данные!$B$2:$B$722,81,Данные!$C$2:$C$722,1,Данные!$A$2:$A$722,"&gt;="&amp;77233555000,Данные!$A$2:$A$722,"&lt;="&amp;77233556999)</f>
        <v>0</v>
      </c>
      <c r="AA141" s="65" t="n">
        <f aca="false">COUNTIFS(Данные!$B$2:$B$722,81,Данные!$C$2:$C$722,1,Данные!$A$2:$A$722,"&gt;="&amp;77233726000,Данные!$A$2:$A$722,"&lt;="&amp;77233726999)</f>
        <v>0</v>
      </c>
      <c r="AB141" s="65" t="n">
        <f aca="false">COUNTIFS(Данные!$B$2:$B$722,81,Данные!$C$2:$C$722,1,Данные!$A$2:$A$722,"&gt;="&amp;77233820000,Данные!$A$2:$A$722,"&lt;="&amp;77233820999)</f>
        <v>0</v>
      </c>
      <c r="AC141" s="65" t="n">
        <f aca="false">COUNTIFS(Данные!$B$2:$B$722,81,Данные!$C$2:$C$722,1,Данные!$A$2:$A$722,"&gt;="&amp;77233850000,Данные!$A$2:$A$722,"&lt;="&amp;77233850999)</f>
        <v>0</v>
      </c>
      <c r="AD141" s="65" t="n">
        <f aca="false">COUNTIFS(Данные!$B$2:$B$722,81,Данные!$C$2:$C$722,1,Данные!$A$2:$A$722,"&gt;="&amp;77233420000,Данные!$A$2:$A$722,"&lt;="&amp;77233420999)</f>
        <v>0</v>
      </c>
      <c r="AE141" s="65" t="n">
        <f aca="false">COUNTIFS(Данные!$B$2:$B$722,81,Данные!$C$2:$C$722,1,Данные!$A$2:$A$722,"&gt;="&amp;77234740000,Данные!$A$2:$A$722,"&lt;="&amp;77234742999)</f>
        <v>0</v>
      </c>
      <c r="AF141" s="65" t="n">
        <f aca="false">COUNTIFS(Данные!$B$2:$B$722,81,Данные!$C$2:$C$722,1,Данные!$A$2:$A$722,"&gt;="&amp;77234767000,Данные!$A$2:$A$722,"&lt;="&amp;77234767999)</f>
        <v>0</v>
      </c>
      <c r="AG141" s="65" t="n">
        <f aca="false">COUNTIFS(Данные!$B$2:$B$722,81,Данные!$C$2:$C$722,1,Данные!$A$2:$A$722,"&gt;="&amp;77234120000,Данные!$A$2:$A$722,"&lt;="&amp;77234120999)</f>
        <v>0</v>
      </c>
      <c r="AH141" s="65" t="n">
        <f aca="false">COUNTIFS(Данные!$B$2:$B$722,81,Данные!$C$2:$C$722,1,Данные!$A$2:$A$722,"&gt;="&amp;77234127000,Данные!$A$2:$A$722,"&lt;="&amp;77234127999)</f>
        <v>0</v>
      </c>
      <c r="AI141" s="65" t="n">
        <f aca="false">COUNTIFS(Данные!$B$2:$B$722,81,Данные!$C$2:$C$722,1,Данные!$A$2:$A$722,"&gt;="&amp;77234220000,Данные!$A$2:$A$722,"&lt;="&amp;77234220999)</f>
        <v>0</v>
      </c>
      <c r="AJ141" s="65" t="n">
        <f aca="false">COUNTIFS(Данные!$B$2:$B$722,81,Данные!$C$2:$C$722,1,Данные!$A$2:$A$722,"&gt;="&amp;77234250000,Данные!$A$2:$A$722,"&lt;="&amp;77234250999)</f>
        <v>0</v>
      </c>
      <c r="AK141" s="65" t="n">
        <f aca="false">COUNTIFS(Данные!$B$2:$B$722,81,Данные!$C$2:$C$722,1,Данные!$A$2:$A$722,"&gt;="&amp;77233922950,Данные!$A$2:$A$722,"&lt;="&amp;77233924999)</f>
        <v>0</v>
      </c>
      <c r="AL141" s="65" t="n">
        <f aca="false">COUNTIFS(Данные!$B$2:$B$722,81,Данные!$C$2:$C$722,1,Данные!$A$2:$A$722,"&gt;="&amp;77234320000,Данные!$A$2:$A$722,"&lt;="&amp;77234320999)</f>
        <v>0</v>
      </c>
      <c r="AM141" s="65" t="n">
        <f aca="false">COUNTIFS(Данные!$B$2:$B$722,81,Данные!$C$2:$C$722,1,Данные!$A$2:$A$722,"&gt;="&amp;77234350000,Данные!$A$2:$A$722,"&lt;="&amp;77234350999)</f>
        <v>0</v>
      </c>
      <c r="AN141" s="65" t="n">
        <f aca="false">COUNTIFS(Данные!$B$2:$B$722,81,Данные!$C$2:$C$722,1,Данные!$A$2:$A$722,"&gt;="&amp;77234020000,Данные!$A$2:$A$722,"&lt;="&amp;77234020999)</f>
        <v>0</v>
      </c>
      <c r="AO141" s="65" t="n">
        <f aca="false">COUNTIFS(Данные!$B$2:$B$722,81,Данные!$C$2:$C$722,1,Данные!$A$2:$A$722,"&gt;="&amp;77234029000,Данные!$A$2:$A$722,"&lt;="&amp;77234029999)</f>
        <v>0</v>
      </c>
      <c r="AP141" s="65" t="n">
        <f aca="false">COUNTIFS(Данные!$B$2:$B$722,81,Данные!$C$2:$C$722,1,Данные!$A$2:$A$722,"&gt;="&amp;77234050000,Данные!$A$2:$A$722,"&lt;="&amp;77234050999)</f>
        <v>0</v>
      </c>
      <c r="AQ141" s="65" t="n">
        <f aca="false">COUNTIFS(Данные!$B$2:$B$722,81,Данные!$C$2:$C$722,1,Данные!$A$2:$A$722,"&gt;="&amp;77234427000,Данные!$A$2:$A$722,"&lt;="&amp;77234428999)</f>
        <v>0</v>
      </c>
      <c r="AR141" s="65" t="n">
        <f aca="false">COUNTIFS(Данные!$B$2:$B$722,81,Данные!$C$2:$C$722,1,Данные!$A$2:$A$722,"&gt;="&amp;77234450000,Данные!$A$2:$A$722,"&lt;="&amp;77234450999)</f>
        <v>0</v>
      </c>
      <c r="AS141" s="65" t="n">
        <f aca="false">COUNTIFS(Данные!$B$2:$B$722,81,Данные!$C$2:$C$722,1,Данные!$A$2:$A$722,"&gt;="&amp;77234620000,Данные!$A$2:$A$722,"&lt;="&amp;77234620999)</f>
        <v>0</v>
      </c>
      <c r="AT141" s="65" t="n">
        <f aca="false">COUNTIFS(Данные!$B$2:$B$722,81,Данные!$C$2:$C$722,1,Данные!$A$2:$A$722,"&gt;="&amp;77234650000,Данные!$A$2:$A$722,"&lt;="&amp;77234650999)</f>
        <v>0</v>
      </c>
      <c r="AU141" s="65" t="n">
        <f aca="false">COUNTIFS(Данные!$B$2:$B$722,81,Данные!$C$2:$C$722,1,Данные!$A$2:$A$722,"&gt;="&amp;77234820000,Данные!$A$2:$A$722,"&lt;="&amp;77234820999)</f>
        <v>0</v>
      </c>
      <c r="AV141" s="65" t="n">
        <f aca="false">COUNTIFS(Данные!$B$2:$B$722,81,Данные!$C$2:$C$722,1,Данные!$A$2:$A$722,"&gt;="&amp;77234850000,Данные!$A$2:$A$722,"&lt;="&amp;77234850999)</f>
        <v>0</v>
      </c>
      <c r="AW141" s="65" t="n">
        <f aca="false">COUNTIFS(Данные!$B$2:$B$722,81,Данные!$C$2:$C$722,1,Данные!$A$2:$A$722,"&gt;="&amp;77233327000,Данные!$A$2:$A$722,"&lt;="&amp;77233327999)</f>
        <v>0</v>
      </c>
      <c r="AX141" s="65" t="n">
        <f aca="false">COUNTIFS(Данные!$B$2:$B$722,81,Данные!$C$2:$C$722,1,Данные!$A$2:$A$722,"&gt;="&amp;77233350000,Данные!$A$2:$A$722,"&lt;="&amp;77233350599)</f>
        <v>0</v>
      </c>
      <c r="AY141" s="65" t="n">
        <f aca="false">COUNTIFS(Данные!$B$2:$B$722,81,Данные!$C$2:$C$722,1,Данные!$A$2:$A$722,"&gt;="&amp;77233351000,Данные!$A$2:$A$722,"&lt;="&amp;77233351999)</f>
        <v>0</v>
      </c>
      <c r="AZ141" s="66" t="n">
        <f aca="false">COUNTIFS(Данные!$B$2:$B$722,81,Данные!$C$2:$C$722,1,Данные!$A$2:$A$722,"&gt;="&amp;7722440000,Данные!$A$2:$A$722,"&lt;="&amp;7722440999)</f>
        <v>0</v>
      </c>
      <c r="BA141" s="66" t="n">
        <f aca="false">COUNTIFS(Данные!$B$2:$B$722,81,Данные!$C$2:$C$722,1,Данные!$A$2:$A$722,"&gt;="&amp;7722442000,Данные!$A$2:$A$722,"&lt;="&amp;7722445659)</f>
        <v>0</v>
      </c>
      <c r="BB141" s="66" t="n">
        <f aca="false">COUNTIFS(Данные!$B$2:$B$722,81,Данные!$C$2:$C$722,1,Данные!$A$2:$A$722,"&gt;="&amp;7722450000,Данные!$A$2:$A$722,"&lt;="&amp;7722450199)</f>
        <v>0</v>
      </c>
      <c r="BC141" s="66" t="n">
        <f aca="false">COUNTIFS(Данные!$B$2:$B$722,81,Данные!$C$2:$C$722,1,Данные!$A$2:$A$722,"&gt;="&amp;7722451000,Данные!$A$2:$A$722,"&lt;="&amp;7722451374)</f>
        <v>0</v>
      </c>
      <c r="BD141" s="66" t="n">
        <f aca="false">COUNTIFS(Данные!$B$2:$B$722,81,Данные!$C$2:$C$722,1,Данные!$A$2:$A$722,"&gt;="&amp;7722452000,Данные!$A$2:$A$722,"&lt;="&amp;7722452299)</f>
        <v>0</v>
      </c>
      <c r="BE141" s="66" t="n">
        <f aca="false">COUNTIFS(Данные!$B$2:$B$722,81,Данные!$C$2:$C$722,1,Данные!$A$2:$A$722,"&gt;="&amp;7722453000,Данные!$A$2:$A$722,"&lt;="&amp;7722453816)</f>
        <v>0</v>
      </c>
      <c r="BF141" s="66" t="n">
        <f aca="false">COUNTIFS(Данные!$B$2:$B$722,81,Данные!$C$2:$C$722,1,Данные!$A$2:$A$722,"&gt;="&amp;7722454000,Данные!$A$2:$A$722,"&lt;="&amp;7722454099)</f>
        <v>0</v>
      </c>
      <c r="BG141" s="66" t="n">
        <f aca="false">COUNTIFS(Данные!$B$2:$B$722,81,Данные!$C$2:$C$722,1,Данные!$A$2:$A$722,"&gt;="&amp;7722458000,Данные!$A$2:$A$722,"&lt;="&amp;7722458999)</f>
        <v>0</v>
      </c>
      <c r="BH141" s="66" t="n">
        <f aca="false">COUNTIFS(Данные!$B$2:$B$722,81,Данные!$C$2:$C$722,1,Данные!$A$2:$A$722,"&gt;="&amp;7722630000,Данные!$A$2:$A$722,"&lt;="&amp;7722638549)</f>
        <v>0</v>
      </c>
      <c r="BI141" s="66" t="n">
        <f aca="false">COUNTIFS(Данные!$B$2:$B$722,81,Данные!$C$2:$C$722,1,Данные!$A$2:$A$722,"&gt;="&amp;7722639400,Данные!$A$2:$A$722,"&lt;="&amp;7722639899)</f>
        <v>0</v>
      </c>
      <c r="BJ141" s="66" t="n">
        <f aca="false">COUNTIFS(Данные!$B$2:$B$722,81,Данные!$C$2:$C$722,1,Данные!$A$2:$A$722,"&gt;="&amp;7725750000,Данные!$A$2:$A$722,"&lt;="&amp;7725750399)</f>
        <v>0</v>
      </c>
      <c r="BK141" s="66" t="n">
        <f aca="false">COUNTIFS(Данные!$B$2:$B$722,81,Данные!$C$2:$C$722,1,Данные!$A$2:$A$722,"&gt;="&amp;7723620000,Данные!$A$2:$A$722,"&lt;="&amp;7723621299)</f>
        <v>0</v>
      </c>
      <c r="BL141" s="66" t="n">
        <f aca="false">COUNTIFS(Данные!$B$2:$B$722,81,Данные!$C$2:$C$722,1,Данные!$A$2:$A$722,"&gt;="&amp;7723621600,Данные!$A$2:$A$722,"&lt;="&amp;7723623399)</f>
        <v>0</v>
      </c>
      <c r="BM141" s="66" t="n">
        <f aca="false">COUNTIFS(Данные!$B$2:$B$722,81,Данные!$C$2:$C$722,1,Данные!$A$2:$A$722,"&gt;="&amp;7725127000,Данные!$A$2:$A$722,"&lt;="&amp;7725127999)</f>
        <v>0</v>
      </c>
      <c r="BN141" s="66" t="n">
        <f aca="false">COUNTIFS(Данные!$B$2:$B$722,81,Данные!$C$2:$C$722,1,Данные!$A$2:$A$722,"&gt;="&amp;7723772000,Данные!$A$2:$A$722,"&lt;="&amp;7723724999)</f>
        <v>0</v>
      </c>
      <c r="BO141" s="65" t="n">
        <f aca="false">COUNTIFS(Данные!$B$2:$B$722,81,Данные!$C$2:$C$722,1,Данные!$A$2:$A$722,"&gt;="&amp;7723765000,Данные!$A$2:$A$722,"&lt;="&amp;7723765499)</f>
        <v>0</v>
      </c>
      <c r="BP141" s="66" t="n">
        <f aca="false">COUNTIFS(Данные!$B$2:$B$722,81,Данные!$C$2:$C$722,1,Данные!$A$2:$A$722,"&gt;="&amp;7723948000,Данные!$A$2:$A$722,"&lt;="&amp;7723948999)</f>
        <v>0</v>
      </c>
      <c r="BQ141" s="66" t="n">
        <f aca="false">COUNTIFS(Данные!$B$2:$B$722,81,Данные!$C$2:$C$722,1,Данные!$A$2:$A$722,"&gt;="&amp;7723950000,Данные!$A$2:$A$722,"&lt;="&amp;7723951099)</f>
        <v>0</v>
      </c>
      <c r="BR141" s="66" t="n">
        <f aca="false">COUNTIFS(Данные!$B$2:$B$722,81,Данные!$C$2:$C$722,1,Данные!$A$2:$A$722,"&gt;="&amp;7723020000,Данные!$A$2:$A$722,"&lt;="&amp;7723020999)</f>
        <v>0</v>
      </c>
      <c r="BS141" s="66" t="n">
        <f aca="false">COUNTIFS(Данные!$B$2:$B$722,81,Данные!$C$2:$C$722,1,Данные!$A$2:$A$722,"&gt;="&amp;7723029000,Данные!$A$2:$A$722,"&lt;="&amp;7723029999)</f>
        <v>0</v>
      </c>
      <c r="BT141" s="66" t="n">
        <f aca="false">COUNTIFS(Данные!$B$2:$B$722,81,Данные!$C$2:$C$722,1,Данные!$A$2:$A$722,"&gt;="&amp;7723055000,Данные!$A$2:$A$722,"&lt;="&amp;7723056549)</f>
        <v>0</v>
      </c>
      <c r="BU141" s="65" t="n">
        <f aca="false">COUNTIFS(Данные!$B$2:$B$722,81,Данные!$C$2:$C$722,1,Данные!$A$2:$A$722,"&gt;="&amp;7725250000,Данные!$A$2:$A$722,"&lt;="&amp;7725250499)</f>
        <v>0</v>
      </c>
      <c r="BV141" s="66" t="n">
        <f aca="false">COUNTIFS(Данные!$B$2:$B$722,81,Данные!$C$2:$C$722,1,Данные!$A$2:$A$722,"&gt;="&amp;7183841400,Данные!$A$2:$A$722,"&lt;="&amp;7183841499)</f>
        <v>0</v>
      </c>
      <c r="BW141" s="49" t="n">
        <v>300</v>
      </c>
      <c r="BX141" s="67" t="n">
        <f aca="false">F141-BW141</f>
        <v>-300</v>
      </c>
    </row>
    <row r="142" s="15" customFormat="true" ht="12" hidden="false" customHeight="true" outlineLevel="0" collapsed="false">
      <c r="A142" s="47"/>
      <c r="B142" s="48"/>
      <c r="C142" s="50" t="n">
        <v>2</v>
      </c>
      <c r="D142" s="50" t="n">
        <v>812</v>
      </c>
      <c r="E142" s="51"/>
      <c r="F142" s="65" t="n">
        <f aca="false">COUNTIFS(Данные!$B$2:$B$722,81,Данные!$C$2:$C$722,2)</f>
        <v>3</v>
      </c>
      <c r="G142" s="65" t="n">
        <f aca="false">COUNTIFS(Данные!$B$2:$B$722,81,Данные!$C$2:$C$722,2,Данные!$A$2:$A$722,"&gt;="&amp;77232210840,Данные!$A$2:$A$722,"&lt;="&amp;77232216999)</f>
        <v>0</v>
      </c>
      <c r="H142" s="65" t="n">
        <f aca="false">COUNTIFS(Данные!$B$2:$B$722,81,Данные!$C$2:$C$722,2,Данные!$A$2:$A$722,"&gt;="&amp;77232510512,Данные!$A$2:$A$722,"&lt;="&amp;77232519487)</f>
        <v>0</v>
      </c>
      <c r="I142" s="65" t="n">
        <f aca="false">COUNTIFS(Данные!$B$2:$B$722,81,Данные!$C$2:$C$722,2,Данные!$A$2:$A$722,"&gt;="&amp;77232524160,Данные!$A$2:$A$722,"&lt;="&amp;77232529999)</f>
        <v>0</v>
      </c>
      <c r="J142" s="65" t="n">
        <f aca="false">COUNTIFS(Данные!$B$2:$B$722,81,Данные!$C$2:$C$722,2,Данные!$A$2:$A$722,"&gt;="&amp;77232544000,Данные!$A$2:$A$722,"&lt;="&amp;77232544999)</f>
        <v>0</v>
      </c>
      <c r="K142" s="65" t="n">
        <f aca="false">COUNTIFS(Данные!$B$2:$B$722,81,Данные!$C$2:$C$722,2,Данные!$A$2:$A$722,"&gt;="&amp;77232295504,Данные!$A$2:$A$722,"&lt;="&amp;77232296999)</f>
        <v>0</v>
      </c>
      <c r="L142" s="65" t="n">
        <f aca="false">COUNTIFS(Данные!$B$2:$B$722,81,Данные!$C$2:$C$722,2,Данные!$A$2:$A$722,"&gt;="&amp;77232785000,Данные!$A$2:$A$722,"&lt;="&amp;77232789999)</f>
        <v>0</v>
      </c>
      <c r="M142" s="65" t="n">
        <f aca="false">COUNTIFS(Данные!$B$2:$B$722,81,Данные!$C$2:$C$722,2,Данные!$A$2:$A$722,"&gt;="&amp;77233150000,Данные!$A$2:$A$722,"&lt;="&amp;77233155999)</f>
        <v>0</v>
      </c>
      <c r="N142" s="65" t="n">
        <f aca="false">COUNTIFS(Данные!$B$2:$B$722,81,Данные!$C$2:$C$722,2,Данные!$A$2:$A$722,"&gt;="&amp;77233235000,Данные!$A$2:$A$722,"&lt;="&amp;77233235999)</f>
        <v>0</v>
      </c>
      <c r="O142" s="65" t="n">
        <f aca="false">COUNTIFS(Данные!$B$2:$B$722,81,Данные!$C$2:$C$722,2,Данные!$A$2:$A$722,"&gt;="&amp;77233239000,Данные!$A$2:$A$722,"&lt;="&amp;77233239999)</f>
        <v>0</v>
      </c>
      <c r="P142" s="65" t="n">
        <f aca="false">COUNTIFS(Данные!$B$2:$B$722,81,Данные!$C$2:$C$722,2,Данные!$A$2:$A$722,"&gt;="&amp;77233272000,Данные!$A$2:$A$722,"&lt;="&amp;77233272999)</f>
        <v>0</v>
      </c>
      <c r="Q142" s="65" t="n">
        <f aca="false">COUNTIFS(Данные!$B$2:$B$722,81,Данные!$C$2:$C$722,2,Данные!$A$2:$A$722,"&gt;="&amp;77233291100,Данные!$A$2:$A$722,"&lt;="&amp;77233292999)</f>
        <v>0</v>
      </c>
      <c r="R142" s="65" t="n">
        <f aca="false">COUNTIFS(Данные!$B$2:$B$722,81,Данные!$C$2:$C$722,2,Данные!$A$2:$A$722,"&gt;="&amp;77233297000,Данные!$A$2:$A$722,"&lt;="&amp;77233298399)</f>
        <v>0</v>
      </c>
      <c r="S142" s="65" t="n">
        <f aca="false">COUNTIFS(Данные!$B$2:$B$722,81,Данные!$C$2:$C$722,2,Данные!$A$2:$A$722,"&gt;="&amp;77235124000,Данные!$A$2:$A$722,"&lt;="&amp;77235128499)</f>
        <v>0</v>
      </c>
      <c r="T142" s="65" t="n">
        <f aca="false">COUNTIFS(Данные!$B$2:$B$722,81,Данные!$C$2:$C$722,2,Данные!$A$2:$A$722,"&gt;="&amp;77235320000,Данные!$A$2:$A$722,"&lt;="&amp;77235320999)</f>
        <v>0</v>
      </c>
      <c r="U142" s="65" t="n">
        <f aca="false">COUNTIFS(Данные!$B$2:$B$722,81,Данные!$C$2:$C$722,2,Данные!$A$2:$A$722,"&gt;="&amp;77233620000,Данные!$A$2:$A$722,"&lt;="&amp;77233623339)</f>
        <v>0</v>
      </c>
      <c r="V142" s="65" t="n">
        <f aca="false">COUNTIFS(Данные!$B$2:$B$722,81,Данные!$C$2:$C$722,2,Данные!$A$2:$A$722,"&gt;="&amp;77233630000,Данные!$A$2:$A$722,"&lt;="&amp;77233630999)</f>
        <v>0</v>
      </c>
      <c r="W142" s="65" t="n">
        <f aca="false">COUNTIFS(Данные!$B$2:$B$722,81,Данные!$C$2:$C$722,2,Данные!$A$2:$A$722,"&gt;="&amp;77233637000,Данные!$A$2:$A$722,"&lt;="&amp;77233637599)</f>
        <v>0</v>
      </c>
      <c r="X142" s="65" t="n">
        <f aca="false">COUNTIFS(Данные!$B$2:$B$722,81,Данные!$C$2:$C$722,2,Данные!$A$2:$A$722,"&gt;="&amp;77233550000,Данные!$A$2:$A$722,"&lt;="&amp;77233550999)</f>
        <v>0</v>
      </c>
      <c r="Y142" s="65" t="n">
        <f aca="false">COUNTIFS(Данные!$B$2:$B$722,81,Данные!$C$2:$C$722,2,Данные!$A$2:$A$722,"&gt;="&amp;77233554000,Данные!$A$2:$A$722,"&lt;="&amp;77233554999)</f>
        <v>0</v>
      </c>
      <c r="Z142" s="65" t="n">
        <f aca="false">COUNTIFS(Данные!$B$2:$B$722,81,Данные!$C$2:$C$722,2,Данные!$A$2:$A$722,"&gt;="&amp;77233555000,Данные!$A$2:$A$722,"&lt;="&amp;77233556999)</f>
        <v>0</v>
      </c>
      <c r="AA142" s="65" t="n">
        <f aca="false">COUNTIFS(Данные!$B$2:$B$722,81,Данные!$C$2:$C$722,2,Данные!$A$2:$A$722,"&gt;="&amp;77233726000,Данные!$A$2:$A$722,"&lt;="&amp;77233726999)</f>
        <v>0</v>
      </c>
      <c r="AB142" s="65" t="n">
        <f aca="false">COUNTIFS(Данные!$B$2:$B$722,81,Данные!$C$2:$C$722,2,Данные!$A$2:$A$722,"&gt;="&amp;77233820000,Данные!$A$2:$A$722,"&lt;="&amp;77233820999)</f>
        <v>0</v>
      </c>
      <c r="AC142" s="65" t="n">
        <f aca="false">COUNTIFS(Данные!$B$2:$B$722,81,Данные!$C$2:$C$722,2,Данные!$A$2:$A$722,"&gt;="&amp;77233850000,Данные!$A$2:$A$722,"&lt;="&amp;77233850999)</f>
        <v>0</v>
      </c>
      <c r="AD142" s="65" t="n">
        <f aca="false">COUNTIFS(Данные!$B$2:$B$722,81,Данные!$C$2:$C$722,2,Данные!$A$2:$A$722,"&gt;="&amp;77233420000,Данные!$A$2:$A$722,"&lt;="&amp;77233420999)</f>
        <v>0</v>
      </c>
      <c r="AE142" s="65" t="n">
        <f aca="false">COUNTIFS(Данные!$B$2:$B$722,81,Данные!$C$2:$C$722,2,Данные!$A$2:$A$722,"&gt;="&amp;77234740000,Данные!$A$2:$A$722,"&lt;="&amp;77234742999)</f>
        <v>0</v>
      </c>
      <c r="AF142" s="65" t="n">
        <f aca="false">COUNTIFS(Данные!$B$2:$B$722,81,Данные!$C$2:$C$722,2,Данные!$A$2:$A$722,"&gt;="&amp;77234767000,Данные!$A$2:$A$722,"&lt;="&amp;77234767999)</f>
        <v>0</v>
      </c>
      <c r="AG142" s="65" t="n">
        <f aca="false">COUNTIFS(Данные!$B$2:$B$722,81,Данные!$C$2:$C$722,2,Данные!$A$2:$A$722,"&gt;="&amp;77234120000,Данные!$A$2:$A$722,"&lt;="&amp;77234120999)</f>
        <v>0</v>
      </c>
      <c r="AH142" s="65" t="n">
        <f aca="false">COUNTIFS(Данные!$B$2:$B$722,81,Данные!$C$2:$C$722,2,Данные!$A$2:$A$722,"&gt;="&amp;77234127000,Данные!$A$2:$A$722,"&lt;="&amp;77234127999)</f>
        <v>0</v>
      </c>
      <c r="AI142" s="65" t="n">
        <f aca="false">COUNTIFS(Данные!$B$2:$B$722,81,Данные!$C$2:$C$722,2,Данные!$A$2:$A$722,"&gt;="&amp;77234220000,Данные!$A$2:$A$722,"&lt;="&amp;77234220999)</f>
        <v>0</v>
      </c>
      <c r="AJ142" s="65" t="n">
        <f aca="false">COUNTIFS(Данные!$B$2:$B$722,81,Данные!$C$2:$C$722,2,Данные!$A$2:$A$722,"&gt;="&amp;77234250000,Данные!$A$2:$A$722,"&lt;="&amp;77234250999)</f>
        <v>0</v>
      </c>
      <c r="AK142" s="65" t="n">
        <f aca="false">COUNTIFS(Данные!$B$2:$B$722,81,Данные!$C$2:$C$722,2,Данные!$A$2:$A$722,"&gt;="&amp;77233922950,Данные!$A$2:$A$722,"&lt;="&amp;77233924999)</f>
        <v>0</v>
      </c>
      <c r="AL142" s="65" t="n">
        <f aca="false">COUNTIFS(Данные!$B$2:$B$722,81,Данные!$C$2:$C$722,2,Данные!$A$2:$A$722,"&gt;="&amp;77234320000,Данные!$A$2:$A$722,"&lt;="&amp;77234320999)</f>
        <v>0</v>
      </c>
      <c r="AM142" s="65" t="n">
        <f aca="false">COUNTIFS(Данные!$B$2:$B$722,81,Данные!$C$2:$C$722,2,Данные!$A$2:$A$722,"&gt;="&amp;77234350000,Данные!$A$2:$A$722,"&lt;="&amp;77234350999)</f>
        <v>0</v>
      </c>
      <c r="AN142" s="65" t="n">
        <f aca="false">COUNTIFS(Данные!$B$2:$B$722,81,Данные!$C$2:$C$722,2,Данные!$A$2:$A$722,"&gt;="&amp;77234020000,Данные!$A$2:$A$722,"&lt;="&amp;77234020999)</f>
        <v>0</v>
      </c>
      <c r="AO142" s="65" t="n">
        <f aca="false">COUNTIFS(Данные!$B$2:$B$722,81,Данные!$C$2:$C$722,2,Данные!$A$2:$A$722,"&gt;="&amp;77234029000,Данные!$A$2:$A$722,"&lt;="&amp;77234029999)</f>
        <v>0</v>
      </c>
      <c r="AP142" s="65" t="n">
        <f aca="false">COUNTIFS(Данные!$B$2:$B$722,81,Данные!$C$2:$C$722,2,Данные!$A$2:$A$722,"&gt;="&amp;77234050000,Данные!$A$2:$A$722,"&lt;="&amp;77234050999)</f>
        <v>0</v>
      </c>
      <c r="AQ142" s="65" t="n">
        <f aca="false">COUNTIFS(Данные!$B$2:$B$722,81,Данные!$C$2:$C$722,2,Данные!$A$2:$A$722,"&gt;="&amp;77234427000,Данные!$A$2:$A$722,"&lt;="&amp;77234428999)</f>
        <v>0</v>
      </c>
      <c r="AR142" s="65" t="n">
        <f aca="false">COUNTIFS(Данные!$B$2:$B$722,81,Данные!$C$2:$C$722,2,Данные!$A$2:$A$722,"&gt;="&amp;77234450000,Данные!$A$2:$A$722,"&lt;="&amp;77234450999)</f>
        <v>0</v>
      </c>
      <c r="AS142" s="65" t="n">
        <f aca="false">COUNTIFS(Данные!$B$2:$B$722,81,Данные!$C$2:$C$722,2,Данные!$A$2:$A$722,"&gt;="&amp;77234620000,Данные!$A$2:$A$722,"&lt;="&amp;77234620999)</f>
        <v>0</v>
      </c>
      <c r="AT142" s="65" t="n">
        <f aca="false">COUNTIFS(Данные!$B$2:$B$722,81,Данные!$C$2:$C$722,2,Данные!$A$2:$A$722,"&gt;="&amp;77234650000,Данные!$A$2:$A$722,"&lt;="&amp;77234650999)</f>
        <v>0</v>
      </c>
      <c r="AU142" s="65" t="n">
        <f aca="false">COUNTIFS(Данные!$B$2:$B$722,81,Данные!$C$2:$C$722,2,Данные!$A$2:$A$722,"&gt;="&amp;77234820000,Данные!$A$2:$A$722,"&lt;="&amp;77234820999)</f>
        <v>0</v>
      </c>
      <c r="AV142" s="65" t="n">
        <f aca="false">COUNTIFS(Данные!$B$2:$B$722,81,Данные!$C$2:$C$722,2,Данные!$A$2:$A$722,"&gt;="&amp;77234850000,Данные!$A$2:$A$722,"&lt;="&amp;77234850999)</f>
        <v>1</v>
      </c>
      <c r="AW142" s="65" t="n">
        <f aca="false">COUNTIFS(Данные!$B$2:$B$722,81,Данные!$C$2:$C$722,2,Данные!$A$2:$A$722,"&gt;="&amp;77233327000,Данные!$A$2:$A$722,"&lt;="&amp;77233327999)</f>
        <v>0</v>
      </c>
      <c r="AX142" s="65" t="n">
        <f aca="false">COUNTIFS(Данные!$B$2:$B$722,81,Данные!$C$2:$C$722,2,Данные!$A$2:$A$722,"&gt;="&amp;77233350000,Данные!$A$2:$A$722,"&lt;="&amp;77233350599)</f>
        <v>0</v>
      </c>
      <c r="AY142" s="65" t="n">
        <f aca="false">COUNTIFS(Данные!$B$2:$B$722,81,Данные!$C$2:$C$722,2,Данные!$A$2:$A$722,"&gt;="&amp;77233351000,Данные!$A$2:$A$722,"&lt;="&amp;77233351999)</f>
        <v>0</v>
      </c>
      <c r="AZ142" s="66" t="n">
        <f aca="false">COUNTIFS(Данные!$B$2:$B$722,81,Данные!$C$2:$C$722,2,Данные!$A$2:$A$722,"&gt;="&amp;7722440000,Данные!$A$2:$A$722,"&lt;="&amp;7722440999)</f>
        <v>0</v>
      </c>
      <c r="BA142" s="66" t="n">
        <f aca="false">COUNTIFS(Данные!$B$2:$B$722,81,Данные!$C$2:$C$722,2,Данные!$A$2:$A$722,"&gt;="&amp;7722442000,Данные!$A$2:$A$722,"&lt;="&amp;7722445659)</f>
        <v>0</v>
      </c>
      <c r="BB142" s="66" t="n">
        <f aca="false">COUNTIFS(Данные!$B$2:$B$722,81,Данные!$C$2:$C$722,2,Данные!$A$2:$A$722,"&gt;="&amp;7722450000,Данные!$A$2:$A$722,"&lt;="&amp;7722450199)</f>
        <v>0</v>
      </c>
      <c r="BC142" s="66" t="n">
        <f aca="false">COUNTIFS(Данные!$B$2:$B$722,81,Данные!$C$2:$C$722,2,Данные!$A$2:$A$722,"&gt;="&amp;7722451000,Данные!$A$2:$A$722,"&lt;="&amp;7722451374)</f>
        <v>0</v>
      </c>
      <c r="BD142" s="66" t="n">
        <f aca="false">COUNTIFS(Данные!$B$2:$B$722,81,Данные!$C$2:$C$722,2,Данные!$A$2:$A$722,"&gt;="&amp;7722452000,Данные!$A$2:$A$722,"&lt;="&amp;7722452299)</f>
        <v>0</v>
      </c>
      <c r="BE142" s="66" t="n">
        <f aca="false">COUNTIFS(Данные!$B$2:$B$722,81,Данные!$C$2:$C$722,2,Данные!$A$2:$A$722,"&gt;="&amp;7722453000,Данные!$A$2:$A$722,"&lt;="&amp;7722453816)</f>
        <v>0</v>
      </c>
      <c r="BF142" s="66" t="n">
        <f aca="false">COUNTIFS(Данные!$B$2:$B$722,81,Данные!$C$2:$C$722,2,Данные!$A$2:$A$722,"&gt;="&amp;7722454000,Данные!$A$2:$A$722,"&lt;="&amp;7722454099)</f>
        <v>0</v>
      </c>
      <c r="BG142" s="66" t="n">
        <f aca="false">COUNTIFS(Данные!$B$2:$B$722,81,Данные!$C$2:$C$722,2,Данные!$A$2:$A$722,"&gt;="&amp;7722458000,Данные!$A$2:$A$722,"&lt;="&amp;7722458999)</f>
        <v>0</v>
      </c>
      <c r="BH142" s="66" t="n">
        <f aca="false">COUNTIFS(Данные!$B$2:$B$722,81,Данные!$C$2:$C$722,2,Данные!$A$2:$A$722,"&gt;="&amp;7722630000,Данные!$A$2:$A$722,"&lt;="&amp;7722638549)</f>
        <v>0</v>
      </c>
      <c r="BI142" s="66" t="n">
        <f aca="false">COUNTIFS(Данные!$B$2:$B$722,81,Данные!$C$2:$C$722,2,Данные!$A$2:$A$722,"&gt;="&amp;7722639400,Данные!$A$2:$A$722,"&lt;="&amp;7722639899)</f>
        <v>0</v>
      </c>
      <c r="BJ142" s="66" t="n">
        <f aca="false">COUNTIFS(Данные!$B$2:$B$722,81,Данные!$C$2:$C$722,2,Данные!$A$2:$A$722,"&gt;="&amp;7725750000,Данные!$A$2:$A$722,"&lt;="&amp;7725750399)</f>
        <v>0</v>
      </c>
      <c r="BK142" s="66" t="n">
        <f aca="false">COUNTIFS(Данные!$B$2:$B$722,81,Данные!$C$2:$C$722,2,Данные!$A$2:$A$722,"&gt;="&amp;7723620000,Данные!$A$2:$A$722,"&lt;="&amp;7723621299)</f>
        <v>0</v>
      </c>
      <c r="BL142" s="66" t="n">
        <f aca="false">COUNTIFS(Данные!$B$2:$B$722,81,Данные!$C$2:$C$722,2,Данные!$A$2:$A$722,"&gt;="&amp;7723621600,Данные!$A$2:$A$722,"&lt;="&amp;7723623399)</f>
        <v>0</v>
      </c>
      <c r="BM142" s="66" t="n">
        <f aca="false">COUNTIFS(Данные!$B$2:$B$722,81,Данные!$C$2:$C$722,2,Данные!$A$2:$A$722,"&gt;="&amp;7725127000,Данные!$A$2:$A$722,"&lt;="&amp;7725127999)</f>
        <v>0</v>
      </c>
      <c r="BN142" s="66" t="n">
        <f aca="false">COUNTIFS(Данные!$B$2:$B$722,81,Данные!$C$2:$C$722,2,Данные!$A$2:$A$722,"&gt;="&amp;7723772000,Данные!$A$2:$A$722,"&lt;="&amp;7723724999)</f>
        <v>0</v>
      </c>
      <c r="BO142" s="65" t="n">
        <f aca="false">COUNTIFS(Данные!$B$2:$B$722,81,Данные!$C$2:$C$722,2,Данные!$A$2:$A$722,"&gt;="&amp;7723765000,Данные!$A$2:$A$722,"&lt;="&amp;7723765499)</f>
        <v>0</v>
      </c>
      <c r="BP142" s="66" t="n">
        <f aca="false">COUNTIFS(Данные!$B$2:$B$722,81,Данные!$C$2:$C$722,2,Данные!$A$2:$A$722,"&gt;="&amp;7723948000,Данные!$A$2:$A$722,"&lt;="&amp;7723948999)</f>
        <v>0</v>
      </c>
      <c r="BQ142" s="66" t="n">
        <f aca="false">COUNTIFS(Данные!$B$2:$B$722,81,Данные!$C$2:$C$722,2,Данные!$A$2:$A$722,"&gt;="&amp;7723950000,Данные!$A$2:$A$722,"&lt;="&amp;7723951099)</f>
        <v>0</v>
      </c>
      <c r="BR142" s="66" t="n">
        <f aca="false">COUNTIFS(Данные!$B$2:$B$722,81,Данные!$C$2:$C$722,2,Данные!$A$2:$A$722,"&gt;="&amp;7723020000,Данные!$A$2:$A$722,"&lt;="&amp;7723020999)</f>
        <v>0</v>
      </c>
      <c r="BS142" s="66" t="n">
        <f aca="false">COUNTIFS(Данные!$B$2:$B$722,81,Данные!$C$2:$C$722,2,Данные!$A$2:$A$722,"&gt;="&amp;7723029000,Данные!$A$2:$A$722,"&lt;="&amp;7723029999)</f>
        <v>0</v>
      </c>
      <c r="BT142" s="66" t="n">
        <f aca="false">COUNTIFS(Данные!$B$2:$B$722,81,Данные!$C$2:$C$722,2,Данные!$A$2:$A$722,"&gt;="&amp;7723055000,Данные!$A$2:$A$722,"&lt;="&amp;7723056549)</f>
        <v>0</v>
      </c>
      <c r="BU142" s="65" t="n">
        <f aca="false">COUNTIFS(Данные!$B$2:$B$722,81,Данные!$C$2:$C$722,2,Данные!$A$2:$A$722,"&gt;="&amp;7725250000,Данные!$A$2:$A$722,"&lt;="&amp;7725250499)</f>
        <v>0</v>
      </c>
      <c r="BV142" s="66" t="n">
        <f aca="false">COUNTIFS(Данные!$B$2:$B$722,81,Данные!$C$2:$C$722,2,Данные!$A$2:$A$722,"&gt;="&amp;7183841400,Данные!$A$2:$A$722,"&lt;="&amp;7183841499)</f>
        <v>0</v>
      </c>
      <c r="BW142" s="49" t="n">
        <v>300</v>
      </c>
      <c r="BX142" s="67" t="n">
        <f aca="false">F142-BW142</f>
        <v>-297</v>
      </c>
    </row>
    <row r="143" s="15" customFormat="true" ht="12" hidden="false" customHeight="true" outlineLevel="0" collapsed="false">
      <c r="A143" s="38" t="n">
        <v>82</v>
      </c>
      <c r="B143" s="39" t="s">
        <v>107</v>
      </c>
      <c r="C143" s="41" t="n">
        <v>0</v>
      </c>
      <c r="D143" s="41" t="n">
        <v>820</v>
      </c>
      <c r="E143" s="42" t="n">
        <f aca="false">SUM(F143:F145)</f>
        <v>1</v>
      </c>
      <c r="F143" s="62" t="n">
        <f aca="false">COUNTIFS(Данные!$B$2:$B$722,82,Данные!$C$2:$C$722,0)</f>
        <v>0</v>
      </c>
      <c r="G143" s="62" t="n">
        <f aca="false">COUNTIFS(Данные!$B$2:$B$722,82,Данные!$C$2:$C$722,0,Данные!$A$2:$A$722,"&gt;="&amp;77232210840,Данные!$A$2:$A$722,"&lt;="&amp;77232216999)</f>
        <v>0</v>
      </c>
      <c r="H143" s="62" t="n">
        <f aca="false">COUNTIFS(Данные!$B$2:$B$722,82,Данные!$C$2:$C$722,0,Данные!$A$2:$A$722,"&gt;="&amp;77232510512,Данные!$A$2:$A$722,"&lt;="&amp;77232519487)</f>
        <v>0</v>
      </c>
      <c r="I143" s="62" t="n">
        <f aca="false">COUNTIFS(Данные!$B$2:$B$722,82,Данные!$C$2:$C$722,0,Данные!$A$2:$A$722,"&gt;="&amp;77232524160,Данные!$A$2:$A$722,"&lt;="&amp;77232529999)</f>
        <v>0</v>
      </c>
      <c r="J143" s="62" t="n">
        <f aca="false">COUNTIFS(Данные!$B$2:$B$722,82,Данные!$C$2:$C$722,0,Данные!$A$2:$A$722,"&gt;="&amp;77232544000,Данные!$A$2:$A$722,"&lt;="&amp;77232544999)</f>
        <v>0</v>
      </c>
      <c r="K143" s="62" t="n">
        <f aca="false">COUNTIFS(Данные!$B$2:$B$722,82,Данные!$C$2:$C$722,0,Данные!$A$2:$A$722,"&gt;="&amp;77232295504,Данные!$A$2:$A$722,"&lt;="&amp;77232296999)</f>
        <v>0</v>
      </c>
      <c r="L143" s="62" t="n">
        <f aca="false">COUNTIFS(Данные!$B$2:$B$722,82,Данные!$C$2:$C$722,0,Данные!$A$2:$A$722,"&gt;="&amp;77232785000,Данные!$A$2:$A$722,"&lt;="&amp;77232789999)</f>
        <v>0</v>
      </c>
      <c r="M143" s="62" t="n">
        <f aca="false">COUNTIFS(Данные!$B$2:$B$722,82,Данные!$C$2:$C$722,0,Данные!$A$2:$A$722,"&gt;="&amp;77233150000,Данные!$A$2:$A$722,"&lt;="&amp;77233155999)</f>
        <v>0</v>
      </c>
      <c r="N143" s="62" t="n">
        <f aca="false">COUNTIFS(Данные!$B$2:$B$722,82,Данные!$C$2:$C$722,0,Данные!$A$2:$A$722,"&gt;="&amp;77233235000,Данные!$A$2:$A$722,"&lt;="&amp;77233235999)</f>
        <v>0</v>
      </c>
      <c r="O143" s="62" t="n">
        <f aca="false">COUNTIFS(Данные!$B$2:$B$722,82,Данные!$C$2:$C$722,0,Данные!$A$2:$A$722,"&gt;="&amp;77233239000,Данные!$A$2:$A$722,"&lt;="&amp;77233239999)</f>
        <v>0</v>
      </c>
      <c r="P143" s="62" t="n">
        <f aca="false">COUNTIFS(Данные!$B$2:$B$722,82,Данные!$C$2:$C$722,0,Данные!$A$2:$A$722,"&gt;="&amp;77233272000,Данные!$A$2:$A$722,"&lt;="&amp;77233272999)</f>
        <v>0</v>
      </c>
      <c r="Q143" s="62" t="n">
        <f aca="false">COUNTIFS(Данные!$B$2:$B$722,82,Данные!$C$2:$C$722,0,Данные!$A$2:$A$722,"&gt;="&amp;77233291100,Данные!$A$2:$A$722,"&lt;="&amp;77233292999)</f>
        <v>0</v>
      </c>
      <c r="R143" s="62" t="n">
        <f aca="false">COUNTIFS(Данные!$B$2:$B$722,82,Данные!$C$2:$C$722,0,Данные!$A$2:$A$722,"&gt;="&amp;77233297000,Данные!$A$2:$A$722,"&lt;="&amp;77233298399)</f>
        <v>0</v>
      </c>
      <c r="S143" s="62" t="n">
        <f aca="false">COUNTIFS(Данные!$B$2:$B$722,82,Данные!$C$2:$C$722,0,Данные!$A$2:$A$722,"&gt;="&amp;77235124000,Данные!$A$2:$A$722,"&lt;="&amp;77235128499)</f>
        <v>0</v>
      </c>
      <c r="T143" s="62" t="n">
        <f aca="false">COUNTIFS(Данные!$B$2:$B$722,82,Данные!$C$2:$C$722,0,Данные!$A$2:$A$722,"&gt;="&amp;77235320000,Данные!$A$2:$A$722,"&lt;="&amp;77235320999)</f>
        <v>0</v>
      </c>
      <c r="U143" s="62" t="n">
        <f aca="false">COUNTIFS(Данные!$B$2:$B$722,82,Данные!$C$2:$C$722,0,Данные!$A$2:$A$722,"&gt;="&amp;77233620000,Данные!$A$2:$A$722,"&lt;="&amp;77233623339)</f>
        <v>0</v>
      </c>
      <c r="V143" s="62" t="n">
        <f aca="false">COUNTIFS(Данные!$B$2:$B$722,82,Данные!$C$2:$C$722,0,Данные!$A$2:$A$722,"&gt;="&amp;77233630000,Данные!$A$2:$A$722,"&lt;="&amp;77233630999)</f>
        <v>0</v>
      </c>
      <c r="W143" s="62" t="n">
        <f aca="false">COUNTIFS(Данные!$B$2:$B$722,82,Данные!$C$2:$C$722,0,Данные!$A$2:$A$722,"&gt;="&amp;77233637000,Данные!$A$2:$A$722,"&lt;="&amp;77233637599)</f>
        <v>0</v>
      </c>
      <c r="X143" s="62" t="n">
        <f aca="false">COUNTIFS(Данные!$B$2:$B$722,82,Данные!$C$2:$C$722,0,Данные!$A$2:$A$722,"&gt;="&amp;77233550000,Данные!$A$2:$A$722,"&lt;="&amp;77233550999)</f>
        <v>0</v>
      </c>
      <c r="Y143" s="62" t="n">
        <f aca="false">COUNTIFS(Данные!$B$2:$B$722,82,Данные!$C$2:$C$722,0,Данные!$A$2:$A$722,"&gt;="&amp;77233554000,Данные!$A$2:$A$722,"&lt;="&amp;77233554999)</f>
        <v>0</v>
      </c>
      <c r="Z143" s="62" t="n">
        <f aca="false">COUNTIFS(Данные!$B$2:$B$722,82,Данные!$C$2:$C$722,0,Данные!$A$2:$A$722,"&gt;="&amp;77233555000,Данные!$A$2:$A$722,"&lt;="&amp;77233556999)</f>
        <v>0</v>
      </c>
      <c r="AA143" s="62" t="n">
        <f aca="false">COUNTIFS(Данные!$B$2:$B$722,82,Данные!$C$2:$C$722,0,Данные!$A$2:$A$722,"&gt;="&amp;77233726000,Данные!$A$2:$A$722,"&lt;="&amp;77233726999)</f>
        <v>0</v>
      </c>
      <c r="AB143" s="62" t="n">
        <f aca="false">COUNTIFS(Данные!$B$2:$B$722,82,Данные!$C$2:$C$722,0,Данные!$A$2:$A$722,"&gt;="&amp;77233820000,Данные!$A$2:$A$722,"&lt;="&amp;77233820999)</f>
        <v>0</v>
      </c>
      <c r="AC143" s="62" t="n">
        <f aca="false">COUNTIFS(Данные!$B$2:$B$722,82,Данные!$C$2:$C$722,0,Данные!$A$2:$A$722,"&gt;="&amp;77233850000,Данные!$A$2:$A$722,"&lt;="&amp;77233850999)</f>
        <v>0</v>
      </c>
      <c r="AD143" s="62" t="n">
        <f aca="false">COUNTIFS(Данные!$B$2:$B$722,82,Данные!$C$2:$C$722,0,Данные!$A$2:$A$722,"&gt;="&amp;77233420000,Данные!$A$2:$A$722,"&lt;="&amp;77233420999)</f>
        <v>0</v>
      </c>
      <c r="AE143" s="62" t="n">
        <f aca="false">COUNTIFS(Данные!$B$2:$B$722,82,Данные!$C$2:$C$722,0,Данные!$A$2:$A$722,"&gt;="&amp;77234740000,Данные!$A$2:$A$722,"&lt;="&amp;77234742999)</f>
        <v>0</v>
      </c>
      <c r="AF143" s="62" t="n">
        <f aca="false">COUNTIFS(Данные!$B$2:$B$722,82,Данные!$C$2:$C$722,0,Данные!$A$2:$A$722,"&gt;="&amp;77234767000,Данные!$A$2:$A$722,"&lt;="&amp;77234767999)</f>
        <v>0</v>
      </c>
      <c r="AG143" s="62" t="n">
        <f aca="false">COUNTIFS(Данные!$B$2:$B$722,82,Данные!$C$2:$C$722,0,Данные!$A$2:$A$722,"&gt;="&amp;77234120000,Данные!$A$2:$A$722,"&lt;="&amp;77234120999)</f>
        <v>0</v>
      </c>
      <c r="AH143" s="62" t="n">
        <f aca="false">COUNTIFS(Данные!$B$2:$B$722,82,Данные!$C$2:$C$722,0,Данные!$A$2:$A$722,"&gt;="&amp;77234127000,Данные!$A$2:$A$722,"&lt;="&amp;77234127999)</f>
        <v>0</v>
      </c>
      <c r="AI143" s="62" t="n">
        <f aca="false">COUNTIFS(Данные!$B$2:$B$722,82,Данные!$C$2:$C$722,0,Данные!$A$2:$A$722,"&gt;="&amp;77234220000,Данные!$A$2:$A$722,"&lt;="&amp;77234220999)</f>
        <v>0</v>
      </c>
      <c r="AJ143" s="62" t="n">
        <f aca="false">COUNTIFS(Данные!$B$2:$B$722,82,Данные!$C$2:$C$722,0,Данные!$A$2:$A$722,"&gt;="&amp;77234250000,Данные!$A$2:$A$722,"&lt;="&amp;77234250999)</f>
        <v>0</v>
      </c>
      <c r="AK143" s="62" t="n">
        <f aca="false">COUNTIFS(Данные!$B$2:$B$722,82,Данные!$C$2:$C$722,0,Данные!$A$2:$A$722,"&gt;="&amp;77233922950,Данные!$A$2:$A$722,"&lt;="&amp;77233924999)</f>
        <v>0</v>
      </c>
      <c r="AL143" s="62" t="n">
        <f aca="false">COUNTIFS(Данные!$B$2:$B$722,82,Данные!$C$2:$C$722,0,Данные!$A$2:$A$722,"&gt;="&amp;77234320000,Данные!$A$2:$A$722,"&lt;="&amp;77234320999)</f>
        <v>0</v>
      </c>
      <c r="AM143" s="62" t="n">
        <f aca="false">COUNTIFS(Данные!$B$2:$B$722,82,Данные!$C$2:$C$722,0,Данные!$A$2:$A$722,"&gt;="&amp;77234350000,Данные!$A$2:$A$722,"&lt;="&amp;77234350999)</f>
        <v>0</v>
      </c>
      <c r="AN143" s="62" t="n">
        <f aca="false">COUNTIFS(Данные!$B$2:$B$722,82,Данные!$C$2:$C$722,0,Данные!$A$2:$A$722,"&gt;="&amp;77234020000,Данные!$A$2:$A$722,"&lt;="&amp;77234020999)</f>
        <v>0</v>
      </c>
      <c r="AO143" s="62" t="n">
        <f aca="false">COUNTIFS(Данные!$B$2:$B$722,82,Данные!$C$2:$C$722,0,Данные!$A$2:$A$722,"&gt;="&amp;77234029000,Данные!$A$2:$A$722,"&lt;="&amp;77234029999)</f>
        <v>0</v>
      </c>
      <c r="AP143" s="62" t="n">
        <f aca="false">COUNTIFS(Данные!$B$2:$B$722,82,Данные!$C$2:$C$722,0,Данные!$A$2:$A$722,"&gt;="&amp;77234050000,Данные!$A$2:$A$722,"&lt;="&amp;77234050999)</f>
        <v>0</v>
      </c>
      <c r="AQ143" s="62" t="n">
        <f aca="false">COUNTIFS(Данные!$B$2:$B$722,82,Данные!$C$2:$C$722,0,Данные!$A$2:$A$722,"&gt;="&amp;77234427000,Данные!$A$2:$A$722,"&lt;="&amp;77234428999)</f>
        <v>0</v>
      </c>
      <c r="AR143" s="62" t="n">
        <f aca="false">COUNTIFS(Данные!$B$2:$B$722,82,Данные!$C$2:$C$722,0,Данные!$A$2:$A$722,"&gt;="&amp;77234450000,Данные!$A$2:$A$722,"&lt;="&amp;77234450999)</f>
        <v>0</v>
      </c>
      <c r="AS143" s="62" t="n">
        <f aca="false">COUNTIFS(Данные!$B$2:$B$722,82,Данные!$C$2:$C$722,0,Данные!$A$2:$A$722,"&gt;="&amp;77234620000,Данные!$A$2:$A$722,"&lt;="&amp;77234620999)</f>
        <v>0</v>
      </c>
      <c r="AT143" s="62" t="n">
        <f aca="false">COUNTIFS(Данные!$B$2:$B$722,82,Данные!$C$2:$C$722,0,Данные!$A$2:$A$722,"&gt;="&amp;77234650000,Данные!$A$2:$A$722,"&lt;="&amp;77234650999)</f>
        <v>0</v>
      </c>
      <c r="AU143" s="62" t="n">
        <f aca="false">COUNTIFS(Данные!$B$2:$B$722,82,Данные!$C$2:$C$722,0,Данные!$A$2:$A$722,"&gt;="&amp;77234820000,Данные!$A$2:$A$722,"&lt;="&amp;77234820999)</f>
        <v>0</v>
      </c>
      <c r="AV143" s="62" t="n">
        <f aca="false">COUNTIFS(Данные!$B$2:$B$722,82,Данные!$C$2:$C$722,0,Данные!$A$2:$A$722,"&gt;="&amp;77234850000,Данные!$A$2:$A$722,"&lt;="&amp;77234850999)</f>
        <v>0</v>
      </c>
      <c r="AW143" s="62" t="n">
        <f aca="false">COUNTIFS(Данные!$B$2:$B$722,82,Данные!$C$2:$C$722,0,Данные!$A$2:$A$722,"&gt;="&amp;77233327000,Данные!$A$2:$A$722,"&lt;="&amp;77233327999)</f>
        <v>0</v>
      </c>
      <c r="AX143" s="62" t="n">
        <f aca="false">COUNTIFS(Данные!$B$2:$B$722,82,Данные!$C$2:$C$722,0,Данные!$A$2:$A$722,"&gt;="&amp;77233350000,Данные!$A$2:$A$722,"&lt;="&amp;77233350599)</f>
        <v>0</v>
      </c>
      <c r="AY143" s="62" t="n">
        <f aca="false">COUNTIFS(Данные!$B$2:$B$722,82,Данные!$C$2:$C$722,0,Данные!$A$2:$A$722,"&gt;="&amp;77233351000,Данные!$A$2:$A$722,"&lt;="&amp;77233351999)</f>
        <v>0</v>
      </c>
      <c r="AZ143" s="62" t="n">
        <f aca="false">COUNTIFS(Данные!$B$2:$B$722,82,Данные!$C$2:$C$722,0,Данные!$A$2:$A$722,"&gt;="&amp;7722440000,Данные!$A$2:$A$722,"&lt;="&amp;7722440999)</f>
        <v>0</v>
      </c>
      <c r="BA143" s="63" t="n">
        <f aca="false">COUNTIFS(Данные!$B$2:$B$722,82,Данные!$C$2:$C$722,0,Данные!$A$2:$A$722,"&gt;="&amp;7722442000,Данные!$A$2:$A$722,"&lt;="&amp;7722445659)</f>
        <v>0</v>
      </c>
      <c r="BB143" s="63" t="n">
        <f aca="false">COUNTIFS(Данные!$B$2:$B$722,82,Данные!$C$2:$C$722,0,Данные!$A$2:$A$722,"&gt;="&amp;7722450000,Данные!$A$2:$A$722,"&lt;="&amp;7722450199)</f>
        <v>0</v>
      </c>
      <c r="BC143" s="63" t="n">
        <f aca="false">COUNTIFS(Данные!$B$2:$B$722,82,Данные!$C$2:$C$722,0,Данные!$A$2:$A$722,"&gt;="&amp;7722451000,Данные!$A$2:$A$722,"&lt;="&amp;7722451374)</f>
        <v>0</v>
      </c>
      <c r="BD143" s="63" t="n">
        <f aca="false">COUNTIFS(Данные!$B$2:$B$722,82,Данные!$C$2:$C$722,0,Данные!$A$2:$A$722,"&gt;="&amp;7722452000,Данные!$A$2:$A$722,"&lt;="&amp;7722452299)</f>
        <v>0</v>
      </c>
      <c r="BE143" s="63" t="n">
        <f aca="false">COUNTIFS(Данные!$B$2:$B$722,82,Данные!$C$2:$C$722,0,Данные!$A$2:$A$722,"&gt;="&amp;7722453000,Данные!$A$2:$A$722,"&lt;="&amp;7722453816)</f>
        <v>0</v>
      </c>
      <c r="BF143" s="63" t="n">
        <f aca="false">COUNTIFS(Данные!$B$2:$B$722,82,Данные!$C$2:$C$722,0,Данные!$A$2:$A$722,"&gt;="&amp;7722454000,Данные!$A$2:$A$722,"&lt;="&amp;7722454099)</f>
        <v>0</v>
      </c>
      <c r="BG143" s="63" t="n">
        <f aca="false">COUNTIFS(Данные!$B$2:$B$722,82,Данные!$C$2:$C$722,0,Данные!$A$2:$A$722,"&gt;="&amp;7722458000,Данные!$A$2:$A$722,"&lt;="&amp;7722458999)</f>
        <v>0</v>
      </c>
      <c r="BH143" s="63" t="n">
        <f aca="false">COUNTIFS(Данные!$B$2:$B$722,82,Данные!$C$2:$C$722,0,Данные!$A$2:$A$722,"&gt;="&amp;7722630000,Данные!$A$2:$A$722,"&lt;="&amp;7722638549)</f>
        <v>0</v>
      </c>
      <c r="BI143" s="63" t="n">
        <f aca="false">COUNTIFS(Данные!$B$2:$B$722,82,Данные!$C$2:$C$722,0,Данные!$A$2:$A$722,"&gt;="&amp;7722639400,Данные!$A$2:$A$722,"&lt;="&amp;7722639899)</f>
        <v>0</v>
      </c>
      <c r="BJ143" s="63" t="n">
        <f aca="false">COUNTIFS(Данные!$B$2:$B$722,82,Данные!$C$2:$C$722,0,Данные!$A$2:$A$722,"&gt;="&amp;7725750000,Данные!$A$2:$A$722,"&lt;="&amp;7725750399)</f>
        <v>0</v>
      </c>
      <c r="BK143" s="63" t="n">
        <f aca="false">COUNTIFS(Данные!$B$2:$B$722,82,Данные!$C$2:$C$722,0,Данные!$A$2:$A$722,"&gt;="&amp;7723620000,Данные!$A$2:$A$722,"&lt;="&amp;7723621299)</f>
        <v>0</v>
      </c>
      <c r="BL143" s="63" t="n">
        <f aca="false">COUNTIFS(Данные!$B$2:$B$722,82,Данные!$C$2:$C$722,0,Данные!$A$2:$A$722,"&gt;="&amp;7723621600,Данные!$A$2:$A$722,"&lt;="&amp;7723623399)</f>
        <v>0</v>
      </c>
      <c r="BM143" s="63" t="n">
        <f aca="false">COUNTIFS(Данные!$B$2:$B$722,82,Данные!$C$2:$C$722,0,Данные!$A$2:$A$722,"&gt;="&amp;7725127000,Данные!$A$2:$A$722,"&lt;="&amp;7725127999)</f>
        <v>0</v>
      </c>
      <c r="BN143" s="63" t="n">
        <f aca="false">COUNTIFS(Данные!$B$2:$B$722,82,Данные!$C$2:$C$722,0,Данные!$A$2:$A$722,"&gt;="&amp;7723772000,Данные!$A$2:$A$722,"&lt;="&amp;7723724999)</f>
        <v>0</v>
      </c>
      <c r="BO143" s="62" t="n">
        <f aca="false">COUNTIFS(Данные!$B$2:$B$722,82,Данные!$C$2:$C$722,0,Данные!$A$2:$A$722,"&gt;="&amp;7723765000,Данные!$A$2:$A$722,"&lt;="&amp;7723765499)</f>
        <v>0</v>
      </c>
      <c r="BP143" s="63" t="n">
        <f aca="false">COUNTIFS(Данные!$B$2:$B$722,82,Данные!$C$2:$C$722,0,Данные!$A$2:$A$722,"&gt;="&amp;7723948000,Данные!$A$2:$A$722,"&lt;="&amp;7723948999)</f>
        <v>0</v>
      </c>
      <c r="BQ143" s="63" t="n">
        <f aca="false">COUNTIFS(Данные!$B$2:$B$722,82,Данные!$C$2:$C$722,0,Данные!$A$2:$A$722,"&gt;="&amp;7723950000,Данные!$A$2:$A$722,"&lt;="&amp;7723951099)</f>
        <v>0</v>
      </c>
      <c r="BR143" s="63" t="n">
        <f aca="false">COUNTIFS(Данные!$B$2:$B$722,82,Данные!$C$2:$C$722,0,Данные!$A$2:$A$722,"&gt;="&amp;7723020000,Данные!$A$2:$A$722,"&lt;="&amp;7723020999)</f>
        <v>0</v>
      </c>
      <c r="BS143" s="63" t="n">
        <f aca="false">COUNTIFS(Данные!$B$2:$B$722,82,Данные!$C$2:$C$722,0,Данные!$A$2:$A$722,"&gt;="&amp;7723029000,Данные!$A$2:$A$722,"&lt;="&amp;7723029999)</f>
        <v>0</v>
      </c>
      <c r="BT143" s="63" t="n">
        <f aca="false">COUNTIFS(Данные!$B$2:$B$722,82,Данные!$C$2:$C$722,0,Данные!$A$2:$A$722,"&gt;="&amp;7723055000,Данные!$A$2:$A$722,"&lt;="&amp;7723056549)</f>
        <v>0</v>
      </c>
      <c r="BU143" s="62" t="n">
        <f aca="false">COUNTIFS(Данные!$B$2:$B$722,82,Данные!$C$2:$C$722,0,Данные!$A$2:$A$722,"&gt;="&amp;7725250000,Данные!$A$2:$A$722,"&lt;="&amp;7725250499)</f>
        <v>0</v>
      </c>
      <c r="BV143" s="63" t="n">
        <f aca="false">COUNTIFS(Данные!$B$2:$B$722,82,Данные!$C$2:$C$722,0,Данные!$A$2:$A$722,"&gt;="&amp;7183841400,Данные!$A$2:$A$722,"&lt;="&amp;7183841499)</f>
        <v>0</v>
      </c>
      <c r="BW143" s="40" t="n">
        <v>300</v>
      </c>
      <c r="BX143" s="64" t="n">
        <f aca="false">F143-BW143</f>
        <v>-300</v>
      </c>
    </row>
    <row r="144" s="15" customFormat="true" ht="12" hidden="false" customHeight="true" outlineLevel="0" collapsed="false">
      <c r="A144" s="38"/>
      <c r="B144" s="39"/>
      <c r="C144" s="41" t="n">
        <v>1</v>
      </c>
      <c r="D144" s="41" t="n">
        <v>821</v>
      </c>
      <c r="E144" s="42"/>
      <c r="F144" s="62" t="n">
        <f aca="false">COUNTIFS(Данные!$B$2:$B$722,82,Данные!$C$2:$C$722,1)</f>
        <v>1</v>
      </c>
      <c r="G144" s="62" t="n">
        <f aca="false">COUNTIFS(Данные!$B$2:$B$722,82,Данные!$C$2:$C$722,1,Данные!$A$2:$A$722,"&gt;="&amp;77232210840,Данные!$A$2:$A$722,"&lt;="&amp;77232216999)</f>
        <v>0</v>
      </c>
      <c r="H144" s="62" t="n">
        <f aca="false">COUNTIFS(Данные!$B$2:$B$722,82,Данные!$C$2:$C$722,1,Данные!$A$2:$A$722,"&gt;="&amp;77232510512,Данные!$A$2:$A$722,"&lt;="&amp;77232519487)</f>
        <v>0</v>
      </c>
      <c r="I144" s="62" t="n">
        <f aca="false">COUNTIFS(Данные!$B$2:$B$722,82,Данные!$C$2:$C$722,1,Данные!$A$2:$A$722,"&gt;="&amp;77232524160,Данные!$A$2:$A$722,"&lt;="&amp;77232529999)</f>
        <v>0</v>
      </c>
      <c r="J144" s="62" t="n">
        <f aca="false">COUNTIFS(Данные!$B$2:$B$722,82,Данные!$C$2:$C$722,1,Данные!$A$2:$A$722,"&gt;="&amp;77232544000,Данные!$A$2:$A$722,"&lt;="&amp;77232544999)</f>
        <v>0</v>
      </c>
      <c r="K144" s="62" t="n">
        <f aca="false">COUNTIFS(Данные!$B$2:$B$722,82,Данные!$C$2:$C$722,1,Данные!$A$2:$A$722,"&gt;="&amp;77232295504,Данные!$A$2:$A$722,"&lt;="&amp;77232296999)</f>
        <v>0</v>
      </c>
      <c r="L144" s="62" t="n">
        <f aca="false">COUNTIFS(Данные!$B$2:$B$722,82,Данные!$C$2:$C$722,1,Данные!$A$2:$A$722,"&gt;="&amp;77232785000,Данные!$A$2:$A$722,"&lt;="&amp;77232789999)</f>
        <v>0</v>
      </c>
      <c r="M144" s="62" t="n">
        <f aca="false">COUNTIFS(Данные!$B$2:$B$722,82,Данные!$C$2:$C$722,1,Данные!$A$2:$A$722,"&gt;="&amp;77233150000,Данные!$A$2:$A$722,"&lt;="&amp;77233155999)</f>
        <v>0</v>
      </c>
      <c r="N144" s="62" t="n">
        <f aca="false">COUNTIFS(Данные!$B$2:$B$722,82,Данные!$C$2:$C$722,1,Данные!$A$2:$A$722,"&gt;="&amp;77233235000,Данные!$A$2:$A$722,"&lt;="&amp;77233235999)</f>
        <v>0</v>
      </c>
      <c r="O144" s="62" t="n">
        <f aca="false">COUNTIFS(Данные!$B$2:$B$722,82,Данные!$C$2:$C$722,1,Данные!$A$2:$A$722,"&gt;="&amp;77233239000,Данные!$A$2:$A$722,"&lt;="&amp;77233239999)</f>
        <v>0</v>
      </c>
      <c r="P144" s="62" t="n">
        <f aca="false">COUNTIFS(Данные!$B$2:$B$722,82,Данные!$C$2:$C$722,1,Данные!$A$2:$A$722,"&gt;="&amp;77233272000,Данные!$A$2:$A$722,"&lt;="&amp;77233272999)</f>
        <v>0</v>
      </c>
      <c r="Q144" s="62" t="n">
        <f aca="false">COUNTIFS(Данные!$B$2:$B$722,82,Данные!$C$2:$C$722,1,Данные!$A$2:$A$722,"&gt;="&amp;77233291100,Данные!$A$2:$A$722,"&lt;="&amp;77233292999)</f>
        <v>0</v>
      </c>
      <c r="R144" s="62" t="n">
        <f aca="false">COUNTIFS(Данные!$B$2:$B$722,82,Данные!$C$2:$C$722,1,Данные!$A$2:$A$722,"&gt;="&amp;77233297000,Данные!$A$2:$A$722,"&lt;="&amp;77233298399)</f>
        <v>0</v>
      </c>
      <c r="S144" s="62" t="n">
        <f aca="false">COUNTIFS(Данные!$B$2:$B$722,82,Данные!$C$2:$C$722,1,Данные!$A$2:$A$722,"&gt;="&amp;77235124000,Данные!$A$2:$A$722,"&lt;="&amp;77235128499)</f>
        <v>0</v>
      </c>
      <c r="T144" s="62" t="n">
        <f aca="false">COUNTIFS(Данные!$B$2:$B$722,82,Данные!$C$2:$C$722,1,Данные!$A$2:$A$722,"&gt;="&amp;77235320000,Данные!$A$2:$A$722,"&lt;="&amp;77235320999)</f>
        <v>0</v>
      </c>
      <c r="U144" s="62" t="n">
        <f aca="false">COUNTIFS(Данные!$B$2:$B$722,82,Данные!$C$2:$C$722,1,Данные!$A$2:$A$722,"&gt;="&amp;77233620000,Данные!$A$2:$A$722,"&lt;="&amp;77233623339)</f>
        <v>0</v>
      </c>
      <c r="V144" s="62" t="n">
        <f aca="false">COUNTIFS(Данные!$B$2:$B$722,82,Данные!$C$2:$C$722,1,Данные!$A$2:$A$722,"&gt;="&amp;77233630000,Данные!$A$2:$A$722,"&lt;="&amp;77233630999)</f>
        <v>0</v>
      </c>
      <c r="W144" s="62" t="n">
        <f aca="false">COUNTIFS(Данные!$B$2:$B$722,82,Данные!$C$2:$C$722,1,Данные!$A$2:$A$722,"&gt;="&amp;77233637000,Данные!$A$2:$A$722,"&lt;="&amp;77233637599)</f>
        <v>0</v>
      </c>
      <c r="X144" s="62" t="n">
        <f aca="false">COUNTIFS(Данные!$B$2:$B$722,82,Данные!$C$2:$C$722,1,Данные!$A$2:$A$722,"&gt;="&amp;77233550000,Данные!$A$2:$A$722,"&lt;="&amp;77233550999)</f>
        <v>0</v>
      </c>
      <c r="Y144" s="62" t="n">
        <f aca="false">COUNTIFS(Данные!$B$2:$B$722,82,Данные!$C$2:$C$722,1,Данные!$A$2:$A$722,"&gt;="&amp;77233554000,Данные!$A$2:$A$722,"&lt;="&amp;77233554999)</f>
        <v>0</v>
      </c>
      <c r="Z144" s="62" t="n">
        <f aca="false">COUNTIFS(Данные!$B$2:$B$722,82,Данные!$C$2:$C$722,1,Данные!$A$2:$A$722,"&gt;="&amp;77233555000,Данные!$A$2:$A$722,"&lt;="&amp;77233556999)</f>
        <v>0</v>
      </c>
      <c r="AA144" s="62" t="n">
        <f aca="false">COUNTIFS(Данные!$B$2:$B$722,82,Данные!$C$2:$C$722,1,Данные!$A$2:$A$722,"&gt;="&amp;77233726000,Данные!$A$2:$A$722,"&lt;="&amp;77233726999)</f>
        <v>0</v>
      </c>
      <c r="AB144" s="62" t="n">
        <f aca="false">COUNTIFS(Данные!$B$2:$B$722,82,Данные!$C$2:$C$722,1,Данные!$A$2:$A$722,"&gt;="&amp;77233820000,Данные!$A$2:$A$722,"&lt;="&amp;77233820999)</f>
        <v>0</v>
      </c>
      <c r="AC144" s="62" t="n">
        <f aca="false">COUNTIFS(Данные!$B$2:$B$722,82,Данные!$C$2:$C$722,1,Данные!$A$2:$A$722,"&gt;="&amp;77233850000,Данные!$A$2:$A$722,"&lt;="&amp;77233850999)</f>
        <v>0</v>
      </c>
      <c r="AD144" s="62" t="n">
        <f aca="false">COUNTIFS(Данные!$B$2:$B$722,82,Данные!$C$2:$C$722,1,Данные!$A$2:$A$722,"&gt;="&amp;77233420000,Данные!$A$2:$A$722,"&lt;="&amp;77233420999)</f>
        <v>0</v>
      </c>
      <c r="AE144" s="62" t="n">
        <f aca="false">COUNTIFS(Данные!$B$2:$B$722,82,Данные!$C$2:$C$722,1,Данные!$A$2:$A$722,"&gt;="&amp;77234740000,Данные!$A$2:$A$722,"&lt;="&amp;77234742999)</f>
        <v>0</v>
      </c>
      <c r="AF144" s="62" t="n">
        <f aca="false">COUNTIFS(Данные!$B$2:$B$722,82,Данные!$C$2:$C$722,1,Данные!$A$2:$A$722,"&gt;="&amp;77234767000,Данные!$A$2:$A$722,"&lt;="&amp;77234767999)</f>
        <v>0</v>
      </c>
      <c r="AG144" s="62" t="n">
        <f aca="false">COUNTIFS(Данные!$B$2:$B$722,82,Данные!$C$2:$C$722,1,Данные!$A$2:$A$722,"&gt;="&amp;77234120000,Данные!$A$2:$A$722,"&lt;="&amp;77234120999)</f>
        <v>0</v>
      </c>
      <c r="AH144" s="62" t="n">
        <f aca="false">COUNTIFS(Данные!$B$2:$B$722,82,Данные!$C$2:$C$722,1,Данные!$A$2:$A$722,"&gt;="&amp;77234127000,Данные!$A$2:$A$722,"&lt;="&amp;77234127999)</f>
        <v>0</v>
      </c>
      <c r="AI144" s="62" t="n">
        <f aca="false">COUNTIFS(Данные!$B$2:$B$722,82,Данные!$C$2:$C$722,1,Данные!$A$2:$A$722,"&gt;="&amp;77234220000,Данные!$A$2:$A$722,"&lt;="&amp;77234220999)</f>
        <v>0</v>
      </c>
      <c r="AJ144" s="62" t="n">
        <f aca="false">COUNTIFS(Данные!$B$2:$B$722,82,Данные!$C$2:$C$722,1,Данные!$A$2:$A$722,"&gt;="&amp;77234250000,Данные!$A$2:$A$722,"&lt;="&amp;77234250999)</f>
        <v>0</v>
      </c>
      <c r="AK144" s="62" t="n">
        <f aca="false">COUNTIFS(Данные!$B$2:$B$722,82,Данные!$C$2:$C$722,1,Данные!$A$2:$A$722,"&gt;="&amp;77233922950,Данные!$A$2:$A$722,"&lt;="&amp;77233924999)</f>
        <v>0</v>
      </c>
      <c r="AL144" s="62" t="n">
        <f aca="false">COUNTIFS(Данные!$B$2:$B$722,82,Данные!$C$2:$C$722,1,Данные!$A$2:$A$722,"&gt;="&amp;77234320000,Данные!$A$2:$A$722,"&lt;="&amp;77234320999)</f>
        <v>0</v>
      </c>
      <c r="AM144" s="62" t="n">
        <f aca="false">COUNTIFS(Данные!$B$2:$B$722,82,Данные!$C$2:$C$722,1,Данные!$A$2:$A$722,"&gt;="&amp;77234350000,Данные!$A$2:$A$722,"&lt;="&amp;77234350999)</f>
        <v>0</v>
      </c>
      <c r="AN144" s="62" t="n">
        <f aca="false">COUNTIFS(Данные!$B$2:$B$722,82,Данные!$C$2:$C$722,1,Данные!$A$2:$A$722,"&gt;="&amp;77234020000,Данные!$A$2:$A$722,"&lt;="&amp;77234020999)</f>
        <v>0</v>
      </c>
      <c r="AO144" s="62" t="n">
        <f aca="false">COUNTIFS(Данные!$B$2:$B$722,82,Данные!$C$2:$C$722,1,Данные!$A$2:$A$722,"&gt;="&amp;77234029000,Данные!$A$2:$A$722,"&lt;="&amp;77234029999)</f>
        <v>0</v>
      </c>
      <c r="AP144" s="62" t="n">
        <f aca="false">COUNTIFS(Данные!$B$2:$B$722,82,Данные!$C$2:$C$722,1,Данные!$A$2:$A$722,"&gt;="&amp;77234050000,Данные!$A$2:$A$722,"&lt;="&amp;77234050999)</f>
        <v>0</v>
      </c>
      <c r="AQ144" s="62" t="n">
        <f aca="false">COUNTIFS(Данные!$B$2:$B$722,82,Данные!$C$2:$C$722,1,Данные!$A$2:$A$722,"&gt;="&amp;77234427000,Данные!$A$2:$A$722,"&lt;="&amp;77234428999)</f>
        <v>0</v>
      </c>
      <c r="AR144" s="62" t="n">
        <f aca="false">COUNTIFS(Данные!$B$2:$B$722,82,Данные!$C$2:$C$722,1,Данные!$A$2:$A$722,"&gt;="&amp;77234450000,Данные!$A$2:$A$722,"&lt;="&amp;77234450999)</f>
        <v>0</v>
      </c>
      <c r="AS144" s="62" t="n">
        <f aca="false">COUNTIFS(Данные!$B$2:$B$722,82,Данные!$C$2:$C$722,1,Данные!$A$2:$A$722,"&gt;="&amp;77234620000,Данные!$A$2:$A$722,"&lt;="&amp;77234620999)</f>
        <v>0</v>
      </c>
      <c r="AT144" s="62" t="n">
        <f aca="false">COUNTIFS(Данные!$B$2:$B$722,82,Данные!$C$2:$C$722,1,Данные!$A$2:$A$722,"&gt;="&amp;77234650000,Данные!$A$2:$A$722,"&lt;="&amp;77234650999)</f>
        <v>0</v>
      </c>
      <c r="AU144" s="62" t="n">
        <f aca="false">COUNTIFS(Данные!$B$2:$B$722,82,Данные!$C$2:$C$722,1,Данные!$A$2:$A$722,"&gt;="&amp;77234820000,Данные!$A$2:$A$722,"&lt;="&amp;77234820999)</f>
        <v>1</v>
      </c>
      <c r="AV144" s="62" t="n">
        <f aca="false">COUNTIFS(Данные!$B$2:$B$722,82,Данные!$C$2:$C$722,1,Данные!$A$2:$A$722,"&gt;="&amp;77234850000,Данные!$A$2:$A$722,"&lt;="&amp;77234850999)</f>
        <v>0</v>
      </c>
      <c r="AW144" s="62" t="n">
        <f aca="false">COUNTIFS(Данные!$B$2:$B$722,82,Данные!$C$2:$C$722,1,Данные!$A$2:$A$722,"&gt;="&amp;77233327000,Данные!$A$2:$A$722,"&lt;="&amp;77233327999)</f>
        <v>0</v>
      </c>
      <c r="AX144" s="62" t="n">
        <f aca="false">COUNTIFS(Данные!$B$2:$B$722,82,Данные!$C$2:$C$722,1,Данные!$A$2:$A$722,"&gt;="&amp;77233350000,Данные!$A$2:$A$722,"&lt;="&amp;77233350599)</f>
        <v>0</v>
      </c>
      <c r="AY144" s="62" t="n">
        <f aca="false">COUNTIFS(Данные!$B$2:$B$722,82,Данные!$C$2:$C$722,1,Данные!$A$2:$A$722,"&gt;="&amp;77233351000,Данные!$A$2:$A$722,"&lt;="&amp;77233351999)</f>
        <v>0</v>
      </c>
      <c r="AZ144" s="63" t="n">
        <f aca="false">COUNTIFS(Данные!$B$2:$B$722,82,Данные!$C$2:$C$722,1,Данные!$A$2:$A$722,"&gt;="&amp;7722440000,Данные!$A$2:$A$722,"&lt;="&amp;7722440999)</f>
        <v>0</v>
      </c>
      <c r="BA144" s="63" t="n">
        <f aca="false">COUNTIFS(Данные!$B$2:$B$722,82,Данные!$C$2:$C$722,1,Данные!$A$2:$A$722,"&gt;="&amp;7722442000,Данные!$A$2:$A$722,"&lt;="&amp;7722445659)</f>
        <v>0</v>
      </c>
      <c r="BB144" s="63" t="n">
        <f aca="false">COUNTIFS(Данные!$B$2:$B$722,82,Данные!$C$2:$C$722,1,Данные!$A$2:$A$722,"&gt;="&amp;7722450000,Данные!$A$2:$A$722,"&lt;="&amp;7722450199)</f>
        <v>0</v>
      </c>
      <c r="BC144" s="63" t="n">
        <f aca="false">COUNTIFS(Данные!$B$2:$B$722,82,Данные!$C$2:$C$722,1,Данные!$A$2:$A$722,"&gt;="&amp;7722451000,Данные!$A$2:$A$722,"&lt;="&amp;7722451374)</f>
        <v>0</v>
      </c>
      <c r="BD144" s="63" t="n">
        <f aca="false">COUNTIFS(Данные!$B$2:$B$722,82,Данные!$C$2:$C$722,1,Данные!$A$2:$A$722,"&gt;="&amp;7722452000,Данные!$A$2:$A$722,"&lt;="&amp;7722452299)</f>
        <v>0</v>
      </c>
      <c r="BE144" s="63" t="n">
        <f aca="false">COUNTIFS(Данные!$B$2:$B$722,82,Данные!$C$2:$C$722,1,Данные!$A$2:$A$722,"&gt;="&amp;7722453000,Данные!$A$2:$A$722,"&lt;="&amp;7722453816)</f>
        <v>0</v>
      </c>
      <c r="BF144" s="63" t="n">
        <f aca="false">COUNTIFS(Данные!$B$2:$B$722,82,Данные!$C$2:$C$722,1,Данные!$A$2:$A$722,"&gt;="&amp;7722454000,Данные!$A$2:$A$722,"&lt;="&amp;7722454099)</f>
        <v>0</v>
      </c>
      <c r="BG144" s="63" t="n">
        <f aca="false">COUNTIFS(Данные!$B$2:$B$722,82,Данные!$C$2:$C$722,1,Данные!$A$2:$A$722,"&gt;="&amp;7722458000,Данные!$A$2:$A$722,"&lt;="&amp;7722458999)</f>
        <v>0</v>
      </c>
      <c r="BH144" s="63" t="n">
        <f aca="false">COUNTIFS(Данные!$B$2:$B$722,82,Данные!$C$2:$C$722,1,Данные!$A$2:$A$722,"&gt;="&amp;7722630000,Данные!$A$2:$A$722,"&lt;="&amp;7722638549)</f>
        <v>0</v>
      </c>
      <c r="BI144" s="63" t="n">
        <f aca="false">COUNTIFS(Данные!$B$2:$B$722,82,Данные!$C$2:$C$722,1,Данные!$A$2:$A$722,"&gt;="&amp;7722639400,Данные!$A$2:$A$722,"&lt;="&amp;7722639899)</f>
        <v>0</v>
      </c>
      <c r="BJ144" s="63" t="n">
        <f aca="false">COUNTIFS(Данные!$B$2:$B$722,82,Данные!$C$2:$C$722,1,Данные!$A$2:$A$722,"&gt;="&amp;7725750000,Данные!$A$2:$A$722,"&lt;="&amp;7725750399)</f>
        <v>0</v>
      </c>
      <c r="BK144" s="63" t="n">
        <f aca="false">COUNTIFS(Данные!$B$2:$B$722,82,Данные!$C$2:$C$722,1,Данные!$A$2:$A$722,"&gt;="&amp;7723620000,Данные!$A$2:$A$722,"&lt;="&amp;7723621299)</f>
        <v>0</v>
      </c>
      <c r="BL144" s="63" t="n">
        <f aca="false">COUNTIFS(Данные!$B$2:$B$722,82,Данные!$C$2:$C$722,1,Данные!$A$2:$A$722,"&gt;="&amp;7723621600,Данные!$A$2:$A$722,"&lt;="&amp;7723623399)</f>
        <v>0</v>
      </c>
      <c r="BM144" s="63" t="n">
        <f aca="false">COUNTIFS(Данные!$B$2:$B$722,82,Данные!$C$2:$C$722,1,Данные!$A$2:$A$722,"&gt;="&amp;7725127000,Данные!$A$2:$A$722,"&lt;="&amp;7725127999)</f>
        <v>0</v>
      </c>
      <c r="BN144" s="63" t="n">
        <f aca="false">COUNTIFS(Данные!$B$2:$B$722,82,Данные!$C$2:$C$722,1,Данные!$A$2:$A$722,"&gt;="&amp;7723772000,Данные!$A$2:$A$722,"&lt;="&amp;7723724999)</f>
        <v>0</v>
      </c>
      <c r="BO144" s="62" t="n">
        <f aca="false">COUNTIFS(Данные!$B$2:$B$722,82,Данные!$C$2:$C$722,1,Данные!$A$2:$A$722,"&gt;="&amp;7723765000,Данные!$A$2:$A$722,"&lt;="&amp;7723765499)</f>
        <v>0</v>
      </c>
      <c r="BP144" s="63" t="n">
        <f aca="false">COUNTIFS(Данные!$B$2:$B$722,82,Данные!$C$2:$C$722,1,Данные!$A$2:$A$722,"&gt;="&amp;7723948000,Данные!$A$2:$A$722,"&lt;="&amp;7723948999)</f>
        <v>0</v>
      </c>
      <c r="BQ144" s="63" t="n">
        <f aca="false">COUNTIFS(Данные!$B$2:$B$722,82,Данные!$C$2:$C$722,1,Данные!$A$2:$A$722,"&gt;="&amp;7723950000,Данные!$A$2:$A$722,"&lt;="&amp;7723951099)</f>
        <v>0</v>
      </c>
      <c r="BR144" s="63" t="n">
        <f aca="false">COUNTIFS(Данные!$B$2:$B$722,82,Данные!$C$2:$C$722,1,Данные!$A$2:$A$722,"&gt;="&amp;7723020000,Данные!$A$2:$A$722,"&lt;="&amp;7723020999)</f>
        <v>0</v>
      </c>
      <c r="BS144" s="63" t="n">
        <f aca="false">COUNTIFS(Данные!$B$2:$B$722,82,Данные!$C$2:$C$722,1,Данные!$A$2:$A$722,"&gt;="&amp;7723029000,Данные!$A$2:$A$722,"&lt;="&amp;7723029999)</f>
        <v>0</v>
      </c>
      <c r="BT144" s="63" t="n">
        <f aca="false">COUNTIFS(Данные!$B$2:$B$722,82,Данные!$C$2:$C$722,1,Данные!$A$2:$A$722,"&gt;="&amp;7723055000,Данные!$A$2:$A$722,"&lt;="&amp;7723056549)</f>
        <v>0</v>
      </c>
      <c r="BU144" s="62" t="n">
        <f aca="false">COUNTIFS(Данные!$B$2:$B$722,82,Данные!$C$2:$C$722,1,Данные!$A$2:$A$722,"&gt;="&amp;7725250000,Данные!$A$2:$A$722,"&lt;="&amp;7725250499)</f>
        <v>0</v>
      </c>
      <c r="BV144" s="63" t="n">
        <f aca="false">COUNTIFS(Данные!$B$2:$B$722,82,Данные!$C$2:$C$722,1,Данные!$A$2:$A$722,"&gt;="&amp;7183841400,Данные!$A$2:$A$722,"&lt;="&amp;7183841499)</f>
        <v>0</v>
      </c>
      <c r="BW144" s="40" t="n">
        <v>300</v>
      </c>
      <c r="BX144" s="64" t="n">
        <f aca="false">F144-BW144</f>
        <v>-299</v>
      </c>
    </row>
    <row r="145" s="15" customFormat="true" ht="12" hidden="false" customHeight="true" outlineLevel="0" collapsed="false">
      <c r="A145" s="38"/>
      <c r="B145" s="39"/>
      <c r="C145" s="41" t="n">
        <v>2</v>
      </c>
      <c r="D145" s="41" t="n">
        <v>822</v>
      </c>
      <c r="E145" s="42"/>
      <c r="F145" s="62" t="n">
        <f aca="false">COUNTIFS(Данные!$B$2:$B$722,82,Данные!$C$2:$C$722,2)</f>
        <v>0</v>
      </c>
      <c r="G145" s="62" t="n">
        <f aca="false">COUNTIFS(Данные!$B$2:$B$722,82,Данные!$C$2:$C$722,2,Данные!$A$2:$A$722,"&gt;="&amp;77232210840,Данные!$A$2:$A$722,"&lt;="&amp;77232216999)</f>
        <v>0</v>
      </c>
      <c r="H145" s="62" t="n">
        <f aca="false">COUNTIFS(Данные!$B$2:$B$722,82,Данные!$C$2:$C$722,2,Данные!$A$2:$A$722,"&gt;="&amp;77232510512,Данные!$A$2:$A$722,"&lt;="&amp;77232519487)</f>
        <v>0</v>
      </c>
      <c r="I145" s="62" t="n">
        <f aca="false">COUNTIFS(Данные!$B$2:$B$722,82,Данные!$C$2:$C$722,2,Данные!$A$2:$A$722,"&gt;="&amp;77232524160,Данные!$A$2:$A$722,"&lt;="&amp;77232529999)</f>
        <v>0</v>
      </c>
      <c r="J145" s="62" t="n">
        <f aca="false">COUNTIFS(Данные!$B$2:$B$722,82,Данные!$C$2:$C$722,2,Данные!$A$2:$A$722,"&gt;="&amp;77232544000,Данные!$A$2:$A$722,"&lt;="&amp;77232544999)</f>
        <v>0</v>
      </c>
      <c r="K145" s="62" t="n">
        <f aca="false">COUNTIFS(Данные!$B$2:$B$722,82,Данные!$C$2:$C$722,2,Данные!$A$2:$A$722,"&gt;="&amp;77232295504,Данные!$A$2:$A$722,"&lt;="&amp;77232296999)</f>
        <v>0</v>
      </c>
      <c r="L145" s="62" t="n">
        <f aca="false">COUNTIFS(Данные!$B$2:$B$722,82,Данные!$C$2:$C$722,2,Данные!$A$2:$A$722,"&gt;="&amp;77232785000,Данные!$A$2:$A$722,"&lt;="&amp;77232789999)</f>
        <v>0</v>
      </c>
      <c r="M145" s="62" t="n">
        <f aca="false">COUNTIFS(Данные!$B$2:$B$722,82,Данные!$C$2:$C$722,2,Данные!$A$2:$A$722,"&gt;="&amp;77233150000,Данные!$A$2:$A$722,"&lt;="&amp;77233155999)</f>
        <v>0</v>
      </c>
      <c r="N145" s="62" t="n">
        <f aca="false">COUNTIFS(Данные!$B$2:$B$722,82,Данные!$C$2:$C$722,2,Данные!$A$2:$A$722,"&gt;="&amp;77233235000,Данные!$A$2:$A$722,"&lt;="&amp;77233235999)</f>
        <v>0</v>
      </c>
      <c r="O145" s="62" t="n">
        <f aca="false">COUNTIFS(Данные!$B$2:$B$722,82,Данные!$C$2:$C$722,2,Данные!$A$2:$A$722,"&gt;="&amp;77233239000,Данные!$A$2:$A$722,"&lt;="&amp;77233239999)</f>
        <v>0</v>
      </c>
      <c r="P145" s="62" t="n">
        <f aca="false">COUNTIFS(Данные!$B$2:$B$722,82,Данные!$C$2:$C$722,2,Данные!$A$2:$A$722,"&gt;="&amp;77233272000,Данные!$A$2:$A$722,"&lt;="&amp;77233272999)</f>
        <v>0</v>
      </c>
      <c r="Q145" s="62" t="n">
        <f aca="false">COUNTIFS(Данные!$B$2:$B$722,82,Данные!$C$2:$C$722,2,Данные!$A$2:$A$722,"&gt;="&amp;77233291100,Данные!$A$2:$A$722,"&lt;="&amp;77233292999)</f>
        <v>0</v>
      </c>
      <c r="R145" s="62" t="n">
        <f aca="false">COUNTIFS(Данные!$B$2:$B$722,82,Данные!$C$2:$C$722,2,Данные!$A$2:$A$722,"&gt;="&amp;77233297000,Данные!$A$2:$A$722,"&lt;="&amp;77233298399)</f>
        <v>0</v>
      </c>
      <c r="S145" s="62" t="n">
        <f aca="false">COUNTIFS(Данные!$B$2:$B$722,82,Данные!$C$2:$C$722,2,Данные!$A$2:$A$722,"&gt;="&amp;77235124000,Данные!$A$2:$A$722,"&lt;="&amp;77235128499)</f>
        <v>0</v>
      </c>
      <c r="T145" s="62" t="n">
        <f aca="false">COUNTIFS(Данные!$B$2:$B$722,82,Данные!$C$2:$C$722,2,Данные!$A$2:$A$722,"&gt;="&amp;77235320000,Данные!$A$2:$A$722,"&lt;="&amp;77235320999)</f>
        <v>0</v>
      </c>
      <c r="U145" s="62" t="n">
        <f aca="false">COUNTIFS(Данные!$B$2:$B$722,82,Данные!$C$2:$C$722,2,Данные!$A$2:$A$722,"&gt;="&amp;77233620000,Данные!$A$2:$A$722,"&lt;="&amp;77233623339)</f>
        <v>0</v>
      </c>
      <c r="V145" s="62" t="n">
        <f aca="false">COUNTIFS(Данные!$B$2:$B$722,82,Данные!$C$2:$C$722,2,Данные!$A$2:$A$722,"&gt;="&amp;77233630000,Данные!$A$2:$A$722,"&lt;="&amp;77233630999)</f>
        <v>0</v>
      </c>
      <c r="W145" s="62" t="n">
        <f aca="false">COUNTIFS(Данные!$B$2:$B$722,82,Данные!$C$2:$C$722,2,Данные!$A$2:$A$722,"&gt;="&amp;77233637000,Данные!$A$2:$A$722,"&lt;="&amp;77233637599)</f>
        <v>0</v>
      </c>
      <c r="X145" s="62" t="n">
        <f aca="false">COUNTIFS(Данные!$B$2:$B$722,82,Данные!$C$2:$C$722,2,Данные!$A$2:$A$722,"&gt;="&amp;77233550000,Данные!$A$2:$A$722,"&lt;="&amp;77233550999)</f>
        <v>0</v>
      </c>
      <c r="Y145" s="62" t="n">
        <f aca="false">COUNTIFS(Данные!$B$2:$B$722,82,Данные!$C$2:$C$722,2,Данные!$A$2:$A$722,"&gt;="&amp;77233554000,Данные!$A$2:$A$722,"&lt;="&amp;77233554999)</f>
        <v>0</v>
      </c>
      <c r="Z145" s="62" t="n">
        <f aca="false">COUNTIFS(Данные!$B$2:$B$722,82,Данные!$C$2:$C$722,2,Данные!$A$2:$A$722,"&gt;="&amp;77233555000,Данные!$A$2:$A$722,"&lt;="&amp;77233556999)</f>
        <v>0</v>
      </c>
      <c r="AA145" s="62" t="n">
        <f aca="false">COUNTIFS(Данные!$B$2:$B$722,82,Данные!$C$2:$C$722,2,Данные!$A$2:$A$722,"&gt;="&amp;77233726000,Данные!$A$2:$A$722,"&lt;="&amp;77233726999)</f>
        <v>0</v>
      </c>
      <c r="AB145" s="62" t="n">
        <f aca="false">COUNTIFS(Данные!$B$2:$B$722,82,Данные!$C$2:$C$722,2,Данные!$A$2:$A$722,"&gt;="&amp;77233820000,Данные!$A$2:$A$722,"&lt;="&amp;77233820999)</f>
        <v>0</v>
      </c>
      <c r="AC145" s="62" t="n">
        <f aca="false">COUNTIFS(Данные!$B$2:$B$722,82,Данные!$C$2:$C$722,2,Данные!$A$2:$A$722,"&gt;="&amp;77233850000,Данные!$A$2:$A$722,"&lt;="&amp;77233850999)</f>
        <v>0</v>
      </c>
      <c r="AD145" s="62" t="n">
        <f aca="false">COUNTIFS(Данные!$B$2:$B$722,82,Данные!$C$2:$C$722,2,Данные!$A$2:$A$722,"&gt;="&amp;77233420000,Данные!$A$2:$A$722,"&lt;="&amp;77233420999)</f>
        <v>0</v>
      </c>
      <c r="AE145" s="62" t="n">
        <f aca="false">COUNTIFS(Данные!$B$2:$B$722,82,Данные!$C$2:$C$722,2,Данные!$A$2:$A$722,"&gt;="&amp;77234740000,Данные!$A$2:$A$722,"&lt;="&amp;77234742999)</f>
        <v>0</v>
      </c>
      <c r="AF145" s="62" t="n">
        <f aca="false">COUNTIFS(Данные!$B$2:$B$722,82,Данные!$C$2:$C$722,2,Данные!$A$2:$A$722,"&gt;="&amp;77234767000,Данные!$A$2:$A$722,"&lt;="&amp;77234767999)</f>
        <v>0</v>
      </c>
      <c r="AG145" s="62" t="n">
        <f aca="false">COUNTIFS(Данные!$B$2:$B$722,82,Данные!$C$2:$C$722,2,Данные!$A$2:$A$722,"&gt;="&amp;77234120000,Данные!$A$2:$A$722,"&lt;="&amp;77234120999)</f>
        <v>0</v>
      </c>
      <c r="AH145" s="62" t="n">
        <f aca="false">COUNTIFS(Данные!$B$2:$B$722,82,Данные!$C$2:$C$722,2,Данные!$A$2:$A$722,"&gt;="&amp;77234127000,Данные!$A$2:$A$722,"&lt;="&amp;77234127999)</f>
        <v>0</v>
      </c>
      <c r="AI145" s="62" t="n">
        <f aca="false">COUNTIFS(Данные!$B$2:$B$722,82,Данные!$C$2:$C$722,2,Данные!$A$2:$A$722,"&gt;="&amp;77234220000,Данные!$A$2:$A$722,"&lt;="&amp;77234220999)</f>
        <v>0</v>
      </c>
      <c r="AJ145" s="62" t="n">
        <f aca="false">COUNTIFS(Данные!$B$2:$B$722,82,Данные!$C$2:$C$722,2,Данные!$A$2:$A$722,"&gt;="&amp;77234250000,Данные!$A$2:$A$722,"&lt;="&amp;77234250999)</f>
        <v>0</v>
      </c>
      <c r="AK145" s="62" t="n">
        <f aca="false">COUNTIFS(Данные!$B$2:$B$722,82,Данные!$C$2:$C$722,2,Данные!$A$2:$A$722,"&gt;="&amp;77233922950,Данные!$A$2:$A$722,"&lt;="&amp;77233924999)</f>
        <v>0</v>
      </c>
      <c r="AL145" s="62" t="n">
        <f aca="false">COUNTIFS(Данные!$B$2:$B$722,82,Данные!$C$2:$C$722,2,Данные!$A$2:$A$722,"&gt;="&amp;77234320000,Данные!$A$2:$A$722,"&lt;="&amp;77234320999)</f>
        <v>0</v>
      </c>
      <c r="AM145" s="62" t="n">
        <f aca="false">COUNTIFS(Данные!$B$2:$B$722,82,Данные!$C$2:$C$722,2,Данные!$A$2:$A$722,"&gt;="&amp;77234350000,Данные!$A$2:$A$722,"&lt;="&amp;77234350999)</f>
        <v>0</v>
      </c>
      <c r="AN145" s="62" t="n">
        <f aca="false">COUNTIFS(Данные!$B$2:$B$722,82,Данные!$C$2:$C$722,2,Данные!$A$2:$A$722,"&gt;="&amp;77234020000,Данные!$A$2:$A$722,"&lt;="&amp;77234020999)</f>
        <v>0</v>
      </c>
      <c r="AO145" s="62" t="n">
        <f aca="false">COUNTIFS(Данные!$B$2:$B$722,82,Данные!$C$2:$C$722,2,Данные!$A$2:$A$722,"&gt;="&amp;77234029000,Данные!$A$2:$A$722,"&lt;="&amp;77234029999)</f>
        <v>0</v>
      </c>
      <c r="AP145" s="62" t="n">
        <f aca="false">COUNTIFS(Данные!$B$2:$B$722,82,Данные!$C$2:$C$722,2,Данные!$A$2:$A$722,"&gt;="&amp;77234050000,Данные!$A$2:$A$722,"&lt;="&amp;77234050999)</f>
        <v>0</v>
      </c>
      <c r="AQ145" s="62" t="n">
        <f aca="false">COUNTIFS(Данные!$B$2:$B$722,82,Данные!$C$2:$C$722,2,Данные!$A$2:$A$722,"&gt;="&amp;77234427000,Данные!$A$2:$A$722,"&lt;="&amp;77234428999)</f>
        <v>0</v>
      </c>
      <c r="AR145" s="62" t="n">
        <f aca="false">COUNTIFS(Данные!$B$2:$B$722,82,Данные!$C$2:$C$722,2,Данные!$A$2:$A$722,"&gt;="&amp;77234450000,Данные!$A$2:$A$722,"&lt;="&amp;77234450999)</f>
        <v>0</v>
      </c>
      <c r="AS145" s="62" t="n">
        <f aca="false">COUNTIFS(Данные!$B$2:$B$722,82,Данные!$C$2:$C$722,2,Данные!$A$2:$A$722,"&gt;="&amp;77234620000,Данные!$A$2:$A$722,"&lt;="&amp;77234620999)</f>
        <v>0</v>
      </c>
      <c r="AT145" s="62" t="n">
        <f aca="false">COUNTIFS(Данные!$B$2:$B$722,82,Данные!$C$2:$C$722,2,Данные!$A$2:$A$722,"&gt;="&amp;77234650000,Данные!$A$2:$A$722,"&lt;="&amp;77234650999)</f>
        <v>0</v>
      </c>
      <c r="AU145" s="62" t="n">
        <f aca="false">COUNTIFS(Данные!$B$2:$B$722,82,Данные!$C$2:$C$722,2,Данные!$A$2:$A$722,"&gt;="&amp;77234820000,Данные!$A$2:$A$722,"&lt;="&amp;77234820999)</f>
        <v>0</v>
      </c>
      <c r="AV145" s="62" t="n">
        <f aca="false">COUNTIFS(Данные!$B$2:$B$722,82,Данные!$C$2:$C$722,2,Данные!$A$2:$A$722,"&gt;="&amp;77234850000,Данные!$A$2:$A$722,"&lt;="&amp;77234850999)</f>
        <v>0</v>
      </c>
      <c r="AW145" s="62" t="n">
        <f aca="false">COUNTIFS(Данные!$B$2:$B$722,82,Данные!$C$2:$C$722,2,Данные!$A$2:$A$722,"&gt;="&amp;77233327000,Данные!$A$2:$A$722,"&lt;="&amp;77233327999)</f>
        <v>0</v>
      </c>
      <c r="AX145" s="62" t="n">
        <f aca="false">COUNTIFS(Данные!$B$2:$B$722,82,Данные!$C$2:$C$722,2,Данные!$A$2:$A$722,"&gt;="&amp;77233350000,Данные!$A$2:$A$722,"&lt;="&amp;77233350599)</f>
        <v>0</v>
      </c>
      <c r="AY145" s="62" t="n">
        <f aca="false">COUNTIFS(Данные!$B$2:$B$722,82,Данные!$C$2:$C$722,2,Данные!$A$2:$A$722,"&gt;="&amp;77233351000,Данные!$A$2:$A$722,"&lt;="&amp;77233351999)</f>
        <v>0</v>
      </c>
      <c r="AZ145" s="63" t="n">
        <f aca="false">COUNTIFS(Данные!$B$2:$B$722,82,Данные!$C$2:$C$722,2,Данные!$A$2:$A$722,"&gt;="&amp;7722440000,Данные!$A$2:$A$722,"&lt;="&amp;7722440999)</f>
        <v>0</v>
      </c>
      <c r="BA145" s="63" t="n">
        <f aca="false">COUNTIFS(Данные!$B$2:$B$722,82,Данные!$C$2:$C$722,2,Данные!$A$2:$A$722,"&gt;="&amp;7722442000,Данные!$A$2:$A$722,"&lt;="&amp;7722445659)</f>
        <v>0</v>
      </c>
      <c r="BB145" s="63" t="n">
        <f aca="false">COUNTIFS(Данные!$B$2:$B$722,82,Данные!$C$2:$C$722,2,Данные!$A$2:$A$722,"&gt;="&amp;7722450000,Данные!$A$2:$A$722,"&lt;="&amp;7722450199)</f>
        <v>0</v>
      </c>
      <c r="BC145" s="63" t="n">
        <f aca="false">COUNTIFS(Данные!$B$2:$B$722,82,Данные!$C$2:$C$722,2,Данные!$A$2:$A$722,"&gt;="&amp;7722451000,Данные!$A$2:$A$722,"&lt;="&amp;7722451374)</f>
        <v>0</v>
      </c>
      <c r="BD145" s="63" t="n">
        <f aca="false">COUNTIFS(Данные!$B$2:$B$722,82,Данные!$C$2:$C$722,2,Данные!$A$2:$A$722,"&gt;="&amp;7722452000,Данные!$A$2:$A$722,"&lt;="&amp;7722452299)</f>
        <v>0</v>
      </c>
      <c r="BE145" s="63" t="n">
        <f aca="false">COUNTIFS(Данные!$B$2:$B$722,82,Данные!$C$2:$C$722,2,Данные!$A$2:$A$722,"&gt;="&amp;7722453000,Данные!$A$2:$A$722,"&lt;="&amp;7722453816)</f>
        <v>0</v>
      </c>
      <c r="BF145" s="63" t="n">
        <f aca="false">COUNTIFS(Данные!$B$2:$B$722,82,Данные!$C$2:$C$722,2,Данные!$A$2:$A$722,"&gt;="&amp;7722454000,Данные!$A$2:$A$722,"&lt;="&amp;7722454099)</f>
        <v>0</v>
      </c>
      <c r="BG145" s="63" t="n">
        <f aca="false">COUNTIFS(Данные!$B$2:$B$722,82,Данные!$C$2:$C$722,2,Данные!$A$2:$A$722,"&gt;="&amp;7722458000,Данные!$A$2:$A$722,"&lt;="&amp;7722458999)</f>
        <v>0</v>
      </c>
      <c r="BH145" s="63" t="n">
        <f aca="false">COUNTIFS(Данные!$B$2:$B$722,82,Данные!$C$2:$C$722,2,Данные!$A$2:$A$722,"&gt;="&amp;7722630000,Данные!$A$2:$A$722,"&lt;="&amp;7722638549)</f>
        <v>0</v>
      </c>
      <c r="BI145" s="63" t="n">
        <f aca="false">COUNTIFS(Данные!$B$2:$B$722,82,Данные!$C$2:$C$722,2,Данные!$A$2:$A$722,"&gt;="&amp;7722639400,Данные!$A$2:$A$722,"&lt;="&amp;7722639899)</f>
        <v>0</v>
      </c>
      <c r="BJ145" s="63" t="n">
        <f aca="false">COUNTIFS(Данные!$B$2:$B$722,82,Данные!$C$2:$C$722,2,Данные!$A$2:$A$722,"&gt;="&amp;7725750000,Данные!$A$2:$A$722,"&lt;="&amp;7725750399)</f>
        <v>0</v>
      </c>
      <c r="BK145" s="63" t="n">
        <f aca="false">COUNTIFS(Данные!$B$2:$B$722,82,Данные!$C$2:$C$722,2,Данные!$A$2:$A$722,"&gt;="&amp;7723620000,Данные!$A$2:$A$722,"&lt;="&amp;7723621299)</f>
        <v>0</v>
      </c>
      <c r="BL145" s="63" t="n">
        <f aca="false">COUNTIFS(Данные!$B$2:$B$722,82,Данные!$C$2:$C$722,2,Данные!$A$2:$A$722,"&gt;="&amp;7723621600,Данные!$A$2:$A$722,"&lt;="&amp;7723623399)</f>
        <v>0</v>
      </c>
      <c r="BM145" s="63" t="n">
        <f aca="false">COUNTIFS(Данные!$B$2:$B$722,82,Данные!$C$2:$C$722,2,Данные!$A$2:$A$722,"&gt;="&amp;7725127000,Данные!$A$2:$A$722,"&lt;="&amp;7725127999)</f>
        <v>0</v>
      </c>
      <c r="BN145" s="63" t="n">
        <f aca="false">COUNTIFS(Данные!$B$2:$B$722,82,Данные!$C$2:$C$722,2,Данные!$A$2:$A$722,"&gt;="&amp;7723772000,Данные!$A$2:$A$722,"&lt;="&amp;7723724999)</f>
        <v>0</v>
      </c>
      <c r="BO145" s="62" t="n">
        <f aca="false">COUNTIFS(Данные!$B$2:$B$722,82,Данные!$C$2:$C$722,2,Данные!$A$2:$A$722,"&gt;="&amp;7723765000,Данные!$A$2:$A$722,"&lt;="&amp;7723765499)</f>
        <v>0</v>
      </c>
      <c r="BP145" s="63" t="n">
        <f aca="false">COUNTIFS(Данные!$B$2:$B$722,82,Данные!$C$2:$C$722,2,Данные!$A$2:$A$722,"&gt;="&amp;7723948000,Данные!$A$2:$A$722,"&lt;="&amp;7723948999)</f>
        <v>0</v>
      </c>
      <c r="BQ145" s="63" t="n">
        <f aca="false">COUNTIFS(Данные!$B$2:$B$722,82,Данные!$C$2:$C$722,2,Данные!$A$2:$A$722,"&gt;="&amp;7723950000,Данные!$A$2:$A$722,"&lt;="&amp;7723951099)</f>
        <v>0</v>
      </c>
      <c r="BR145" s="63" t="n">
        <f aca="false">COUNTIFS(Данные!$B$2:$B$722,82,Данные!$C$2:$C$722,2,Данные!$A$2:$A$722,"&gt;="&amp;7723020000,Данные!$A$2:$A$722,"&lt;="&amp;7723020999)</f>
        <v>0</v>
      </c>
      <c r="BS145" s="63" t="n">
        <f aca="false">COUNTIFS(Данные!$B$2:$B$722,82,Данные!$C$2:$C$722,2,Данные!$A$2:$A$722,"&gt;="&amp;7723029000,Данные!$A$2:$A$722,"&lt;="&amp;7723029999)</f>
        <v>0</v>
      </c>
      <c r="BT145" s="63" t="n">
        <f aca="false">COUNTIFS(Данные!$B$2:$B$722,82,Данные!$C$2:$C$722,2,Данные!$A$2:$A$722,"&gt;="&amp;7723055000,Данные!$A$2:$A$722,"&lt;="&amp;7723056549)</f>
        <v>0</v>
      </c>
      <c r="BU145" s="62" t="n">
        <f aca="false">COUNTIFS(Данные!$B$2:$B$722,82,Данные!$C$2:$C$722,2,Данные!$A$2:$A$722,"&gt;="&amp;7725250000,Данные!$A$2:$A$722,"&lt;="&amp;7725250499)</f>
        <v>0</v>
      </c>
      <c r="BV145" s="63" t="n">
        <f aca="false">COUNTIFS(Данные!$B$2:$B$722,82,Данные!$C$2:$C$722,2,Данные!$A$2:$A$722,"&gt;="&amp;7183841400,Данные!$A$2:$A$722,"&lt;="&amp;7183841499)</f>
        <v>0</v>
      </c>
      <c r="BW145" s="40" t="n">
        <v>300</v>
      </c>
      <c r="BX145" s="64" t="n">
        <f aca="false">F145-BW145</f>
        <v>-300</v>
      </c>
    </row>
    <row r="146" s="15" customFormat="true" ht="12" hidden="false" customHeight="true" outlineLevel="0" collapsed="false">
      <c r="A146" s="47" t="n">
        <v>83</v>
      </c>
      <c r="B146" s="48" t="s">
        <v>108</v>
      </c>
      <c r="C146" s="50" t="n">
        <v>0</v>
      </c>
      <c r="D146" s="50" t="n">
        <v>830</v>
      </c>
      <c r="E146" s="51" t="n">
        <f aca="false">SUM(F146:F148)</f>
        <v>0</v>
      </c>
      <c r="F146" s="65" t="n">
        <f aca="false">COUNTIFS(Данные!$B$2:$B$722,83,Данные!$C$2:$C$722,0)</f>
        <v>0</v>
      </c>
      <c r="G146" s="65" t="n">
        <f aca="false">COUNTIFS(Данные!$B$2:$B$722,83,Данные!$C$2:$C$722,0,Данные!$A$2:$A$722,"&gt;="&amp;77232210840,Данные!$A$2:$A$722,"&lt;="&amp;77232216999)</f>
        <v>0</v>
      </c>
      <c r="H146" s="65" t="n">
        <f aca="false">COUNTIFS(Данные!$B$2:$B$722,83,Данные!$C$2:$C$722,0,Данные!$A$2:$A$722,"&gt;="&amp;77232510512,Данные!$A$2:$A$722,"&lt;="&amp;77232519487)</f>
        <v>0</v>
      </c>
      <c r="I146" s="65" t="n">
        <f aca="false">COUNTIFS(Данные!$B$2:$B$722,83,Данные!$C$2:$C$722,0,Данные!$A$2:$A$722,"&gt;="&amp;77232524160,Данные!$A$2:$A$722,"&lt;="&amp;77232529999)</f>
        <v>0</v>
      </c>
      <c r="J146" s="65" t="n">
        <f aca="false">COUNTIFS(Данные!$B$2:$B$722,83,Данные!$C$2:$C$722,0,Данные!$A$2:$A$722,"&gt;="&amp;77232544000,Данные!$A$2:$A$722,"&lt;="&amp;77232544999)</f>
        <v>0</v>
      </c>
      <c r="K146" s="65" t="n">
        <f aca="false">COUNTIFS(Данные!$B$2:$B$722,83,Данные!$C$2:$C$722,0,Данные!$A$2:$A$722,"&gt;="&amp;77232295504,Данные!$A$2:$A$722,"&lt;="&amp;77232296999)</f>
        <v>0</v>
      </c>
      <c r="L146" s="65" t="n">
        <f aca="false">COUNTIFS(Данные!$B$2:$B$722,83,Данные!$C$2:$C$722,0,Данные!$A$2:$A$722,"&gt;="&amp;77232785000,Данные!$A$2:$A$722,"&lt;="&amp;77232789999)</f>
        <v>0</v>
      </c>
      <c r="M146" s="65" t="n">
        <f aca="false">COUNTIFS(Данные!$B$2:$B$722,83,Данные!$C$2:$C$722,0,Данные!$A$2:$A$722,"&gt;="&amp;77233150000,Данные!$A$2:$A$722,"&lt;="&amp;77233155999)</f>
        <v>0</v>
      </c>
      <c r="N146" s="65" t="n">
        <f aca="false">COUNTIFS(Данные!$B$2:$B$722,83,Данные!$C$2:$C$722,0,Данные!$A$2:$A$722,"&gt;="&amp;77233235000,Данные!$A$2:$A$722,"&lt;="&amp;77233235999)</f>
        <v>0</v>
      </c>
      <c r="O146" s="65" t="n">
        <f aca="false">COUNTIFS(Данные!$B$2:$B$722,83,Данные!$C$2:$C$722,0,Данные!$A$2:$A$722,"&gt;="&amp;77233239000,Данные!$A$2:$A$722,"&lt;="&amp;77233239999)</f>
        <v>0</v>
      </c>
      <c r="P146" s="65" t="n">
        <f aca="false">COUNTIFS(Данные!$B$2:$B$722,83,Данные!$C$2:$C$722,0,Данные!$A$2:$A$722,"&gt;="&amp;77233272000,Данные!$A$2:$A$722,"&lt;="&amp;77233272999)</f>
        <v>0</v>
      </c>
      <c r="Q146" s="65" t="n">
        <f aca="false">COUNTIFS(Данные!$B$2:$B$722,83,Данные!$C$2:$C$722,0,Данные!$A$2:$A$722,"&gt;="&amp;77233291100,Данные!$A$2:$A$722,"&lt;="&amp;77233292999)</f>
        <v>0</v>
      </c>
      <c r="R146" s="65" t="n">
        <f aca="false">COUNTIFS(Данные!$B$2:$B$722,83,Данные!$C$2:$C$722,0,Данные!$A$2:$A$722,"&gt;="&amp;77233297000,Данные!$A$2:$A$722,"&lt;="&amp;77233298399)</f>
        <v>0</v>
      </c>
      <c r="S146" s="65" t="n">
        <f aca="false">COUNTIFS(Данные!$B$2:$B$722,83,Данные!$C$2:$C$722,0,Данные!$A$2:$A$722,"&gt;="&amp;77235124000,Данные!$A$2:$A$722,"&lt;="&amp;77235128499)</f>
        <v>0</v>
      </c>
      <c r="T146" s="65" t="n">
        <f aca="false">COUNTIFS(Данные!$B$2:$B$722,83,Данные!$C$2:$C$722,0,Данные!$A$2:$A$722,"&gt;="&amp;77235320000,Данные!$A$2:$A$722,"&lt;="&amp;77235320999)</f>
        <v>0</v>
      </c>
      <c r="U146" s="65" t="n">
        <f aca="false">COUNTIFS(Данные!$B$2:$B$722,83,Данные!$C$2:$C$722,0,Данные!$A$2:$A$722,"&gt;="&amp;77233620000,Данные!$A$2:$A$722,"&lt;="&amp;77233623339)</f>
        <v>0</v>
      </c>
      <c r="V146" s="65" t="n">
        <f aca="false">COUNTIFS(Данные!$B$2:$B$722,83,Данные!$C$2:$C$722,0,Данные!$A$2:$A$722,"&gt;="&amp;77233630000,Данные!$A$2:$A$722,"&lt;="&amp;77233630999)</f>
        <v>0</v>
      </c>
      <c r="W146" s="65" t="n">
        <f aca="false">COUNTIFS(Данные!$B$2:$B$722,83,Данные!$C$2:$C$722,0,Данные!$A$2:$A$722,"&gt;="&amp;77233637000,Данные!$A$2:$A$722,"&lt;="&amp;77233637599)</f>
        <v>0</v>
      </c>
      <c r="X146" s="65" t="n">
        <f aca="false">COUNTIFS(Данные!$B$2:$B$722,83,Данные!$C$2:$C$722,0,Данные!$A$2:$A$722,"&gt;="&amp;77233550000,Данные!$A$2:$A$722,"&lt;="&amp;77233550999)</f>
        <v>0</v>
      </c>
      <c r="Y146" s="65" t="n">
        <f aca="false">COUNTIFS(Данные!$B$2:$B$722,83,Данные!$C$2:$C$722,0,Данные!$A$2:$A$722,"&gt;="&amp;77233554000,Данные!$A$2:$A$722,"&lt;="&amp;77233554999)</f>
        <v>0</v>
      </c>
      <c r="Z146" s="65" t="n">
        <f aca="false">COUNTIFS(Данные!$B$2:$B$722,83,Данные!$C$2:$C$722,0,Данные!$A$2:$A$722,"&gt;="&amp;77233555000,Данные!$A$2:$A$722,"&lt;="&amp;77233556999)</f>
        <v>0</v>
      </c>
      <c r="AA146" s="65" t="n">
        <f aca="false">COUNTIFS(Данные!$B$2:$B$722,83,Данные!$C$2:$C$722,0,Данные!$A$2:$A$722,"&gt;="&amp;77233726000,Данные!$A$2:$A$722,"&lt;="&amp;77233726999)</f>
        <v>0</v>
      </c>
      <c r="AB146" s="65" t="n">
        <f aca="false">COUNTIFS(Данные!$B$2:$B$722,83,Данные!$C$2:$C$722,0,Данные!$A$2:$A$722,"&gt;="&amp;77233820000,Данные!$A$2:$A$722,"&lt;="&amp;77233820999)</f>
        <v>0</v>
      </c>
      <c r="AC146" s="65" t="n">
        <f aca="false">COUNTIFS(Данные!$B$2:$B$722,83,Данные!$C$2:$C$722,0,Данные!$A$2:$A$722,"&gt;="&amp;77233850000,Данные!$A$2:$A$722,"&lt;="&amp;77233850999)</f>
        <v>0</v>
      </c>
      <c r="AD146" s="65" t="n">
        <f aca="false">COUNTIFS(Данные!$B$2:$B$722,83,Данные!$C$2:$C$722,0,Данные!$A$2:$A$722,"&gt;="&amp;77233420000,Данные!$A$2:$A$722,"&lt;="&amp;77233420999)</f>
        <v>0</v>
      </c>
      <c r="AE146" s="65" t="n">
        <f aca="false">COUNTIFS(Данные!$B$2:$B$722,83,Данные!$C$2:$C$722,0,Данные!$A$2:$A$722,"&gt;="&amp;77234740000,Данные!$A$2:$A$722,"&lt;="&amp;77234742999)</f>
        <v>0</v>
      </c>
      <c r="AF146" s="65" t="n">
        <f aca="false">COUNTIFS(Данные!$B$2:$B$722,83,Данные!$C$2:$C$722,0,Данные!$A$2:$A$722,"&gt;="&amp;77234767000,Данные!$A$2:$A$722,"&lt;="&amp;77234767999)</f>
        <v>0</v>
      </c>
      <c r="AG146" s="65" t="n">
        <f aca="false">COUNTIFS(Данные!$B$2:$B$722,83,Данные!$C$2:$C$722,0,Данные!$A$2:$A$722,"&gt;="&amp;77234120000,Данные!$A$2:$A$722,"&lt;="&amp;77234120999)</f>
        <v>0</v>
      </c>
      <c r="AH146" s="65" t="n">
        <f aca="false">COUNTIFS(Данные!$B$2:$B$722,83,Данные!$C$2:$C$722,0,Данные!$A$2:$A$722,"&gt;="&amp;77234127000,Данные!$A$2:$A$722,"&lt;="&amp;77234127999)</f>
        <v>0</v>
      </c>
      <c r="AI146" s="65" t="n">
        <f aca="false">COUNTIFS(Данные!$B$2:$B$722,83,Данные!$C$2:$C$722,0,Данные!$A$2:$A$722,"&gt;="&amp;77234220000,Данные!$A$2:$A$722,"&lt;="&amp;77234220999)</f>
        <v>0</v>
      </c>
      <c r="AJ146" s="65" t="n">
        <f aca="false">COUNTIFS(Данные!$B$2:$B$722,83,Данные!$C$2:$C$722,0,Данные!$A$2:$A$722,"&gt;="&amp;77234250000,Данные!$A$2:$A$722,"&lt;="&amp;77234250999)</f>
        <v>0</v>
      </c>
      <c r="AK146" s="65" t="n">
        <f aca="false">COUNTIFS(Данные!$B$2:$B$722,83,Данные!$C$2:$C$722,0,Данные!$A$2:$A$722,"&gt;="&amp;77233922950,Данные!$A$2:$A$722,"&lt;="&amp;77233924999)</f>
        <v>0</v>
      </c>
      <c r="AL146" s="65" t="n">
        <f aca="false">COUNTIFS(Данные!$B$2:$B$722,83,Данные!$C$2:$C$722,0,Данные!$A$2:$A$722,"&gt;="&amp;77234320000,Данные!$A$2:$A$722,"&lt;="&amp;77234320999)</f>
        <v>0</v>
      </c>
      <c r="AM146" s="65" t="n">
        <f aca="false">COUNTIFS(Данные!$B$2:$B$722,83,Данные!$C$2:$C$722,0,Данные!$A$2:$A$722,"&gt;="&amp;77234350000,Данные!$A$2:$A$722,"&lt;="&amp;77234350999)</f>
        <v>0</v>
      </c>
      <c r="AN146" s="65" t="n">
        <f aca="false">COUNTIFS(Данные!$B$2:$B$722,83,Данные!$C$2:$C$722,0,Данные!$A$2:$A$722,"&gt;="&amp;77234020000,Данные!$A$2:$A$722,"&lt;="&amp;77234020999)</f>
        <v>0</v>
      </c>
      <c r="AO146" s="65" t="n">
        <f aca="false">COUNTIFS(Данные!$B$2:$B$722,83,Данные!$C$2:$C$722,0,Данные!$A$2:$A$722,"&gt;="&amp;77234029000,Данные!$A$2:$A$722,"&lt;="&amp;77234029999)</f>
        <v>0</v>
      </c>
      <c r="AP146" s="65" t="n">
        <f aca="false">COUNTIFS(Данные!$B$2:$B$722,83,Данные!$C$2:$C$722,0,Данные!$A$2:$A$722,"&gt;="&amp;77234050000,Данные!$A$2:$A$722,"&lt;="&amp;77234050999)</f>
        <v>0</v>
      </c>
      <c r="AQ146" s="65" t="n">
        <f aca="false">COUNTIFS(Данные!$B$2:$B$722,83,Данные!$C$2:$C$722,0,Данные!$A$2:$A$722,"&gt;="&amp;77234427000,Данные!$A$2:$A$722,"&lt;="&amp;77234428999)</f>
        <v>0</v>
      </c>
      <c r="AR146" s="65" t="n">
        <f aca="false">COUNTIFS(Данные!$B$2:$B$722,83,Данные!$C$2:$C$722,0,Данные!$A$2:$A$722,"&gt;="&amp;77234450000,Данные!$A$2:$A$722,"&lt;="&amp;77234450999)</f>
        <v>0</v>
      </c>
      <c r="AS146" s="65" t="n">
        <f aca="false">COUNTIFS(Данные!$B$2:$B$722,83,Данные!$C$2:$C$722,0,Данные!$A$2:$A$722,"&gt;="&amp;77234620000,Данные!$A$2:$A$722,"&lt;="&amp;77234620999)</f>
        <v>0</v>
      </c>
      <c r="AT146" s="65" t="n">
        <f aca="false">COUNTIFS(Данные!$B$2:$B$722,83,Данные!$C$2:$C$722,0,Данные!$A$2:$A$722,"&gt;="&amp;77234650000,Данные!$A$2:$A$722,"&lt;="&amp;77234650999)</f>
        <v>0</v>
      </c>
      <c r="AU146" s="65" t="n">
        <f aca="false">COUNTIFS(Данные!$B$2:$B$722,83,Данные!$C$2:$C$722,0,Данные!$A$2:$A$722,"&gt;="&amp;77234820000,Данные!$A$2:$A$722,"&lt;="&amp;77234820999)</f>
        <v>0</v>
      </c>
      <c r="AV146" s="65" t="n">
        <f aca="false">COUNTIFS(Данные!$B$2:$B$722,83,Данные!$C$2:$C$722,0,Данные!$A$2:$A$722,"&gt;="&amp;77234850000,Данные!$A$2:$A$722,"&lt;="&amp;77234850999)</f>
        <v>0</v>
      </c>
      <c r="AW146" s="65" t="n">
        <f aca="false">COUNTIFS(Данные!$B$2:$B$722,83,Данные!$C$2:$C$722,0,Данные!$A$2:$A$722,"&gt;="&amp;77233327000,Данные!$A$2:$A$722,"&lt;="&amp;77233327999)</f>
        <v>0</v>
      </c>
      <c r="AX146" s="65" t="n">
        <f aca="false">COUNTIFS(Данные!$B$2:$B$722,83,Данные!$C$2:$C$722,0,Данные!$A$2:$A$722,"&gt;="&amp;77233350000,Данные!$A$2:$A$722,"&lt;="&amp;77233350599)</f>
        <v>0</v>
      </c>
      <c r="AY146" s="65" t="n">
        <f aca="false">COUNTIFS(Данные!$B$2:$B$722,83,Данные!$C$2:$C$722,0,Данные!$A$2:$A$722,"&gt;="&amp;77233351000,Данные!$A$2:$A$722,"&lt;="&amp;77233351999)</f>
        <v>0</v>
      </c>
      <c r="AZ146" s="66" t="n">
        <f aca="false">COUNTIFS(Данные!$B$2:$B$722,83,Данные!$C$2:$C$722,0,Данные!$A$2:$A$722,"&gt;="&amp;7722440000,Данные!$A$2:$A$722,"&lt;="&amp;7722440999)</f>
        <v>0</v>
      </c>
      <c r="BA146" s="66" t="n">
        <f aca="false">COUNTIFS(Данные!$B$2:$B$722,83,Данные!$C$2:$C$722,0,Данные!$A$2:$A$722,"&gt;="&amp;7722442000,Данные!$A$2:$A$722,"&lt;="&amp;7722445659)</f>
        <v>0</v>
      </c>
      <c r="BB146" s="66" t="n">
        <f aca="false">COUNTIFS(Данные!$B$2:$B$722,83,Данные!$C$2:$C$722,0,Данные!$A$2:$A$722,"&gt;="&amp;7722450000,Данные!$A$2:$A$722,"&lt;="&amp;7722450199)</f>
        <v>0</v>
      </c>
      <c r="BC146" s="66" t="n">
        <f aca="false">COUNTIFS(Данные!$B$2:$B$722,83,Данные!$C$2:$C$722,0,Данные!$A$2:$A$722,"&gt;="&amp;7722451000,Данные!$A$2:$A$722,"&lt;="&amp;7722451374)</f>
        <v>0</v>
      </c>
      <c r="BD146" s="66" t="n">
        <f aca="false">COUNTIFS(Данные!$B$2:$B$722,83,Данные!$C$2:$C$722,0,Данные!$A$2:$A$722,"&gt;="&amp;7722452000,Данные!$A$2:$A$722,"&lt;="&amp;7722452299)</f>
        <v>0</v>
      </c>
      <c r="BE146" s="66" t="n">
        <f aca="false">COUNTIFS(Данные!$B$2:$B$722,83,Данные!$C$2:$C$722,0,Данные!$A$2:$A$722,"&gt;="&amp;7722453000,Данные!$A$2:$A$722,"&lt;="&amp;7722453816)</f>
        <v>0</v>
      </c>
      <c r="BF146" s="66" t="n">
        <f aca="false">COUNTIFS(Данные!$B$2:$B$722,83,Данные!$C$2:$C$722,0,Данные!$A$2:$A$722,"&gt;="&amp;7722454000,Данные!$A$2:$A$722,"&lt;="&amp;7722454099)</f>
        <v>0</v>
      </c>
      <c r="BG146" s="66" t="n">
        <f aca="false">COUNTIFS(Данные!$B$2:$B$722,83,Данные!$C$2:$C$722,0,Данные!$A$2:$A$722,"&gt;="&amp;7722458000,Данные!$A$2:$A$722,"&lt;="&amp;7722458999)</f>
        <v>0</v>
      </c>
      <c r="BH146" s="66" t="n">
        <f aca="false">COUNTIFS(Данные!$B$2:$B$722,83,Данные!$C$2:$C$722,0,Данные!$A$2:$A$722,"&gt;="&amp;7722630000,Данные!$A$2:$A$722,"&lt;="&amp;7722638549)</f>
        <v>0</v>
      </c>
      <c r="BI146" s="66" t="n">
        <f aca="false">COUNTIFS(Данные!$B$2:$B$722,83,Данные!$C$2:$C$722,0,Данные!$A$2:$A$722,"&gt;="&amp;7722639400,Данные!$A$2:$A$722,"&lt;="&amp;7722639899)</f>
        <v>0</v>
      </c>
      <c r="BJ146" s="66" t="n">
        <f aca="false">COUNTIFS(Данные!$B$2:$B$722,83,Данные!$C$2:$C$722,0,Данные!$A$2:$A$722,"&gt;="&amp;7725750000,Данные!$A$2:$A$722,"&lt;="&amp;7725750399)</f>
        <v>0</v>
      </c>
      <c r="BK146" s="66" t="n">
        <f aca="false">COUNTIFS(Данные!$B$2:$B$722,83,Данные!$C$2:$C$722,0,Данные!$A$2:$A$722,"&gt;="&amp;7723620000,Данные!$A$2:$A$722,"&lt;="&amp;7723621299)</f>
        <v>0</v>
      </c>
      <c r="BL146" s="66" t="n">
        <f aca="false">COUNTIFS(Данные!$B$2:$B$722,83,Данные!$C$2:$C$722,0,Данные!$A$2:$A$722,"&gt;="&amp;7723621600,Данные!$A$2:$A$722,"&lt;="&amp;7723623399)</f>
        <v>0</v>
      </c>
      <c r="BM146" s="66" t="n">
        <f aca="false">COUNTIFS(Данные!$B$2:$B$722,83,Данные!$C$2:$C$722,0,Данные!$A$2:$A$722,"&gt;="&amp;7725127000,Данные!$A$2:$A$722,"&lt;="&amp;7725127999)</f>
        <v>0</v>
      </c>
      <c r="BN146" s="66" t="n">
        <f aca="false">COUNTIFS(Данные!$B$2:$B$722,83,Данные!$C$2:$C$722,0,Данные!$A$2:$A$722,"&gt;="&amp;7723772000,Данные!$A$2:$A$722,"&lt;="&amp;7723724999)</f>
        <v>0</v>
      </c>
      <c r="BO146" s="65" t="n">
        <f aca="false">COUNTIFS(Данные!$B$2:$B$722,83,Данные!$C$2:$C$722,0,Данные!$A$2:$A$722,"&gt;="&amp;7723765000,Данные!$A$2:$A$722,"&lt;="&amp;7723765499)</f>
        <v>0</v>
      </c>
      <c r="BP146" s="66" t="n">
        <f aca="false">COUNTIFS(Данные!$B$2:$B$722,83,Данные!$C$2:$C$722,0,Данные!$A$2:$A$722,"&gt;="&amp;7723948000,Данные!$A$2:$A$722,"&lt;="&amp;7723948999)</f>
        <v>0</v>
      </c>
      <c r="BQ146" s="66" t="n">
        <f aca="false">COUNTIFS(Данные!$B$2:$B$722,83,Данные!$C$2:$C$722,0,Данные!$A$2:$A$722,"&gt;="&amp;7723950000,Данные!$A$2:$A$722,"&lt;="&amp;7723951099)</f>
        <v>0</v>
      </c>
      <c r="BR146" s="66" t="n">
        <f aca="false">COUNTIFS(Данные!$B$2:$B$722,83,Данные!$C$2:$C$722,0,Данные!$A$2:$A$722,"&gt;="&amp;7723020000,Данные!$A$2:$A$722,"&lt;="&amp;7723020999)</f>
        <v>0</v>
      </c>
      <c r="BS146" s="66" t="n">
        <f aca="false">COUNTIFS(Данные!$B$2:$B$722,83,Данные!$C$2:$C$722,0,Данные!$A$2:$A$722,"&gt;="&amp;7723029000,Данные!$A$2:$A$722,"&lt;="&amp;7723029999)</f>
        <v>0</v>
      </c>
      <c r="BT146" s="66" t="n">
        <f aca="false">COUNTIFS(Данные!$B$2:$B$722,83,Данные!$C$2:$C$722,0,Данные!$A$2:$A$722,"&gt;="&amp;7723055000,Данные!$A$2:$A$722,"&lt;="&amp;7723056549)</f>
        <v>0</v>
      </c>
      <c r="BU146" s="65" t="n">
        <f aca="false">COUNTIFS(Данные!$B$2:$B$722,83,Данные!$C$2:$C$722,0,Данные!$A$2:$A$722,"&gt;="&amp;7725250000,Данные!$A$2:$A$722,"&lt;="&amp;7725250499)</f>
        <v>0</v>
      </c>
      <c r="BV146" s="66" t="n">
        <f aca="false">COUNTIFS(Данные!$B$2:$B$722,83,Данные!$C$2:$C$722,0,Данные!$A$2:$A$722,"&gt;="&amp;7183841400,Данные!$A$2:$A$722,"&lt;="&amp;7183841499)</f>
        <v>0</v>
      </c>
      <c r="BW146" s="49" t="n">
        <v>300</v>
      </c>
      <c r="BX146" s="67" t="n">
        <f aca="false">F146-BW146</f>
        <v>-300</v>
      </c>
    </row>
    <row r="147" s="15" customFormat="true" ht="12" hidden="false" customHeight="true" outlineLevel="0" collapsed="false">
      <c r="A147" s="47"/>
      <c r="B147" s="48"/>
      <c r="C147" s="50" t="n">
        <v>1</v>
      </c>
      <c r="D147" s="50" t="n">
        <v>831</v>
      </c>
      <c r="E147" s="51"/>
      <c r="F147" s="65" t="n">
        <f aca="false">COUNTIFS(Данные!$B$2:$B$722,83,Данные!$C$2:$C$722,1)</f>
        <v>0</v>
      </c>
      <c r="G147" s="65" t="n">
        <f aca="false">COUNTIFS(Данные!$B$2:$B$722,83,Данные!$C$2:$C$722,1,Данные!$A$2:$A$722,"&gt;="&amp;77232210840,Данные!$A$2:$A$722,"&lt;="&amp;77232216999)</f>
        <v>0</v>
      </c>
      <c r="H147" s="65" t="n">
        <f aca="false">COUNTIFS(Данные!$B$2:$B$722,83,Данные!$C$2:$C$722,1,Данные!$A$2:$A$722,"&gt;="&amp;77232510512,Данные!$A$2:$A$722,"&lt;="&amp;77232519487)</f>
        <v>0</v>
      </c>
      <c r="I147" s="65" t="n">
        <f aca="false">COUNTIFS(Данные!$B$2:$B$722,83,Данные!$C$2:$C$722,1,Данные!$A$2:$A$722,"&gt;="&amp;77232524160,Данные!$A$2:$A$722,"&lt;="&amp;77232529999)</f>
        <v>0</v>
      </c>
      <c r="J147" s="65" t="n">
        <f aca="false">COUNTIFS(Данные!$B$2:$B$722,83,Данные!$C$2:$C$722,1,Данные!$A$2:$A$722,"&gt;="&amp;77232544000,Данные!$A$2:$A$722,"&lt;="&amp;77232544999)</f>
        <v>0</v>
      </c>
      <c r="K147" s="65" t="n">
        <f aca="false">COUNTIFS(Данные!$B$2:$B$722,83,Данные!$C$2:$C$722,1,Данные!$A$2:$A$722,"&gt;="&amp;77232295504,Данные!$A$2:$A$722,"&lt;="&amp;77232296999)</f>
        <v>0</v>
      </c>
      <c r="L147" s="65" t="n">
        <f aca="false">COUNTIFS(Данные!$B$2:$B$722,83,Данные!$C$2:$C$722,1,Данные!$A$2:$A$722,"&gt;="&amp;77232785000,Данные!$A$2:$A$722,"&lt;="&amp;77232789999)</f>
        <v>0</v>
      </c>
      <c r="M147" s="65" t="n">
        <f aca="false">COUNTIFS(Данные!$B$2:$B$722,83,Данные!$C$2:$C$722,1,Данные!$A$2:$A$722,"&gt;="&amp;77233150000,Данные!$A$2:$A$722,"&lt;="&amp;77233155999)</f>
        <v>0</v>
      </c>
      <c r="N147" s="65" t="n">
        <f aca="false">COUNTIFS(Данные!$B$2:$B$722,83,Данные!$C$2:$C$722,1,Данные!$A$2:$A$722,"&gt;="&amp;77233235000,Данные!$A$2:$A$722,"&lt;="&amp;77233235999)</f>
        <v>0</v>
      </c>
      <c r="O147" s="65" t="n">
        <f aca="false">COUNTIFS(Данные!$B$2:$B$722,83,Данные!$C$2:$C$722,1,Данные!$A$2:$A$722,"&gt;="&amp;77233239000,Данные!$A$2:$A$722,"&lt;="&amp;77233239999)</f>
        <v>0</v>
      </c>
      <c r="P147" s="65" t="n">
        <f aca="false">COUNTIFS(Данные!$B$2:$B$722,83,Данные!$C$2:$C$722,1,Данные!$A$2:$A$722,"&gt;="&amp;77233272000,Данные!$A$2:$A$722,"&lt;="&amp;77233272999)</f>
        <v>0</v>
      </c>
      <c r="Q147" s="65" t="n">
        <f aca="false">COUNTIFS(Данные!$B$2:$B$722,83,Данные!$C$2:$C$722,1,Данные!$A$2:$A$722,"&gt;="&amp;77233291100,Данные!$A$2:$A$722,"&lt;="&amp;77233292999)</f>
        <v>0</v>
      </c>
      <c r="R147" s="65" t="n">
        <f aca="false">COUNTIFS(Данные!$B$2:$B$722,83,Данные!$C$2:$C$722,1,Данные!$A$2:$A$722,"&gt;="&amp;77233297000,Данные!$A$2:$A$722,"&lt;="&amp;77233298399)</f>
        <v>0</v>
      </c>
      <c r="S147" s="65" t="n">
        <f aca="false">COUNTIFS(Данные!$B$2:$B$722,83,Данные!$C$2:$C$722,1,Данные!$A$2:$A$722,"&gt;="&amp;77235124000,Данные!$A$2:$A$722,"&lt;="&amp;77235128499)</f>
        <v>0</v>
      </c>
      <c r="T147" s="65" t="n">
        <f aca="false">COUNTIFS(Данные!$B$2:$B$722,83,Данные!$C$2:$C$722,1,Данные!$A$2:$A$722,"&gt;="&amp;77235320000,Данные!$A$2:$A$722,"&lt;="&amp;77235320999)</f>
        <v>0</v>
      </c>
      <c r="U147" s="65" t="n">
        <f aca="false">COUNTIFS(Данные!$B$2:$B$722,83,Данные!$C$2:$C$722,1,Данные!$A$2:$A$722,"&gt;="&amp;77233620000,Данные!$A$2:$A$722,"&lt;="&amp;77233623339)</f>
        <v>0</v>
      </c>
      <c r="V147" s="65" t="n">
        <f aca="false">COUNTIFS(Данные!$B$2:$B$722,83,Данные!$C$2:$C$722,1,Данные!$A$2:$A$722,"&gt;="&amp;77233630000,Данные!$A$2:$A$722,"&lt;="&amp;77233630999)</f>
        <v>0</v>
      </c>
      <c r="W147" s="65" t="n">
        <f aca="false">COUNTIFS(Данные!$B$2:$B$722,83,Данные!$C$2:$C$722,1,Данные!$A$2:$A$722,"&gt;="&amp;77233637000,Данные!$A$2:$A$722,"&lt;="&amp;77233637599)</f>
        <v>0</v>
      </c>
      <c r="X147" s="65" t="n">
        <f aca="false">COUNTIFS(Данные!$B$2:$B$722,83,Данные!$C$2:$C$722,1,Данные!$A$2:$A$722,"&gt;="&amp;77233550000,Данные!$A$2:$A$722,"&lt;="&amp;77233550999)</f>
        <v>0</v>
      </c>
      <c r="Y147" s="65" t="n">
        <f aca="false">COUNTIFS(Данные!$B$2:$B$722,83,Данные!$C$2:$C$722,1,Данные!$A$2:$A$722,"&gt;="&amp;77233554000,Данные!$A$2:$A$722,"&lt;="&amp;77233554999)</f>
        <v>0</v>
      </c>
      <c r="Z147" s="65" t="n">
        <f aca="false">COUNTIFS(Данные!$B$2:$B$722,83,Данные!$C$2:$C$722,1,Данные!$A$2:$A$722,"&gt;="&amp;77233555000,Данные!$A$2:$A$722,"&lt;="&amp;77233556999)</f>
        <v>0</v>
      </c>
      <c r="AA147" s="65" t="n">
        <f aca="false">COUNTIFS(Данные!$B$2:$B$722,83,Данные!$C$2:$C$722,1,Данные!$A$2:$A$722,"&gt;="&amp;77233726000,Данные!$A$2:$A$722,"&lt;="&amp;77233726999)</f>
        <v>0</v>
      </c>
      <c r="AB147" s="65" t="n">
        <f aca="false">COUNTIFS(Данные!$B$2:$B$722,83,Данные!$C$2:$C$722,1,Данные!$A$2:$A$722,"&gt;="&amp;77233820000,Данные!$A$2:$A$722,"&lt;="&amp;77233820999)</f>
        <v>0</v>
      </c>
      <c r="AC147" s="65" t="n">
        <f aca="false">COUNTIFS(Данные!$B$2:$B$722,83,Данные!$C$2:$C$722,1,Данные!$A$2:$A$722,"&gt;="&amp;77233850000,Данные!$A$2:$A$722,"&lt;="&amp;77233850999)</f>
        <v>0</v>
      </c>
      <c r="AD147" s="65" t="n">
        <f aca="false">COUNTIFS(Данные!$B$2:$B$722,83,Данные!$C$2:$C$722,1,Данные!$A$2:$A$722,"&gt;="&amp;77233420000,Данные!$A$2:$A$722,"&lt;="&amp;77233420999)</f>
        <v>0</v>
      </c>
      <c r="AE147" s="65" t="n">
        <f aca="false">COUNTIFS(Данные!$B$2:$B$722,83,Данные!$C$2:$C$722,1,Данные!$A$2:$A$722,"&gt;="&amp;77234740000,Данные!$A$2:$A$722,"&lt;="&amp;77234742999)</f>
        <v>0</v>
      </c>
      <c r="AF147" s="65" t="n">
        <f aca="false">COUNTIFS(Данные!$B$2:$B$722,83,Данные!$C$2:$C$722,1,Данные!$A$2:$A$722,"&gt;="&amp;77234767000,Данные!$A$2:$A$722,"&lt;="&amp;77234767999)</f>
        <v>0</v>
      </c>
      <c r="AG147" s="65" t="n">
        <f aca="false">COUNTIFS(Данные!$B$2:$B$722,83,Данные!$C$2:$C$722,1,Данные!$A$2:$A$722,"&gt;="&amp;77234120000,Данные!$A$2:$A$722,"&lt;="&amp;77234120999)</f>
        <v>0</v>
      </c>
      <c r="AH147" s="65" t="n">
        <f aca="false">COUNTIFS(Данные!$B$2:$B$722,83,Данные!$C$2:$C$722,1,Данные!$A$2:$A$722,"&gt;="&amp;77234127000,Данные!$A$2:$A$722,"&lt;="&amp;77234127999)</f>
        <v>0</v>
      </c>
      <c r="AI147" s="65" t="n">
        <f aca="false">COUNTIFS(Данные!$B$2:$B$722,83,Данные!$C$2:$C$722,1,Данные!$A$2:$A$722,"&gt;="&amp;77234220000,Данные!$A$2:$A$722,"&lt;="&amp;77234220999)</f>
        <v>0</v>
      </c>
      <c r="AJ147" s="65" t="n">
        <f aca="false">COUNTIFS(Данные!$B$2:$B$722,83,Данные!$C$2:$C$722,1,Данные!$A$2:$A$722,"&gt;="&amp;77234250000,Данные!$A$2:$A$722,"&lt;="&amp;77234250999)</f>
        <v>0</v>
      </c>
      <c r="AK147" s="65" t="n">
        <f aca="false">COUNTIFS(Данные!$B$2:$B$722,83,Данные!$C$2:$C$722,1,Данные!$A$2:$A$722,"&gt;="&amp;77233922950,Данные!$A$2:$A$722,"&lt;="&amp;77233924999)</f>
        <v>0</v>
      </c>
      <c r="AL147" s="65" t="n">
        <f aca="false">COUNTIFS(Данные!$B$2:$B$722,83,Данные!$C$2:$C$722,1,Данные!$A$2:$A$722,"&gt;="&amp;77234320000,Данные!$A$2:$A$722,"&lt;="&amp;77234320999)</f>
        <v>0</v>
      </c>
      <c r="AM147" s="65" t="n">
        <f aca="false">COUNTIFS(Данные!$B$2:$B$722,83,Данные!$C$2:$C$722,1,Данные!$A$2:$A$722,"&gt;="&amp;77234350000,Данные!$A$2:$A$722,"&lt;="&amp;77234350999)</f>
        <v>0</v>
      </c>
      <c r="AN147" s="65" t="n">
        <f aca="false">COUNTIFS(Данные!$B$2:$B$722,83,Данные!$C$2:$C$722,1,Данные!$A$2:$A$722,"&gt;="&amp;77234020000,Данные!$A$2:$A$722,"&lt;="&amp;77234020999)</f>
        <v>0</v>
      </c>
      <c r="AO147" s="65" t="n">
        <f aca="false">COUNTIFS(Данные!$B$2:$B$722,83,Данные!$C$2:$C$722,1,Данные!$A$2:$A$722,"&gt;="&amp;77234029000,Данные!$A$2:$A$722,"&lt;="&amp;77234029999)</f>
        <v>0</v>
      </c>
      <c r="AP147" s="65" t="n">
        <f aca="false">COUNTIFS(Данные!$B$2:$B$722,83,Данные!$C$2:$C$722,1,Данные!$A$2:$A$722,"&gt;="&amp;77234050000,Данные!$A$2:$A$722,"&lt;="&amp;77234050999)</f>
        <v>0</v>
      </c>
      <c r="AQ147" s="65" t="n">
        <f aca="false">COUNTIFS(Данные!$B$2:$B$722,83,Данные!$C$2:$C$722,1,Данные!$A$2:$A$722,"&gt;="&amp;77234427000,Данные!$A$2:$A$722,"&lt;="&amp;77234428999)</f>
        <v>0</v>
      </c>
      <c r="AR147" s="65" t="n">
        <f aca="false">COUNTIFS(Данные!$B$2:$B$722,83,Данные!$C$2:$C$722,1,Данные!$A$2:$A$722,"&gt;="&amp;77234450000,Данные!$A$2:$A$722,"&lt;="&amp;77234450999)</f>
        <v>0</v>
      </c>
      <c r="AS147" s="65" t="n">
        <f aca="false">COUNTIFS(Данные!$B$2:$B$722,83,Данные!$C$2:$C$722,1,Данные!$A$2:$A$722,"&gt;="&amp;77234620000,Данные!$A$2:$A$722,"&lt;="&amp;77234620999)</f>
        <v>0</v>
      </c>
      <c r="AT147" s="65" t="n">
        <f aca="false">COUNTIFS(Данные!$B$2:$B$722,83,Данные!$C$2:$C$722,1,Данные!$A$2:$A$722,"&gt;="&amp;77234650000,Данные!$A$2:$A$722,"&lt;="&amp;77234650999)</f>
        <v>0</v>
      </c>
      <c r="AU147" s="65" t="n">
        <f aca="false">COUNTIFS(Данные!$B$2:$B$722,83,Данные!$C$2:$C$722,1,Данные!$A$2:$A$722,"&gt;="&amp;77234820000,Данные!$A$2:$A$722,"&lt;="&amp;77234820999)</f>
        <v>0</v>
      </c>
      <c r="AV147" s="65" t="n">
        <f aca="false">COUNTIFS(Данные!$B$2:$B$722,83,Данные!$C$2:$C$722,1,Данные!$A$2:$A$722,"&gt;="&amp;77234850000,Данные!$A$2:$A$722,"&lt;="&amp;77234850999)</f>
        <v>0</v>
      </c>
      <c r="AW147" s="65" t="n">
        <f aca="false">COUNTIFS(Данные!$B$2:$B$722,83,Данные!$C$2:$C$722,1,Данные!$A$2:$A$722,"&gt;="&amp;77233327000,Данные!$A$2:$A$722,"&lt;="&amp;77233327999)</f>
        <v>0</v>
      </c>
      <c r="AX147" s="65" t="n">
        <f aca="false">COUNTIFS(Данные!$B$2:$B$722,83,Данные!$C$2:$C$722,1,Данные!$A$2:$A$722,"&gt;="&amp;77233350000,Данные!$A$2:$A$722,"&lt;="&amp;77233350599)</f>
        <v>0</v>
      </c>
      <c r="AY147" s="65" t="n">
        <f aca="false">COUNTIFS(Данные!$B$2:$B$722,83,Данные!$C$2:$C$722,1,Данные!$A$2:$A$722,"&gt;="&amp;77233351000,Данные!$A$2:$A$722,"&lt;="&amp;77233351999)</f>
        <v>0</v>
      </c>
      <c r="AZ147" s="66" t="n">
        <f aca="false">COUNTIFS(Данные!$B$2:$B$722,83,Данные!$C$2:$C$722,1,Данные!$A$2:$A$722,"&gt;="&amp;7722440000,Данные!$A$2:$A$722,"&lt;="&amp;7722440999)</f>
        <v>0</v>
      </c>
      <c r="BA147" s="66" t="n">
        <f aca="false">COUNTIFS(Данные!$B$2:$B$722,83,Данные!$C$2:$C$722,1,Данные!$A$2:$A$722,"&gt;="&amp;7722442000,Данные!$A$2:$A$722,"&lt;="&amp;7722445659)</f>
        <v>0</v>
      </c>
      <c r="BB147" s="66" t="n">
        <f aca="false">COUNTIFS(Данные!$B$2:$B$722,83,Данные!$C$2:$C$722,1,Данные!$A$2:$A$722,"&gt;="&amp;7722450000,Данные!$A$2:$A$722,"&lt;="&amp;7722450199)</f>
        <v>0</v>
      </c>
      <c r="BC147" s="66" t="n">
        <f aca="false">COUNTIFS(Данные!$B$2:$B$722,83,Данные!$C$2:$C$722,1,Данные!$A$2:$A$722,"&gt;="&amp;7722451000,Данные!$A$2:$A$722,"&lt;="&amp;7722451374)</f>
        <v>0</v>
      </c>
      <c r="BD147" s="66" t="n">
        <f aca="false">COUNTIFS(Данные!$B$2:$B$722,83,Данные!$C$2:$C$722,1,Данные!$A$2:$A$722,"&gt;="&amp;7722452000,Данные!$A$2:$A$722,"&lt;="&amp;7722452299)</f>
        <v>0</v>
      </c>
      <c r="BE147" s="66" t="n">
        <f aca="false">COUNTIFS(Данные!$B$2:$B$722,83,Данные!$C$2:$C$722,1,Данные!$A$2:$A$722,"&gt;="&amp;7722453000,Данные!$A$2:$A$722,"&lt;="&amp;7722453816)</f>
        <v>0</v>
      </c>
      <c r="BF147" s="66" t="n">
        <f aca="false">COUNTIFS(Данные!$B$2:$B$722,83,Данные!$C$2:$C$722,1,Данные!$A$2:$A$722,"&gt;="&amp;7722454000,Данные!$A$2:$A$722,"&lt;="&amp;7722454099)</f>
        <v>0</v>
      </c>
      <c r="BG147" s="66" t="n">
        <f aca="false">COUNTIFS(Данные!$B$2:$B$722,83,Данные!$C$2:$C$722,1,Данные!$A$2:$A$722,"&gt;="&amp;7722458000,Данные!$A$2:$A$722,"&lt;="&amp;7722458999)</f>
        <v>0</v>
      </c>
      <c r="BH147" s="66" t="n">
        <f aca="false">COUNTIFS(Данные!$B$2:$B$722,83,Данные!$C$2:$C$722,1,Данные!$A$2:$A$722,"&gt;="&amp;7722630000,Данные!$A$2:$A$722,"&lt;="&amp;7722638549)</f>
        <v>0</v>
      </c>
      <c r="BI147" s="66" t="n">
        <f aca="false">COUNTIFS(Данные!$B$2:$B$722,83,Данные!$C$2:$C$722,1,Данные!$A$2:$A$722,"&gt;="&amp;7722639400,Данные!$A$2:$A$722,"&lt;="&amp;7722639899)</f>
        <v>0</v>
      </c>
      <c r="BJ147" s="66" t="n">
        <f aca="false">COUNTIFS(Данные!$B$2:$B$722,83,Данные!$C$2:$C$722,1,Данные!$A$2:$A$722,"&gt;="&amp;7725750000,Данные!$A$2:$A$722,"&lt;="&amp;7725750399)</f>
        <v>0</v>
      </c>
      <c r="BK147" s="66" t="n">
        <f aca="false">COUNTIFS(Данные!$B$2:$B$722,83,Данные!$C$2:$C$722,1,Данные!$A$2:$A$722,"&gt;="&amp;7723620000,Данные!$A$2:$A$722,"&lt;="&amp;7723621299)</f>
        <v>0</v>
      </c>
      <c r="BL147" s="66" t="n">
        <f aca="false">COUNTIFS(Данные!$B$2:$B$722,83,Данные!$C$2:$C$722,1,Данные!$A$2:$A$722,"&gt;="&amp;7723621600,Данные!$A$2:$A$722,"&lt;="&amp;7723623399)</f>
        <v>0</v>
      </c>
      <c r="BM147" s="66" t="n">
        <f aca="false">COUNTIFS(Данные!$B$2:$B$722,83,Данные!$C$2:$C$722,1,Данные!$A$2:$A$722,"&gt;="&amp;7725127000,Данные!$A$2:$A$722,"&lt;="&amp;7725127999)</f>
        <v>0</v>
      </c>
      <c r="BN147" s="66" t="n">
        <f aca="false">COUNTIFS(Данные!$B$2:$B$722,83,Данные!$C$2:$C$722,1,Данные!$A$2:$A$722,"&gt;="&amp;7723772000,Данные!$A$2:$A$722,"&lt;="&amp;7723724999)</f>
        <v>0</v>
      </c>
      <c r="BO147" s="65" t="n">
        <f aca="false">COUNTIFS(Данные!$B$2:$B$722,83,Данные!$C$2:$C$722,1,Данные!$A$2:$A$722,"&gt;="&amp;7723765000,Данные!$A$2:$A$722,"&lt;="&amp;7723765499)</f>
        <v>0</v>
      </c>
      <c r="BP147" s="66" t="n">
        <f aca="false">COUNTIFS(Данные!$B$2:$B$722,83,Данные!$C$2:$C$722,1,Данные!$A$2:$A$722,"&gt;="&amp;7723948000,Данные!$A$2:$A$722,"&lt;="&amp;7723948999)</f>
        <v>0</v>
      </c>
      <c r="BQ147" s="66" t="n">
        <f aca="false">COUNTIFS(Данные!$B$2:$B$722,83,Данные!$C$2:$C$722,1,Данные!$A$2:$A$722,"&gt;="&amp;7723950000,Данные!$A$2:$A$722,"&lt;="&amp;7723951099)</f>
        <v>0</v>
      </c>
      <c r="BR147" s="66" t="n">
        <f aca="false">COUNTIFS(Данные!$B$2:$B$722,83,Данные!$C$2:$C$722,1,Данные!$A$2:$A$722,"&gt;="&amp;7723020000,Данные!$A$2:$A$722,"&lt;="&amp;7723020999)</f>
        <v>0</v>
      </c>
      <c r="BS147" s="66" t="n">
        <f aca="false">COUNTIFS(Данные!$B$2:$B$722,83,Данные!$C$2:$C$722,1,Данные!$A$2:$A$722,"&gt;="&amp;7723029000,Данные!$A$2:$A$722,"&lt;="&amp;7723029999)</f>
        <v>0</v>
      </c>
      <c r="BT147" s="66" t="n">
        <f aca="false">COUNTIFS(Данные!$B$2:$B$722,83,Данные!$C$2:$C$722,1,Данные!$A$2:$A$722,"&gt;="&amp;7723055000,Данные!$A$2:$A$722,"&lt;="&amp;7723056549)</f>
        <v>0</v>
      </c>
      <c r="BU147" s="65" t="n">
        <f aca="false">COUNTIFS(Данные!$B$2:$B$722,83,Данные!$C$2:$C$722,1,Данные!$A$2:$A$722,"&gt;="&amp;7725250000,Данные!$A$2:$A$722,"&lt;="&amp;7725250499)</f>
        <v>0</v>
      </c>
      <c r="BV147" s="66" t="n">
        <f aca="false">COUNTIFS(Данные!$B$2:$B$722,83,Данные!$C$2:$C$722,1,Данные!$A$2:$A$722,"&gt;="&amp;7183841400,Данные!$A$2:$A$722,"&lt;="&amp;7183841499)</f>
        <v>0</v>
      </c>
      <c r="BW147" s="49" t="n">
        <v>300</v>
      </c>
      <c r="BX147" s="67" t="n">
        <f aca="false">F147-BW147</f>
        <v>-300</v>
      </c>
    </row>
    <row r="148" s="15" customFormat="true" ht="12" hidden="false" customHeight="true" outlineLevel="0" collapsed="false">
      <c r="A148" s="47"/>
      <c r="B148" s="48"/>
      <c r="C148" s="50" t="n">
        <v>2</v>
      </c>
      <c r="D148" s="50" t="n">
        <v>832</v>
      </c>
      <c r="E148" s="51"/>
      <c r="F148" s="65" t="n">
        <f aca="false">COUNTIFS(Данные!$B$2:$B$722,83,Данные!$C$2:$C$722,2)</f>
        <v>0</v>
      </c>
      <c r="G148" s="65" t="n">
        <f aca="false">COUNTIFS(Данные!$B$2:$B$722,83,Данные!$C$2:$C$722,2,Данные!$A$2:$A$722,"&gt;="&amp;77232210840,Данные!$A$2:$A$722,"&lt;="&amp;77232216999)</f>
        <v>0</v>
      </c>
      <c r="H148" s="65" t="n">
        <f aca="false">COUNTIFS(Данные!$B$2:$B$722,83,Данные!$C$2:$C$722,2,Данные!$A$2:$A$722,"&gt;="&amp;77232510512,Данные!$A$2:$A$722,"&lt;="&amp;77232519487)</f>
        <v>0</v>
      </c>
      <c r="I148" s="65" t="n">
        <f aca="false">COUNTIFS(Данные!$B$2:$B$722,83,Данные!$C$2:$C$722,2,Данные!$A$2:$A$722,"&gt;="&amp;77232524160,Данные!$A$2:$A$722,"&lt;="&amp;77232529999)</f>
        <v>0</v>
      </c>
      <c r="J148" s="65" t="n">
        <f aca="false">COUNTIFS(Данные!$B$2:$B$722,83,Данные!$C$2:$C$722,2,Данные!$A$2:$A$722,"&gt;="&amp;77232544000,Данные!$A$2:$A$722,"&lt;="&amp;77232544999)</f>
        <v>0</v>
      </c>
      <c r="K148" s="65" t="n">
        <f aca="false">COUNTIFS(Данные!$B$2:$B$722,83,Данные!$C$2:$C$722,2,Данные!$A$2:$A$722,"&gt;="&amp;77232295504,Данные!$A$2:$A$722,"&lt;="&amp;77232296999)</f>
        <v>0</v>
      </c>
      <c r="L148" s="65" t="n">
        <f aca="false">COUNTIFS(Данные!$B$2:$B$722,83,Данные!$C$2:$C$722,2,Данные!$A$2:$A$722,"&gt;="&amp;77232785000,Данные!$A$2:$A$722,"&lt;="&amp;77232789999)</f>
        <v>0</v>
      </c>
      <c r="M148" s="65" t="n">
        <f aca="false">COUNTIFS(Данные!$B$2:$B$722,83,Данные!$C$2:$C$722,2,Данные!$A$2:$A$722,"&gt;="&amp;77233150000,Данные!$A$2:$A$722,"&lt;="&amp;77233155999)</f>
        <v>0</v>
      </c>
      <c r="N148" s="65" t="n">
        <f aca="false">COUNTIFS(Данные!$B$2:$B$722,83,Данные!$C$2:$C$722,2,Данные!$A$2:$A$722,"&gt;="&amp;77233235000,Данные!$A$2:$A$722,"&lt;="&amp;77233235999)</f>
        <v>0</v>
      </c>
      <c r="O148" s="65" t="n">
        <f aca="false">COUNTIFS(Данные!$B$2:$B$722,83,Данные!$C$2:$C$722,2,Данные!$A$2:$A$722,"&gt;="&amp;77233239000,Данные!$A$2:$A$722,"&lt;="&amp;77233239999)</f>
        <v>0</v>
      </c>
      <c r="P148" s="65" t="n">
        <f aca="false">COUNTIFS(Данные!$B$2:$B$722,83,Данные!$C$2:$C$722,2,Данные!$A$2:$A$722,"&gt;="&amp;77233272000,Данные!$A$2:$A$722,"&lt;="&amp;77233272999)</f>
        <v>0</v>
      </c>
      <c r="Q148" s="65" t="n">
        <f aca="false">COUNTIFS(Данные!$B$2:$B$722,83,Данные!$C$2:$C$722,2,Данные!$A$2:$A$722,"&gt;="&amp;77233291100,Данные!$A$2:$A$722,"&lt;="&amp;77233292999)</f>
        <v>0</v>
      </c>
      <c r="R148" s="65" t="n">
        <f aca="false">COUNTIFS(Данные!$B$2:$B$722,83,Данные!$C$2:$C$722,2,Данные!$A$2:$A$722,"&gt;="&amp;77233297000,Данные!$A$2:$A$722,"&lt;="&amp;77233298399)</f>
        <v>0</v>
      </c>
      <c r="S148" s="65" t="n">
        <f aca="false">COUNTIFS(Данные!$B$2:$B$722,83,Данные!$C$2:$C$722,2,Данные!$A$2:$A$722,"&gt;="&amp;77235124000,Данные!$A$2:$A$722,"&lt;="&amp;77235128499)</f>
        <v>0</v>
      </c>
      <c r="T148" s="65" t="n">
        <f aca="false">COUNTIFS(Данные!$B$2:$B$722,83,Данные!$C$2:$C$722,2,Данные!$A$2:$A$722,"&gt;="&amp;77235320000,Данные!$A$2:$A$722,"&lt;="&amp;77235320999)</f>
        <v>0</v>
      </c>
      <c r="U148" s="65" t="n">
        <f aca="false">COUNTIFS(Данные!$B$2:$B$722,83,Данные!$C$2:$C$722,2,Данные!$A$2:$A$722,"&gt;="&amp;77233620000,Данные!$A$2:$A$722,"&lt;="&amp;77233623339)</f>
        <v>0</v>
      </c>
      <c r="V148" s="65" t="n">
        <f aca="false">COUNTIFS(Данные!$B$2:$B$722,83,Данные!$C$2:$C$722,2,Данные!$A$2:$A$722,"&gt;="&amp;77233630000,Данные!$A$2:$A$722,"&lt;="&amp;77233630999)</f>
        <v>0</v>
      </c>
      <c r="W148" s="65" t="n">
        <f aca="false">COUNTIFS(Данные!$B$2:$B$722,83,Данные!$C$2:$C$722,2,Данные!$A$2:$A$722,"&gt;="&amp;77233637000,Данные!$A$2:$A$722,"&lt;="&amp;77233637599)</f>
        <v>0</v>
      </c>
      <c r="X148" s="65" t="n">
        <f aca="false">COUNTIFS(Данные!$B$2:$B$722,83,Данные!$C$2:$C$722,2,Данные!$A$2:$A$722,"&gt;="&amp;77233550000,Данные!$A$2:$A$722,"&lt;="&amp;77233550999)</f>
        <v>0</v>
      </c>
      <c r="Y148" s="65" t="n">
        <f aca="false">COUNTIFS(Данные!$B$2:$B$722,83,Данные!$C$2:$C$722,2,Данные!$A$2:$A$722,"&gt;="&amp;77233554000,Данные!$A$2:$A$722,"&lt;="&amp;77233554999)</f>
        <v>0</v>
      </c>
      <c r="Z148" s="65" t="n">
        <f aca="false">COUNTIFS(Данные!$B$2:$B$722,83,Данные!$C$2:$C$722,2,Данные!$A$2:$A$722,"&gt;="&amp;77233555000,Данные!$A$2:$A$722,"&lt;="&amp;77233556999)</f>
        <v>0</v>
      </c>
      <c r="AA148" s="65" t="n">
        <f aca="false">COUNTIFS(Данные!$B$2:$B$722,83,Данные!$C$2:$C$722,2,Данные!$A$2:$A$722,"&gt;="&amp;77233726000,Данные!$A$2:$A$722,"&lt;="&amp;77233726999)</f>
        <v>0</v>
      </c>
      <c r="AB148" s="65" t="n">
        <f aca="false">COUNTIFS(Данные!$B$2:$B$722,83,Данные!$C$2:$C$722,2,Данные!$A$2:$A$722,"&gt;="&amp;77233820000,Данные!$A$2:$A$722,"&lt;="&amp;77233820999)</f>
        <v>0</v>
      </c>
      <c r="AC148" s="65" t="n">
        <f aca="false">COUNTIFS(Данные!$B$2:$B$722,83,Данные!$C$2:$C$722,2,Данные!$A$2:$A$722,"&gt;="&amp;77233850000,Данные!$A$2:$A$722,"&lt;="&amp;77233850999)</f>
        <v>0</v>
      </c>
      <c r="AD148" s="65" t="n">
        <f aca="false">COUNTIFS(Данные!$B$2:$B$722,83,Данные!$C$2:$C$722,2,Данные!$A$2:$A$722,"&gt;="&amp;77233420000,Данные!$A$2:$A$722,"&lt;="&amp;77233420999)</f>
        <v>0</v>
      </c>
      <c r="AE148" s="65" t="n">
        <f aca="false">COUNTIFS(Данные!$B$2:$B$722,83,Данные!$C$2:$C$722,2,Данные!$A$2:$A$722,"&gt;="&amp;77234740000,Данные!$A$2:$A$722,"&lt;="&amp;77234742999)</f>
        <v>0</v>
      </c>
      <c r="AF148" s="65" t="n">
        <f aca="false">COUNTIFS(Данные!$B$2:$B$722,83,Данные!$C$2:$C$722,2,Данные!$A$2:$A$722,"&gt;="&amp;77234767000,Данные!$A$2:$A$722,"&lt;="&amp;77234767999)</f>
        <v>0</v>
      </c>
      <c r="AG148" s="65" t="n">
        <f aca="false">COUNTIFS(Данные!$B$2:$B$722,83,Данные!$C$2:$C$722,2,Данные!$A$2:$A$722,"&gt;="&amp;77234120000,Данные!$A$2:$A$722,"&lt;="&amp;77234120999)</f>
        <v>0</v>
      </c>
      <c r="AH148" s="65" t="n">
        <f aca="false">COUNTIFS(Данные!$B$2:$B$722,83,Данные!$C$2:$C$722,2,Данные!$A$2:$A$722,"&gt;="&amp;77234127000,Данные!$A$2:$A$722,"&lt;="&amp;77234127999)</f>
        <v>0</v>
      </c>
      <c r="AI148" s="65" t="n">
        <f aca="false">COUNTIFS(Данные!$B$2:$B$722,83,Данные!$C$2:$C$722,2,Данные!$A$2:$A$722,"&gt;="&amp;77234220000,Данные!$A$2:$A$722,"&lt;="&amp;77234220999)</f>
        <v>0</v>
      </c>
      <c r="AJ148" s="65" t="n">
        <f aca="false">COUNTIFS(Данные!$B$2:$B$722,83,Данные!$C$2:$C$722,2,Данные!$A$2:$A$722,"&gt;="&amp;77234250000,Данные!$A$2:$A$722,"&lt;="&amp;77234250999)</f>
        <v>0</v>
      </c>
      <c r="AK148" s="65" t="n">
        <f aca="false">COUNTIFS(Данные!$B$2:$B$722,83,Данные!$C$2:$C$722,2,Данные!$A$2:$A$722,"&gt;="&amp;77233922950,Данные!$A$2:$A$722,"&lt;="&amp;77233924999)</f>
        <v>0</v>
      </c>
      <c r="AL148" s="65" t="n">
        <f aca="false">COUNTIFS(Данные!$B$2:$B$722,83,Данные!$C$2:$C$722,2,Данные!$A$2:$A$722,"&gt;="&amp;77234320000,Данные!$A$2:$A$722,"&lt;="&amp;77234320999)</f>
        <v>0</v>
      </c>
      <c r="AM148" s="65" t="n">
        <f aca="false">COUNTIFS(Данные!$B$2:$B$722,83,Данные!$C$2:$C$722,2,Данные!$A$2:$A$722,"&gt;="&amp;77234350000,Данные!$A$2:$A$722,"&lt;="&amp;77234350999)</f>
        <v>0</v>
      </c>
      <c r="AN148" s="65" t="n">
        <f aca="false">COUNTIFS(Данные!$B$2:$B$722,83,Данные!$C$2:$C$722,2,Данные!$A$2:$A$722,"&gt;="&amp;77234020000,Данные!$A$2:$A$722,"&lt;="&amp;77234020999)</f>
        <v>0</v>
      </c>
      <c r="AO148" s="65" t="n">
        <f aca="false">COUNTIFS(Данные!$B$2:$B$722,83,Данные!$C$2:$C$722,2,Данные!$A$2:$A$722,"&gt;="&amp;77234029000,Данные!$A$2:$A$722,"&lt;="&amp;77234029999)</f>
        <v>0</v>
      </c>
      <c r="AP148" s="65" t="n">
        <f aca="false">COUNTIFS(Данные!$B$2:$B$722,83,Данные!$C$2:$C$722,2,Данные!$A$2:$A$722,"&gt;="&amp;77234050000,Данные!$A$2:$A$722,"&lt;="&amp;77234050999)</f>
        <v>0</v>
      </c>
      <c r="AQ148" s="65" t="n">
        <f aca="false">COUNTIFS(Данные!$B$2:$B$722,83,Данные!$C$2:$C$722,2,Данные!$A$2:$A$722,"&gt;="&amp;77234427000,Данные!$A$2:$A$722,"&lt;="&amp;77234428999)</f>
        <v>0</v>
      </c>
      <c r="AR148" s="65" t="n">
        <f aca="false">COUNTIFS(Данные!$B$2:$B$722,83,Данные!$C$2:$C$722,2,Данные!$A$2:$A$722,"&gt;="&amp;77234450000,Данные!$A$2:$A$722,"&lt;="&amp;77234450999)</f>
        <v>0</v>
      </c>
      <c r="AS148" s="65" t="n">
        <f aca="false">COUNTIFS(Данные!$B$2:$B$722,83,Данные!$C$2:$C$722,2,Данные!$A$2:$A$722,"&gt;="&amp;77234620000,Данные!$A$2:$A$722,"&lt;="&amp;77234620999)</f>
        <v>0</v>
      </c>
      <c r="AT148" s="65" t="n">
        <f aca="false">COUNTIFS(Данные!$B$2:$B$722,83,Данные!$C$2:$C$722,2,Данные!$A$2:$A$722,"&gt;="&amp;77234650000,Данные!$A$2:$A$722,"&lt;="&amp;77234650999)</f>
        <v>0</v>
      </c>
      <c r="AU148" s="65" t="n">
        <f aca="false">COUNTIFS(Данные!$B$2:$B$722,83,Данные!$C$2:$C$722,2,Данные!$A$2:$A$722,"&gt;="&amp;77234820000,Данные!$A$2:$A$722,"&lt;="&amp;77234820999)</f>
        <v>0</v>
      </c>
      <c r="AV148" s="65" t="n">
        <f aca="false">COUNTIFS(Данные!$B$2:$B$722,83,Данные!$C$2:$C$722,2,Данные!$A$2:$A$722,"&gt;="&amp;77234850000,Данные!$A$2:$A$722,"&lt;="&amp;77234850999)</f>
        <v>0</v>
      </c>
      <c r="AW148" s="65" t="n">
        <f aca="false">COUNTIFS(Данные!$B$2:$B$722,83,Данные!$C$2:$C$722,2,Данные!$A$2:$A$722,"&gt;="&amp;77233327000,Данные!$A$2:$A$722,"&lt;="&amp;77233327999)</f>
        <v>0</v>
      </c>
      <c r="AX148" s="65" t="n">
        <f aca="false">COUNTIFS(Данные!$B$2:$B$722,83,Данные!$C$2:$C$722,2,Данные!$A$2:$A$722,"&gt;="&amp;77233350000,Данные!$A$2:$A$722,"&lt;="&amp;77233350599)</f>
        <v>0</v>
      </c>
      <c r="AY148" s="65" t="n">
        <f aca="false">COUNTIFS(Данные!$B$2:$B$722,83,Данные!$C$2:$C$722,2,Данные!$A$2:$A$722,"&gt;="&amp;77233351000,Данные!$A$2:$A$722,"&lt;="&amp;77233351999)</f>
        <v>0</v>
      </c>
      <c r="AZ148" s="66" t="n">
        <f aca="false">COUNTIFS(Данные!$B$2:$B$722,83,Данные!$C$2:$C$722,2,Данные!$A$2:$A$722,"&gt;="&amp;7722440000,Данные!$A$2:$A$722,"&lt;="&amp;7722440999)</f>
        <v>0</v>
      </c>
      <c r="BA148" s="66" t="n">
        <f aca="false">COUNTIFS(Данные!$B$2:$B$722,83,Данные!$C$2:$C$722,2,Данные!$A$2:$A$722,"&gt;="&amp;7722442000,Данные!$A$2:$A$722,"&lt;="&amp;7722445659)</f>
        <v>0</v>
      </c>
      <c r="BB148" s="66" t="n">
        <f aca="false">COUNTIFS(Данные!$B$2:$B$722,83,Данные!$C$2:$C$722,2,Данные!$A$2:$A$722,"&gt;="&amp;7722450000,Данные!$A$2:$A$722,"&lt;="&amp;7722450199)</f>
        <v>0</v>
      </c>
      <c r="BC148" s="66" t="n">
        <f aca="false">COUNTIFS(Данные!$B$2:$B$722,83,Данные!$C$2:$C$722,2,Данные!$A$2:$A$722,"&gt;="&amp;7722451000,Данные!$A$2:$A$722,"&lt;="&amp;7722451374)</f>
        <v>0</v>
      </c>
      <c r="BD148" s="66" t="n">
        <f aca="false">COUNTIFS(Данные!$B$2:$B$722,83,Данные!$C$2:$C$722,2,Данные!$A$2:$A$722,"&gt;="&amp;7722452000,Данные!$A$2:$A$722,"&lt;="&amp;7722452299)</f>
        <v>0</v>
      </c>
      <c r="BE148" s="66" t="n">
        <f aca="false">COUNTIFS(Данные!$B$2:$B$722,83,Данные!$C$2:$C$722,2,Данные!$A$2:$A$722,"&gt;="&amp;7722453000,Данные!$A$2:$A$722,"&lt;="&amp;7722453816)</f>
        <v>0</v>
      </c>
      <c r="BF148" s="66" t="n">
        <f aca="false">COUNTIFS(Данные!$B$2:$B$722,83,Данные!$C$2:$C$722,2,Данные!$A$2:$A$722,"&gt;="&amp;7722454000,Данные!$A$2:$A$722,"&lt;="&amp;7722454099)</f>
        <v>0</v>
      </c>
      <c r="BG148" s="66" t="n">
        <f aca="false">COUNTIFS(Данные!$B$2:$B$722,83,Данные!$C$2:$C$722,2,Данные!$A$2:$A$722,"&gt;="&amp;7722458000,Данные!$A$2:$A$722,"&lt;="&amp;7722458999)</f>
        <v>0</v>
      </c>
      <c r="BH148" s="66" t="n">
        <f aca="false">COUNTIFS(Данные!$B$2:$B$722,83,Данные!$C$2:$C$722,2,Данные!$A$2:$A$722,"&gt;="&amp;7722630000,Данные!$A$2:$A$722,"&lt;="&amp;7722638549)</f>
        <v>0</v>
      </c>
      <c r="BI148" s="66" t="n">
        <f aca="false">COUNTIFS(Данные!$B$2:$B$722,83,Данные!$C$2:$C$722,2,Данные!$A$2:$A$722,"&gt;="&amp;7722639400,Данные!$A$2:$A$722,"&lt;="&amp;7722639899)</f>
        <v>0</v>
      </c>
      <c r="BJ148" s="66" t="n">
        <f aca="false">COUNTIFS(Данные!$B$2:$B$722,83,Данные!$C$2:$C$722,2,Данные!$A$2:$A$722,"&gt;="&amp;7725750000,Данные!$A$2:$A$722,"&lt;="&amp;7725750399)</f>
        <v>0</v>
      </c>
      <c r="BK148" s="66" t="n">
        <f aca="false">COUNTIFS(Данные!$B$2:$B$722,83,Данные!$C$2:$C$722,2,Данные!$A$2:$A$722,"&gt;="&amp;7723620000,Данные!$A$2:$A$722,"&lt;="&amp;7723621299)</f>
        <v>0</v>
      </c>
      <c r="BL148" s="66" t="n">
        <f aca="false">COUNTIFS(Данные!$B$2:$B$722,83,Данные!$C$2:$C$722,2,Данные!$A$2:$A$722,"&gt;="&amp;7723621600,Данные!$A$2:$A$722,"&lt;="&amp;7723623399)</f>
        <v>0</v>
      </c>
      <c r="BM148" s="66" t="n">
        <f aca="false">COUNTIFS(Данные!$B$2:$B$722,83,Данные!$C$2:$C$722,2,Данные!$A$2:$A$722,"&gt;="&amp;7725127000,Данные!$A$2:$A$722,"&lt;="&amp;7725127999)</f>
        <v>0</v>
      </c>
      <c r="BN148" s="66" t="n">
        <f aca="false">COUNTIFS(Данные!$B$2:$B$722,83,Данные!$C$2:$C$722,2,Данные!$A$2:$A$722,"&gt;="&amp;7723772000,Данные!$A$2:$A$722,"&lt;="&amp;7723724999)</f>
        <v>0</v>
      </c>
      <c r="BO148" s="65" t="n">
        <f aca="false">COUNTIFS(Данные!$B$2:$B$722,83,Данные!$C$2:$C$722,2,Данные!$A$2:$A$722,"&gt;="&amp;7723765000,Данные!$A$2:$A$722,"&lt;="&amp;7723765499)</f>
        <v>0</v>
      </c>
      <c r="BP148" s="66" t="n">
        <f aca="false">COUNTIFS(Данные!$B$2:$B$722,83,Данные!$C$2:$C$722,2,Данные!$A$2:$A$722,"&gt;="&amp;7723948000,Данные!$A$2:$A$722,"&lt;="&amp;7723948999)</f>
        <v>0</v>
      </c>
      <c r="BQ148" s="66" t="n">
        <f aca="false">COUNTIFS(Данные!$B$2:$B$722,83,Данные!$C$2:$C$722,2,Данные!$A$2:$A$722,"&gt;="&amp;7723950000,Данные!$A$2:$A$722,"&lt;="&amp;7723951099)</f>
        <v>0</v>
      </c>
      <c r="BR148" s="66" t="n">
        <f aca="false">COUNTIFS(Данные!$B$2:$B$722,83,Данные!$C$2:$C$722,2,Данные!$A$2:$A$722,"&gt;="&amp;7723020000,Данные!$A$2:$A$722,"&lt;="&amp;7723020999)</f>
        <v>0</v>
      </c>
      <c r="BS148" s="66" t="n">
        <f aca="false">COUNTIFS(Данные!$B$2:$B$722,83,Данные!$C$2:$C$722,2,Данные!$A$2:$A$722,"&gt;="&amp;7723029000,Данные!$A$2:$A$722,"&lt;="&amp;7723029999)</f>
        <v>0</v>
      </c>
      <c r="BT148" s="66" t="n">
        <f aca="false">COUNTIFS(Данные!$B$2:$B$722,83,Данные!$C$2:$C$722,2,Данные!$A$2:$A$722,"&gt;="&amp;7723055000,Данные!$A$2:$A$722,"&lt;="&amp;7723056549)</f>
        <v>0</v>
      </c>
      <c r="BU148" s="65" t="n">
        <f aca="false">COUNTIFS(Данные!$B$2:$B$722,83,Данные!$C$2:$C$722,2,Данные!$A$2:$A$722,"&gt;="&amp;7725250000,Данные!$A$2:$A$722,"&lt;="&amp;7725250499)</f>
        <v>0</v>
      </c>
      <c r="BV148" s="66" t="n">
        <f aca="false">COUNTIFS(Данные!$B$2:$B$722,83,Данные!$C$2:$C$722,2,Данные!$A$2:$A$722,"&gt;="&amp;7183841400,Данные!$A$2:$A$722,"&lt;="&amp;7183841499)</f>
        <v>0</v>
      </c>
      <c r="BW148" s="49" t="n">
        <v>300</v>
      </c>
      <c r="BX148" s="67" t="n">
        <f aca="false">F148-BW148</f>
        <v>-300</v>
      </c>
    </row>
    <row r="149" s="15" customFormat="true" ht="12" hidden="false" customHeight="true" outlineLevel="0" collapsed="false">
      <c r="A149" s="38" t="n">
        <v>84</v>
      </c>
      <c r="B149" s="39" t="s">
        <v>109</v>
      </c>
      <c r="C149" s="41" t="n">
        <v>0</v>
      </c>
      <c r="D149" s="41" t="n">
        <v>840</v>
      </c>
      <c r="E149" s="42" t="n">
        <f aca="false">SUM(F149:F151)</f>
        <v>15</v>
      </c>
      <c r="F149" s="62" t="n">
        <f aca="false">COUNTIFS(Данные!$B$2:$B$722,84,Данные!$C$2:$C$722,0)</f>
        <v>10</v>
      </c>
      <c r="G149" s="62" t="n">
        <f aca="false">COUNTIFS(Данные!$B$2:$B$722,84,Данные!$C$2:$C$722,0,Данные!$A$2:$A$722,"&gt;="&amp;77232210840,Данные!$A$2:$A$722,"&lt;="&amp;77232216999)</f>
        <v>0</v>
      </c>
      <c r="H149" s="62" t="n">
        <f aca="false">COUNTIFS(Данные!$B$2:$B$722,84,Данные!$C$2:$C$722,0,Данные!$A$2:$A$722,"&gt;="&amp;77232510512,Данные!$A$2:$A$722,"&lt;="&amp;77232519487)</f>
        <v>0</v>
      </c>
      <c r="I149" s="62" t="n">
        <f aca="false">COUNTIFS(Данные!$B$2:$B$722,84,Данные!$C$2:$C$722,0,Данные!$A$2:$A$722,"&gt;="&amp;77232524160,Данные!$A$2:$A$722,"&lt;="&amp;77232529999)</f>
        <v>0</v>
      </c>
      <c r="J149" s="62" t="n">
        <f aca="false">COUNTIFS(Данные!$B$2:$B$722,84,Данные!$C$2:$C$722,0,Данные!$A$2:$A$722,"&gt;="&amp;77232544000,Данные!$A$2:$A$722,"&lt;="&amp;77232544999)</f>
        <v>0</v>
      </c>
      <c r="K149" s="62" t="n">
        <f aca="false">COUNTIFS(Данные!$B$2:$B$722,84,Данные!$C$2:$C$722,0,Данные!$A$2:$A$722,"&gt;="&amp;77232295504,Данные!$A$2:$A$722,"&lt;="&amp;77232296999)</f>
        <v>0</v>
      </c>
      <c r="L149" s="62" t="n">
        <f aca="false">COUNTIFS(Данные!$B$2:$B$722,84,Данные!$C$2:$C$722,0,Данные!$A$2:$A$722,"&gt;="&amp;77232785000,Данные!$A$2:$A$722,"&lt;="&amp;77232789999)</f>
        <v>0</v>
      </c>
      <c r="M149" s="62" t="n">
        <f aca="false">COUNTIFS(Данные!$B$2:$B$722,84,Данные!$C$2:$C$722,0,Данные!$A$2:$A$722,"&gt;="&amp;77233150000,Данные!$A$2:$A$722,"&lt;="&amp;77233155999)</f>
        <v>0</v>
      </c>
      <c r="N149" s="62" t="n">
        <f aca="false">COUNTIFS(Данные!$B$2:$B$722,84,Данные!$C$2:$C$722,0,Данные!$A$2:$A$722,"&gt;="&amp;77233235000,Данные!$A$2:$A$722,"&lt;="&amp;77233235999)</f>
        <v>0</v>
      </c>
      <c r="O149" s="62" t="n">
        <f aca="false">COUNTIFS(Данные!$B$2:$B$722,84,Данные!$C$2:$C$722,0,Данные!$A$2:$A$722,"&gt;="&amp;77233239000,Данные!$A$2:$A$722,"&lt;="&amp;77233239999)</f>
        <v>0</v>
      </c>
      <c r="P149" s="62" t="n">
        <f aca="false">COUNTIFS(Данные!$B$2:$B$722,84,Данные!$C$2:$C$722,0,Данные!$A$2:$A$722,"&gt;="&amp;77233272000,Данные!$A$2:$A$722,"&lt;="&amp;77233272999)</f>
        <v>0</v>
      </c>
      <c r="Q149" s="62" t="n">
        <f aca="false">COUNTIFS(Данные!$B$2:$B$722,84,Данные!$C$2:$C$722,0,Данные!$A$2:$A$722,"&gt;="&amp;77233291100,Данные!$A$2:$A$722,"&lt;="&amp;77233292999)</f>
        <v>0</v>
      </c>
      <c r="R149" s="62" t="n">
        <f aca="false">COUNTIFS(Данные!$B$2:$B$722,84,Данные!$C$2:$C$722,0,Данные!$A$2:$A$722,"&gt;="&amp;77233297000,Данные!$A$2:$A$722,"&lt;="&amp;77233298399)</f>
        <v>0</v>
      </c>
      <c r="S149" s="62" t="n">
        <f aca="false">COUNTIFS(Данные!$B$2:$B$722,84,Данные!$C$2:$C$722,0,Данные!$A$2:$A$722,"&gt;="&amp;77235124000,Данные!$A$2:$A$722,"&lt;="&amp;77235128499)</f>
        <v>0</v>
      </c>
      <c r="T149" s="62" t="n">
        <f aca="false">COUNTIFS(Данные!$B$2:$B$722,84,Данные!$C$2:$C$722,0,Данные!$A$2:$A$722,"&gt;="&amp;77235320000,Данные!$A$2:$A$722,"&lt;="&amp;77235320999)</f>
        <v>0</v>
      </c>
      <c r="U149" s="62" t="n">
        <f aca="false">COUNTIFS(Данные!$B$2:$B$722,84,Данные!$C$2:$C$722,0,Данные!$A$2:$A$722,"&gt;="&amp;77233620000,Данные!$A$2:$A$722,"&lt;="&amp;77233623339)</f>
        <v>0</v>
      </c>
      <c r="V149" s="62" t="n">
        <f aca="false">COUNTIFS(Данные!$B$2:$B$722,84,Данные!$C$2:$C$722,0,Данные!$A$2:$A$722,"&gt;="&amp;77233630000,Данные!$A$2:$A$722,"&lt;="&amp;77233630999)</f>
        <v>0</v>
      </c>
      <c r="W149" s="62" t="n">
        <f aca="false">COUNTIFS(Данные!$B$2:$B$722,84,Данные!$C$2:$C$722,0,Данные!$A$2:$A$722,"&gt;="&amp;77233637000,Данные!$A$2:$A$722,"&lt;="&amp;77233637599)</f>
        <v>0</v>
      </c>
      <c r="X149" s="62" t="n">
        <f aca="false">COUNTIFS(Данные!$B$2:$B$722,84,Данные!$C$2:$C$722,0,Данные!$A$2:$A$722,"&gt;="&amp;77233550000,Данные!$A$2:$A$722,"&lt;="&amp;77233550999)</f>
        <v>0</v>
      </c>
      <c r="Y149" s="62" t="n">
        <f aca="false">COUNTIFS(Данные!$B$2:$B$722,84,Данные!$C$2:$C$722,0,Данные!$A$2:$A$722,"&gt;="&amp;77233554000,Данные!$A$2:$A$722,"&lt;="&amp;77233554999)</f>
        <v>0</v>
      </c>
      <c r="Z149" s="62" t="n">
        <f aca="false">COUNTIFS(Данные!$B$2:$B$722,84,Данные!$C$2:$C$722,0,Данные!$A$2:$A$722,"&gt;="&amp;77233555000,Данные!$A$2:$A$722,"&lt;="&amp;77233556999)</f>
        <v>0</v>
      </c>
      <c r="AA149" s="62" t="n">
        <f aca="false">COUNTIFS(Данные!$B$2:$B$722,84,Данные!$C$2:$C$722,0,Данные!$A$2:$A$722,"&gt;="&amp;77233726000,Данные!$A$2:$A$722,"&lt;="&amp;77233726999)</f>
        <v>0</v>
      </c>
      <c r="AB149" s="62" t="n">
        <f aca="false">COUNTIFS(Данные!$B$2:$B$722,84,Данные!$C$2:$C$722,0,Данные!$A$2:$A$722,"&gt;="&amp;77233820000,Данные!$A$2:$A$722,"&lt;="&amp;77233820999)</f>
        <v>0</v>
      </c>
      <c r="AC149" s="62" t="n">
        <f aca="false">COUNTIFS(Данные!$B$2:$B$722,84,Данные!$C$2:$C$722,0,Данные!$A$2:$A$722,"&gt;="&amp;77233850000,Данные!$A$2:$A$722,"&lt;="&amp;77233850999)</f>
        <v>0</v>
      </c>
      <c r="AD149" s="62" t="n">
        <f aca="false">COUNTIFS(Данные!$B$2:$B$722,84,Данные!$C$2:$C$722,0,Данные!$A$2:$A$722,"&gt;="&amp;77233420000,Данные!$A$2:$A$722,"&lt;="&amp;77233420999)</f>
        <v>0</v>
      </c>
      <c r="AE149" s="62" t="n">
        <f aca="false">COUNTIFS(Данные!$B$2:$B$722,84,Данные!$C$2:$C$722,0,Данные!$A$2:$A$722,"&gt;="&amp;77234740000,Данные!$A$2:$A$722,"&lt;="&amp;77234742999)</f>
        <v>0</v>
      </c>
      <c r="AF149" s="62" t="n">
        <f aca="false">COUNTIFS(Данные!$B$2:$B$722,84,Данные!$C$2:$C$722,0,Данные!$A$2:$A$722,"&gt;="&amp;77234767000,Данные!$A$2:$A$722,"&lt;="&amp;77234767999)</f>
        <v>0</v>
      </c>
      <c r="AG149" s="62" t="n">
        <f aca="false">COUNTIFS(Данные!$B$2:$B$722,84,Данные!$C$2:$C$722,0,Данные!$A$2:$A$722,"&gt;="&amp;77234120000,Данные!$A$2:$A$722,"&lt;="&amp;77234120999)</f>
        <v>0</v>
      </c>
      <c r="AH149" s="62" t="n">
        <f aca="false">COUNTIFS(Данные!$B$2:$B$722,84,Данные!$C$2:$C$722,0,Данные!$A$2:$A$722,"&gt;="&amp;77234127000,Данные!$A$2:$A$722,"&lt;="&amp;77234127999)</f>
        <v>0</v>
      </c>
      <c r="AI149" s="62" t="n">
        <f aca="false">COUNTIFS(Данные!$B$2:$B$722,84,Данные!$C$2:$C$722,0,Данные!$A$2:$A$722,"&gt;="&amp;77234220000,Данные!$A$2:$A$722,"&lt;="&amp;77234220999)</f>
        <v>0</v>
      </c>
      <c r="AJ149" s="62" t="n">
        <f aca="false">COUNTIFS(Данные!$B$2:$B$722,84,Данные!$C$2:$C$722,0,Данные!$A$2:$A$722,"&gt;="&amp;77234250000,Данные!$A$2:$A$722,"&lt;="&amp;77234250999)</f>
        <v>0</v>
      </c>
      <c r="AK149" s="62" t="n">
        <f aca="false">COUNTIFS(Данные!$B$2:$B$722,84,Данные!$C$2:$C$722,0,Данные!$A$2:$A$722,"&gt;="&amp;77233922950,Данные!$A$2:$A$722,"&lt;="&amp;77233924999)</f>
        <v>0</v>
      </c>
      <c r="AL149" s="62" t="n">
        <f aca="false">COUNTIFS(Данные!$B$2:$B$722,84,Данные!$C$2:$C$722,0,Данные!$A$2:$A$722,"&gt;="&amp;77234320000,Данные!$A$2:$A$722,"&lt;="&amp;77234320999)</f>
        <v>0</v>
      </c>
      <c r="AM149" s="62" t="n">
        <f aca="false">COUNTIFS(Данные!$B$2:$B$722,84,Данные!$C$2:$C$722,0,Данные!$A$2:$A$722,"&gt;="&amp;77234350000,Данные!$A$2:$A$722,"&lt;="&amp;77234350999)</f>
        <v>0</v>
      </c>
      <c r="AN149" s="62" t="n">
        <f aca="false">COUNTIFS(Данные!$B$2:$B$722,84,Данные!$C$2:$C$722,0,Данные!$A$2:$A$722,"&gt;="&amp;77234020000,Данные!$A$2:$A$722,"&lt;="&amp;77234020999)</f>
        <v>0</v>
      </c>
      <c r="AO149" s="62" t="n">
        <f aca="false">COUNTIFS(Данные!$B$2:$B$722,84,Данные!$C$2:$C$722,0,Данные!$A$2:$A$722,"&gt;="&amp;77234029000,Данные!$A$2:$A$722,"&lt;="&amp;77234029999)</f>
        <v>0</v>
      </c>
      <c r="AP149" s="62" t="n">
        <f aca="false">COUNTIFS(Данные!$B$2:$B$722,84,Данные!$C$2:$C$722,0,Данные!$A$2:$A$722,"&gt;="&amp;77234050000,Данные!$A$2:$A$722,"&lt;="&amp;77234050999)</f>
        <v>0</v>
      </c>
      <c r="AQ149" s="62" t="n">
        <f aca="false">COUNTIFS(Данные!$B$2:$B$722,84,Данные!$C$2:$C$722,0,Данные!$A$2:$A$722,"&gt;="&amp;77234427000,Данные!$A$2:$A$722,"&lt;="&amp;77234428999)</f>
        <v>0</v>
      </c>
      <c r="AR149" s="62" t="n">
        <f aca="false">COUNTIFS(Данные!$B$2:$B$722,84,Данные!$C$2:$C$722,0,Данные!$A$2:$A$722,"&gt;="&amp;77234450000,Данные!$A$2:$A$722,"&lt;="&amp;77234450999)</f>
        <v>0</v>
      </c>
      <c r="AS149" s="62" t="n">
        <f aca="false">COUNTIFS(Данные!$B$2:$B$722,84,Данные!$C$2:$C$722,0,Данные!$A$2:$A$722,"&gt;="&amp;77234620000,Данные!$A$2:$A$722,"&lt;="&amp;77234620999)</f>
        <v>0</v>
      </c>
      <c r="AT149" s="62" t="n">
        <f aca="false">COUNTIFS(Данные!$B$2:$B$722,84,Данные!$C$2:$C$722,0,Данные!$A$2:$A$722,"&gt;="&amp;77234650000,Данные!$A$2:$A$722,"&lt;="&amp;77234650999)</f>
        <v>0</v>
      </c>
      <c r="AU149" s="62" t="n">
        <f aca="false">COUNTIFS(Данные!$B$2:$B$722,84,Данные!$C$2:$C$722,0,Данные!$A$2:$A$722,"&gt;="&amp;77234820000,Данные!$A$2:$A$722,"&lt;="&amp;77234820999)</f>
        <v>6</v>
      </c>
      <c r="AV149" s="62" t="n">
        <f aca="false">COUNTIFS(Данные!$B$2:$B$722,84,Данные!$C$2:$C$722,0,Данные!$A$2:$A$722,"&gt;="&amp;77234850000,Данные!$A$2:$A$722,"&lt;="&amp;77234850999)</f>
        <v>3</v>
      </c>
      <c r="AW149" s="62" t="n">
        <f aca="false">COUNTIFS(Данные!$B$2:$B$722,84,Данные!$C$2:$C$722,0,Данные!$A$2:$A$722,"&gt;="&amp;77233327000,Данные!$A$2:$A$722,"&lt;="&amp;77233327999)</f>
        <v>0</v>
      </c>
      <c r="AX149" s="62" t="n">
        <f aca="false">COUNTIFS(Данные!$B$2:$B$722,84,Данные!$C$2:$C$722,0,Данные!$A$2:$A$722,"&gt;="&amp;77233350000,Данные!$A$2:$A$722,"&lt;="&amp;77233350599)</f>
        <v>0</v>
      </c>
      <c r="AY149" s="62" t="n">
        <f aca="false">COUNTIFS(Данные!$B$2:$B$722,84,Данные!$C$2:$C$722,0,Данные!$A$2:$A$722,"&gt;="&amp;77233351000,Данные!$A$2:$A$722,"&lt;="&amp;77233351999)</f>
        <v>0</v>
      </c>
      <c r="AZ149" s="62" t="n">
        <f aca="false">COUNTIFS(Данные!$B$2:$B$722,84,Данные!$C$2:$C$722,0,Данные!$A$2:$A$722,"&gt;="&amp;7722440000,Данные!$A$2:$A$722,"&lt;="&amp;7722440999)</f>
        <v>0</v>
      </c>
      <c r="BA149" s="63" t="n">
        <f aca="false">COUNTIFS(Данные!$B$2:$B$722,84,Данные!$C$2:$C$722,0,Данные!$A$2:$A$722,"&gt;="&amp;7722442000,Данные!$A$2:$A$722,"&lt;="&amp;7722445659)</f>
        <v>0</v>
      </c>
      <c r="BB149" s="63" t="n">
        <f aca="false">COUNTIFS(Данные!$B$2:$B$722,84,Данные!$C$2:$C$722,0,Данные!$A$2:$A$722,"&gt;="&amp;7722450000,Данные!$A$2:$A$722,"&lt;="&amp;7722450199)</f>
        <v>0</v>
      </c>
      <c r="BC149" s="63" t="n">
        <f aca="false">COUNTIFS(Данные!$B$2:$B$722,84,Данные!$C$2:$C$722,0,Данные!$A$2:$A$722,"&gt;="&amp;7722451000,Данные!$A$2:$A$722,"&lt;="&amp;7722451374)</f>
        <v>0</v>
      </c>
      <c r="BD149" s="63" t="n">
        <f aca="false">COUNTIFS(Данные!$B$2:$B$722,84,Данные!$C$2:$C$722,0,Данные!$A$2:$A$722,"&gt;="&amp;7722452000,Данные!$A$2:$A$722,"&lt;="&amp;7722452299)</f>
        <v>0</v>
      </c>
      <c r="BE149" s="63" t="n">
        <f aca="false">COUNTIFS(Данные!$B$2:$B$722,84,Данные!$C$2:$C$722,0,Данные!$A$2:$A$722,"&gt;="&amp;7722453000,Данные!$A$2:$A$722,"&lt;="&amp;7722453816)</f>
        <v>0</v>
      </c>
      <c r="BF149" s="63" t="n">
        <f aca="false">COUNTIFS(Данные!$B$2:$B$722,84,Данные!$C$2:$C$722,0,Данные!$A$2:$A$722,"&gt;="&amp;7722454000,Данные!$A$2:$A$722,"&lt;="&amp;7722454099)</f>
        <v>0</v>
      </c>
      <c r="BG149" s="63" t="n">
        <f aca="false">COUNTIFS(Данные!$B$2:$B$722,84,Данные!$C$2:$C$722,0,Данные!$A$2:$A$722,"&gt;="&amp;7722458000,Данные!$A$2:$A$722,"&lt;="&amp;7722458999)</f>
        <v>0</v>
      </c>
      <c r="BH149" s="63" t="n">
        <f aca="false">COUNTIFS(Данные!$B$2:$B$722,84,Данные!$C$2:$C$722,0,Данные!$A$2:$A$722,"&gt;="&amp;7722630000,Данные!$A$2:$A$722,"&lt;="&amp;7722638549)</f>
        <v>0</v>
      </c>
      <c r="BI149" s="63" t="n">
        <f aca="false">COUNTIFS(Данные!$B$2:$B$722,84,Данные!$C$2:$C$722,0,Данные!$A$2:$A$722,"&gt;="&amp;7722639400,Данные!$A$2:$A$722,"&lt;="&amp;7722639899)</f>
        <v>0</v>
      </c>
      <c r="BJ149" s="63" t="n">
        <f aca="false">COUNTIFS(Данные!$B$2:$B$722,84,Данные!$C$2:$C$722,0,Данные!$A$2:$A$722,"&gt;="&amp;7725750000,Данные!$A$2:$A$722,"&lt;="&amp;7725750399)</f>
        <v>0</v>
      </c>
      <c r="BK149" s="63" t="n">
        <f aca="false">COUNTIFS(Данные!$B$2:$B$722,84,Данные!$C$2:$C$722,0,Данные!$A$2:$A$722,"&gt;="&amp;7723620000,Данные!$A$2:$A$722,"&lt;="&amp;7723621299)</f>
        <v>0</v>
      </c>
      <c r="BL149" s="63" t="n">
        <f aca="false">COUNTIFS(Данные!$B$2:$B$722,84,Данные!$C$2:$C$722,0,Данные!$A$2:$A$722,"&gt;="&amp;7723621600,Данные!$A$2:$A$722,"&lt;="&amp;7723623399)</f>
        <v>0</v>
      </c>
      <c r="BM149" s="63" t="n">
        <f aca="false">COUNTIFS(Данные!$B$2:$B$722,84,Данные!$C$2:$C$722,0,Данные!$A$2:$A$722,"&gt;="&amp;7725127000,Данные!$A$2:$A$722,"&lt;="&amp;7725127999)</f>
        <v>0</v>
      </c>
      <c r="BN149" s="63" t="n">
        <f aca="false">COUNTIFS(Данные!$B$2:$B$722,84,Данные!$C$2:$C$722,0,Данные!$A$2:$A$722,"&gt;="&amp;7723772000,Данные!$A$2:$A$722,"&lt;="&amp;7723724999)</f>
        <v>0</v>
      </c>
      <c r="BO149" s="62" t="n">
        <f aca="false">COUNTIFS(Данные!$B$2:$B$722,84,Данные!$C$2:$C$722,0,Данные!$A$2:$A$722,"&gt;="&amp;7723765000,Данные!$A$2:$A$722,"&lt;="&amp;7723765499)</f>
        <v>0</v>
      </c>
      <c r="BP149" s="63" t="n">
        <f aca="false">COUNTIFS(Данные!$B$2:$B$722,84,Данные!$C$2:$C$722,0,Данные!$A$2:$A$722,"&gt;="&amp;7723948000,Данные!$A$2:$A$722,"&lt;="&amp;7723948999)</f>
        <v>0</v>
      </c>
      <c r="BQ149" s="63" t="n">
        <f aca="false">COUNTIFS(Данные!$B$2:$B$722,84,Данные!$C$2:$C$722,0,Данные!$A$2:$A$722,"&gt;="&amp;7723950000,Данные!$A$2:$A$722,"&lt;="&amp;7723951099)</f>
        <v>0</v>
      </c>
      <c r="BR149" s="63" t="n">
        <f aca="false">COUNTIFS(Данные!$B$2:$B$722,84,Данные!$C$2:$C$722,0,Данные!$A$2:$A$722,"&gt;="&amp;7723020000,Данные!$A$2:$A$722,"&lt;="&amp;7723020999)</f>
        <v>0</v>
      </c>
      <c r="BS149" s="63" t="n">
        <f aca="false">COUNTIFS(Данные!$B$2:$B$722,84,Данные!$C$2:$C$722,0,Данные!$A$2:$A$722,"&gt;="&amp;7723029000,Данные!$A$2:$A$722,"&lt;="&amp;7723029999)</f>
        <v>0</v>
      </c>
      <c r="BT149" s="63" t="n">
        <f aca="false">COUNTIFS(Данные!$B$2:$B$722,84,Данные!$C$2:$C$722,0,Данные!$A$2:$A$722,"&gt;="&amp;7723055000,Данные!$A$2:$A$722,"&lt;="&amp;7723056549)</f>
        <v>0</v>
      </c>
      <c r="BU149" s="62" t="n">
        <f aca="false">COUNTIFS(Данные!$B$2:$B$722,84,Данные!$C$2:$C$722,0,Данные!$A$2:$A$722,"&gt;="&amp;7725250000,Данные!$A$2:$A$722,"&lt;="&amp;7725250499)</f>
        <v>0</v>
      </c>
      <c r="BV149" s="63" t="n">
        <f aca="false">COUNTIFS(Данные!$B$2:$B$722,84,Данные!$C$2:$C$722,0,Данные!$A$2:$A$722,"&gt;="&amp;7183841400,Данные!$A$2:$A$722,"&lt;="&amp;7183841499)</f>
        <v>0</v>
      </c>
      <c r="BW149" s="40" t="n">
        <v>300</v>
      </c>
      <c r="BX149" s="64" t="n">
        <f aca="false">F149-BW149</f>
        <v>-290</v>
      </c>
    </row>
    <row r="150" s="15" customFormat="true" ht="12" hidden="false" customHeight="true" outlineLevel="0" collapsed="false">
      <c r="A150" s="38"/>
      <c r="B150" s="39"/>
      <c r="C150" s="41" t="n">
        <v>1</v>
      </c>
      <c r="D150" s="41" t="n">
        <v>841</v>
      </c>
      <c r="E150" s="42"/>
      <c r="F150" s="62" t="n">
        <f aca="false">COUNTIFS(Данные!$B$2:$B$722,84,Данные!$C$2:$C$722,1)</f>
        <v>3</v>
      </c>
      <c r="G150" s="62" t="n">
        <f aca="false">COUNTIFS(Данные!$B$2:$B$722,84,Данные!$C$2:$C$722,1,Данные!$A$2:$A$722,"&gt;="&amp;77232210840,Данные!$A$2:$A$722,"&lt;="&amp;77232216999)</f>
        <v>0</v>
      </c>
      <c r="H150" s="62" t="n">
        <f aca="false">COUNTIFS(Данные!$B$2:$B$722,84,Данные!$C$2:$C$722,1,Данные!$A$2:$A$722,"&gt;="&amp;77232510512,Данные!$A$2:$A$722,"&lt;="&amp;77232519487)</f>
        <v>0</v>
      </c>
      <c r="I150" s="62" t="n">
        <f aca="false">COUNTIFS(Данные!$B$2:$B$722,84,Данные!$C$2:$C$722,1,Данные!$A$2:$A$722,"&gt;="&amp;77232524160,Данные!$A$2:$A$722,"&lt;="&amp;77232529999)</f>
        <v>0</v>
      </c>
      <c r="J150" s="62" t="n">
        <f aca="false">COUNTIFS(Данные!$B$2:$B$722,84,Данные!$C$2:$C$722,1,Данные!$A$2:$A$722,"&gt;="&amp;77232544000,Данные!$A$2:$A$722,"&lt;="&amp;77232544999)</f>
        <v>0</v>
      </c>
      <c r="K150" s="62" t="n">
        <f aca="false">COUNTIFS(Данные!$B$2:$B$722,84,Данные!$C$2:$C$722,1,Данные!$A$2:$A$722,"&gt;="&amp;77232295504,Данные!$A$2:$A$722,"&lt;="&amp;77232296999)</f>
        <v>0</v>
      </c>
      <c r="L150" s="62" t="n">
        <f aca="false">COUNTIFS(Данные!$B$2:$B$722,84,Данные!$C$2:$C$722,1,Данные!$A$2:$A$722,"&gt;="&amp;77232785000,Данные!$A$2:$A$722,"&lt;="&amp;77232789999)</f>
        <v>0</v>
      </c>
      <c r="M150" s="62" t="n">
        <f aca="false">COUNTIFS(Данные!$B$2:$B$722,84,Данные!$C$2:$C$722,1,Данные!$A$2:$A$722,"&gt;="&amp;77233150000,Данные!$A$2:$A$722,"&lt;="&amp;77233155999)</f>
        <v>0</v>
      </c>
      <c r="N150" s="62" t="n">
        <f aca="false">COUNTIFS(Данные!$B$2:$B$722,84,Данные!$C$2:$C$722,1,Данные!$A$2:$A$722,"&gt;="&amp;77233235000,Данные!$A$2:$A$722,"&lt;="&amp;77233235999)</f>
        <v>0</v>
      </c>
      <c r="O150" s="62" t="n">
        <f aca="false">COUNTIFS(Данные!$B$2:$B$722,84,Данные!$C$2:$C$722,1,Данные!$A$2:$A$722,"&gt;="&amp;77233239000,Данные!$A$2:$A$722,"&lt;="&amp;77233239999)</f>
        <v>0</v>
      </c>
      <c r="P150" s="62" t="n">
        <f aca="false">COUNTIFS(Данные!$B$2:$B$722,84,Данные!$C$2:$C$722,1,Данные!$A$2:$A$722,"&gt;="&amp;77233272000,Данные!$A$2:$A$722,"&lt;="&amp;77233272999)</f>
        <v>0</v>
      </c>
      <c r="Q150" s="62" t="n">
        <f aca="false">COUNTIFS(Данные!$B$2:$B$722,84,Данные!$C$2:$C$722,1,Данные!$A$2:$A$722,"&gt;="&amp;77233291100,Данные!$A$2:$A$722,"&lt;="&amp;77233292999)</f>
        <v>0</v>
      </c>
      <c r="R150" s="62" t="n">
        <f aca="false">COUNTIFS(Данные!$B$2:$B$722,84,Данные!$C$2:$C$722,1,Данные!$A$2:$A$722,"&gt;="&amp;77233297000,Данные!$A$2:$A$722,"&lt;="&amp;77233298399)</f>
        <v>0</v>
      </c>
      <c r="S150" s="62" t="n">
        <f aca="false">COUNTIFS(Данные!$B$2:$B$722,84,Данные!$C$2:$C$722,1,Данные!$A$2:$A$722,"&gt;="&amp;77235124000,Данные!$A$2:$A$722,"&lt;="&amp;77235128499)</f>
        <v>0</v>
      </c>
      <c r="T150" s="62" t="n">
        <f aca="false">COUNTIFS(Данные!$B$2:$B$722,84,Данные!$C$2:$C$722,1,Данные!$A$2:$A$722,"&gt;="&amp;77235320000,Данные!$A$2:$A$722,"&lt;="&amp;77235320999)</f>
        <v>0</v>
      </c>
      <c r="U150" s="62" t="n">
        <f aca="false">COUNTIFS(Данные!$B$2:$B$722,84,Данные!$C$2:$C$722,1,Данные!$A$2:$A$722,"&gt;="&amp;77233620000,Данные!$A$2:$A$722,"&lt;="&amp;77233623339)</f>
        <v>0</v>
      </c>
      <c r="V150" s="62" t="n">
        <f aca="false">COUNTIFS(Данные!$B$2:$B$722,84,Данные!$C$2:$C$722,1,Данные!$A$2:$A$722,"&gt;="&amp;77233630000,Данные!$A$2:$A$722,"&lt;="&amp;77233630999)</f>
        <v>0</v>
      </c>
      <c r="W150" s="62" t="n">
        <f aca="false">COUNTIFS(Данные!$B$2:$B$722,84,Данные!$C$2:$C$722,1,Данные!$A$2:$A$722,"&gt;="&amp;77233637000,Данные!$A$2:$A$722,"&lt;="&amp;77233637599)</f>
        <v>0</v>
      </c>
      <c r="X150" s="62" t="n">
        <f aca="false">COUNTIFS(Данные!$B$2:$B$722,84,Данные!$C$2:$C$722,1,Данные!$A$2:$A$722,"&gt;="&amp;77233550000,Данные!$A$2:$A$722,"&lt;="&amp;77233550999)</f>
        <v>0</v>
      </c>
      <c r="Y150" s="62" t="n">
        <f aca="false">COUNTIFS(Данные!$B$2:$B$722,84,Данные!$C$2:$C$722,1,Данные!$A$2:$A$722,"&gt;="&amp;77233554000,Данные!$A$2:$A$722,"&lt;="&amp;77233554999)</f>
        <v>0</v>
      </c>
      <c r="Z150" s="62" t="n">
        <f aca="false">COUNTIFS(Данные!$B$2:$B$722,84,Данные!$C$2:$C$722,1,Данные!$A$2:$A$722,"&gt;="&amp;77233555000,Данные!$A$2:$A$722,"&lt;="&amp;77233556999)</f>
        <v>0</v>
      </c>
      <c r="AA150" s="62" t="n">
        <f aca="false">COUNTIFS(Данные!$B$2:$B$722,84,Данные!$C$2:$C$722,1,Данные!$A$2:$A$722,"&gt;="&amp;77233726000,Данные!$A$2:$A$722,"&lt;="&amp;77233726999)</f>
        <v>0</v>
      </c>
      <c r="AB150" s="62" t="n">
        <f aca="false">COUNTIFS(Данные!$B$2:$B$722,84,Данные!$C$2:$C$722,1,Данные!$A$2:$A$722,"&gt;="&amp;77233820000,Данные!$A$2:$A$722,"&lt;="&amp;77233820999)</f>
        <v>0</v>
      </c>
      <c r="AC150" s="62" t="n">
        <f aca="false">COUNTIFS(Данные!$B$2:$B$722,84,Данные!$C$2:$C$722,1,Данные!$A$2:$A$722,"&gt;="&amp;77233850000,Данные!$A$2:$A$722,"&lt;="&amp;77233850999)</f>
        <v>0</v>
      </c>
      <c r="AD150" s="62" t="n">
        <f aca="false">COUNTIFS(Данные!$B$2:$B$722,84,Данные!$C$2:$C$722,1,Данные!$A$2:$A$722,"&gt;="&amp;77233420000,Данные!$A$2:$A$722,"&lt;="&amp;77233420999)</f>
        <v>0</v>
      </c>
      <c r="AE150" s="62" t="n">
        <f aca="false">COUNTIFS(Данные!$B$2:$B$722,84,Данные!$C$2:$C$722,1,Данные!$A$2:$A$722,"&gt;="&amp;77234740000,Данные!$A$2:$A$722,"&lt;="&amp;77234742999)</f>
        <v>0</v>
      </c>
      <c r="AF150" s="62" t="n">
        <f aca="false">COUNTIFS(Данные!$B$2:$B$722,84,Данные!$C$2:$C$722,1,Данные!$A$2:$A$722,"&gt;="&amp;77234767000,Данные!$A$2:$A$722,"&lt;="&amp;77234767999)</f>
        <v>0</v>
      </c>
      <c r="AG150" s="62" t="n">
        <f aca="false">COUNTIFS(Данные!$B$2:$B$722,84,Данные!$C$2:$C$722,1,Данные!$A$2:$A$722,"&gt;="&amp;77234120000,Данные!$A$2:$A$722,"&lt;="&amp;77234120999)</f>
        <v>0</v>
      </c>
      <c r="AH150" s="62" t="n">
        <f aca="false">COUNTIFS(Данные!$B$2:$B$722,84,Данные!$C$2:$C$722,1,Данные!$A$2:$A$722,"&gt;="&amp;77234127000,Данные!$A$2:$A$722,"&lt;="&amp;77234127999)</f>
        <v>0</v>
      </c>
      <c r="AI150" s="62" t="n">
        <f aca="false">COUNTIFS(Данные!$B$2:$B$722,84,Данные!$C$2:$C$722,1,Данные!$A$2:$A$722,"&gt;="&amp;77234220000,Данные!$A$2:$A$722,"&lt;="&amp;77234220999)</f>
        <v>0</v>
      </c>
      <c r="AJ150" s="62" t="n">
        <f aca="false">COUNTIFS(Данные!$B$2:$B$722,84,Данные!$C$2:$C$722,1,Данные!$A$2:$A$722,"&gt;="&amp;77234250000,Данные!$A$2:$A$722,"&lt;="&amp;77234250999)</f>
        <v>0</v>
      </c>
      <c r="AK150" s="62" t="n">
        <f aca="false">COUNTIFS(Данные!$B$2:$B$722,84,Данные!$C$2:$C$722,1,Данные!$A$2:$A$722,"&gt;="&amp;77233922950,Данные!$A$2:$A$722,"&lt;="&amp;77233924999)</f>
        <v>0</v>
      </c>
      <c r="AL150" s="62" t="n">
        <f aca="false">COUNTIFS(Данные!$B$2:$B$722,84,Данные!$C$2:$C$722,1,Данные!$A$2:$A$722,"&gt;="&amp;77234320000,Данные!$A$2:$A$722,"&lt;="&amp;77234320999)</f>
        <v>0</v>
      </c>
      <c r="AM150" s="62" t="n">
        <f aca="false">COUNTIFS(Данные!$B$2:$B$722,84,Данные!$C$2:$C$722,1,Данные!$A$2:$A$722,"&gt;="&amp;77234350000,Данные!$A$2:$A$722,"&lt;="&amp;77234350999)</f>
        <v>0</v>
      </c>
      <c r="AN150" s="62" t="n">
        <f aca="false">COUNTIFS(Данные!$B$2:$B$722,84,Данные!$C$2:$C$722,1,Данные!$A$2:$A$722,"&gt;="&amp;77234020000,Данные!$A$2:$A$722,"&lt;="&amp;77234020999)</f>
        <v>0</v>
      </c>
      <c r="AO150" s="62" t="n">
        <f aca="false">COUNTIFS(Данные!$B$2:$B$722,84,Данные!$C$2:$C$722,1,Данные!$A$2:$A$722,"&gt;="&amp;77234029000,Данные!$A$2:$A$722,"&lt;="&amp;77234029999)</f>
        <v>0</v>
      </c>
      <c r="AP150" s="62" t="n">
        <f aca="false">COUNTIFS(Данные!$B$2:$B$722,84,Данные!$C$2:$C$722,1,Данные!$A$2:$A$722,"&gt;="&amp;77234050000,Данные!$A$2:$A$722,"&lt;="&amp;77234050999)</f>
        <v>0</v>
      </c>
      <c r="AQ150" s="62" t="n">
        <f aca="false">COUNTIFS(Данные!$B$2:$B$722,84,Данные!$C$2:$C$722,1,Данные!$A$2:$A$722,"&gt;="&amp;77234427000,Данные!$A$2:$A$722,"&lt;="&amp;77234428999)</f>
        <v>0</v>
      </c>
      <c r="AR150" s="62" t="n">
        <f aca="false">COUNTIFS(Данные!$B$2:$B$722,84,Данные!$C$2:$C$722,1,Данные!$A$2:$A$722,"&gt;="&amp;77234450000,Данные!$A$2:$A$722,"&lt;="&amp;77234450999)</f>
        <v>0</v>
      </c>
      <c r="AS150" s="62" t="n">
        <f aca="false">COUNTIFS(Данные!$B$2:$B$722,84,Данные!$C$2:$C$722,1,Данные!$A$2:$A$722,"&gt;="&amp;77234620000,Данные!$A$2:$A$722,"&lt;="&amp;77234620999)</f>
        <v>0</v>
      </c>
      <c r="AT150" s="62" t="n">
        <f aca="false">COUNTIFS(Данные!$B$2:$B$722,84,Данные!$C$2:$C$722,1,Данные!$A$2:$A$722,"&gt;="&amp;77234650000,Данные!$A$2:$A$722,"&lt;="&amp;77234650999)</f>
        <v>0</v>
      </c>
      <c r="AU150" s="62" t="n">
        <f aca="false">COUNTIFS(Данные!$B$2:$B$722,84,Данные!$C$2:$C$722,1,Данные!$A$2:$A$722,"&gt;="&amp;77234820000,Данные!$A$2:$A$722,"&lt;="&amp;77234820999)</f>
        <v>0</v>
      </c>
      <c r="AV150" s="62" t="n">
        <f aca="false">COUNTIFS(Данные!$B$2:$B$722,84,Данные!$C$2:$C$722,1,Данные!$A$2:$A$722,"&gt;="&amp;77234850000,Данные!$A$2:$A$722,"&lt;="&amp;77234850999)</f>
        <v>2</v>
      </c>
      <c r="AW150" s="62" t="n">
        <f aca="false">COUNTIFS(Данные!$B$2:$B$722,84,Данные!$C$2:$C$722,1,Данные!$A$2:$A$722,"&gt;="&amp;77233327000,Данные!$A$2:$A$722,"&lt;="&amp;77233327999)</f>
        <v>0</v>
      </c>
      <c r="AX150" s="62" t="n">
        <f aca="false">COUNTIFS(Данные!$B$2:$B$722,84,Данные!$C$2:$C$722,1,Данные!$A$2:$A$722,"&gt;="&amp;77233350000,Данные!$A$2:$A$722,"&lt;="&amp;77233350599)</f>
        <v>0</v>
      </c>
      <c r="AY150" s="62" t="n">
        <f aca="false">COUNTIFS(Данные!$B$2:$B$722,84,Данные!$C$2:$C$722,1,Данные!$A$2:$A$722,"&gt;="&amp;77233351000,Данные!$A$2:$A$722,"&lt;="&amp;77233351999)</f>
        <v>0</v>
      </c>
      <c r="AZ150" s="63" t="n">
        <f aca="false">COUNTIFS(Данные!$B$2:$B$722,84,Данные!$C$2:$C$722,1,Данные!$A$2:$A$722,"&gt;="&amp;7722440000,Данные!$A$2:$A$722,"&lt;="&amp;7722440999)</f>
        <v>0</v>
      </c>
      <c r="BA150" s="63" t="n">
        <f aca="false">COUNTIFS(Данные!$B$2:$B$722,84,Данные!$C$2:$C$722,1,Данные!$A$2:$A$722,"&gt;="&amp;7722442000,Данные!$A$2:$A$722,"&lt;="&amp;7722445659)</f>
        <v>0</v>
      </c>
      <c r="BB150" s="63" t="n">
        <f aca="false">COUNTIFS(Данные!$B$2:$B$722,84,Данные!$C$2:$C$722,1,Данные!$A$2:$A$722,"&gt;="&amp;7722450000,Данные!$A$2:$A$722,"&lt;="&amp;7722450199)</f>
        <v>0</v>
      </c>
      <c r="BC150" s="63" t="n">
        <f aca="false">COUNTIFS(Данные!$B$2:$B$722,84,Данные!$C$2:$C$722,1,Данные!$A$2:$A$722,"&gt;="&amp;7722451000,Данные!$A$2:$A$722,"&lt;="&amp;7722451374)</f>
        <v>0</v>
      </c>
      <c r="BD150" s="63" t="n">
        <f aca="false">COUNTIFS(Данные!$B$2:$B$722,84,Данные!$C$2:$C$722,1,Данные!$A$2:$A$722,"&gt;="&amp;7722452000,Данные!$A$2:$A$722,"&lt;="&amp;7722452299)</f>
        <v>0</v>
      </c>
      <c r="BE150" s="63" t="n">
        <f aca="false">COUNTIFS(Данные!$B$2:$B$722,84,Данные!$C$2:$C$722,1,Данные!$A$2:$A$722,"&gt;="&amp;7722453000,Данные!$A$2:$A$722,"&lt;="&amp;7722453816)</f>
        <v>0</v>
      </c>
      <c r="BF150" s="63" t="n">
        <f aca="false">COUNTIFS(Данные!$B$2:$B$722,84,Данные!$C$2:$C$722,1,Данные!$A$2:$A$722,"&gt;="&amp;7722454000,Данные!$A$2:$A$722,"&lt;="&amp;7722454099)</f>
        <v>0</v>
      </c>
      <c r="BG150" s="63" t="n">
        <f aca="false">COUNTIFS(Данные!$B$2:$B$722,84,Данные!$C$2:$C$722,1,Данные!$A$2:$A$722,"&gt;="&amp;7722458000,Данные!$A$2:$A$722,"&lt;="&amp;7722458999)</f>
        <v>0</v>
      </c>
      <c r="BH150" s="63" t="n">
        <f aca="false">COUNTIFS(Данные!$B$2:$B$722,84,Данные!$C$2:$C$722,1,Данные!$A$2:$A$722,"&gt;="&amp;7722630000,Данные!$A$2:$A$722,"&lt;="&amp;7722638549)</f>
        <v>0</v>
      </c>
      <c r="BI150" s="63" t="n">
        <f aca="false">COUNTIFS(Данные!$B$2:$B$722,84,Данные!$C$2:$C$722,1,Данные!$A$2:$A$722,"&gt;="&amp;7722639400,Данные!$A$2:$A$722,"&lt;="&amp;7722639899)</f>
        <v>0</v>
      </c>
      <c r="BJ150" s="63" t="n">
        <f aca="false">COUNTIFS(Данные!$B$2:$B$722,84,Данные!$C$2:$C$722,1,Данные!$A$2:$A$722,"&gt;="&amp;7725750000,Данные!$A$2:$A$722,"&lt;="&amp;7725750399)</f>
        <v>0</v>
      </c>
      <c r="BK150" s="63" t="n">
        <f aca="false">COUNTIFS(Данные!$B$2:$B$722,84,Данные!$C$2:$C$722,1,Данные!$A$2:$A$722,"&gt;="&amp;7723620000,Данные!$A$2:$A$722,"&lt;="&amp;7723621299)</f>
        <v>0</v>
      </c>
      <c r="BL150" s="63" t="n">
        <f aca="false">COUNTIFS(Данные!$B$2:$B$722,84,Данные!$C$2:$C$722,1,Данные!$A$2:$A$722,"&gt;="&amp;7723621600,Данные!$A$2:$A$722,"&lt;="&amp;7723623399)</f>
        <v>0</v>
      </c>
      <c r="BM150" s="63" t="n">
        <f aca="false">COUNTIFS(Данные!$B$2:$B$722,84,Данные!$C$2:$C$722,1,Данные!$A$2:$A$722,"&gt;="&amp;7725127000,Данные!$A$2:$A$722,"&lt;="&amp;7725127999)</f>
        <v>0</v>
      </c>
      <c r="BN150" s="63" t="n">
        <f aca="false">COUNTIFS(Данные!$B$2:$B$722,84,Данные!$C$2:$C$722,1,Данные!$A$2:$A$722,"&gt;="&amp;7723772000,Данные!$A$2:$A$722,"&lt;="&amp;7723724999)</f>
        <v>0</v>
      </c>
      <c r="BO150" s="62" t="n">
        <f aca="false">COUNTIFS(Данные!$B$2:$B$722,84,Данные!$C$2:$C$722,1,Данные!$A$2:$A$722,"&gt;="&amp;7723765000,Данные!$A$2:$A$722,"&lt;="&amp;7723765499)</f>
        <v>0</v>
      </c>
      <c r="BP150" s="63" t="n">
        <f aca="false">COUNTIFS(Данные!$B$2:$B$722,84,Данные!$C$2:$C$722,1,Данные!$A$2:$A$722,"&gt;="&amp;7723948000,Данные!$A$2:$A$722,"&lt;="&amp;7723948999)</f>
        <v>0</v>
      </c>
      <c r="BQ150" s="63" t="n">
        <f aca="false">COUNTIFS(Данные!$B$2:$B$722,84,Данные!$C$2:$C$722,1,Данные!$A$2:$A$722,"&gt;="&amp;7723950000,Данные!$A$2:$A$722,"&lt;="&amp;7723951099)</f>
        <v>0</v>
      </c>
      <c r="BR150" s="63" t="n">
        <f aca="false">COUNTIFS(Данные!$B$2:$B$722,84,Данные!$C$2:$C$722,1,Данные!$A$2:$A$722,"&gt;="&amp;7723020000,Данные!$A$2:$A$722,"&lt;="&amp;7723020999)</f>
        <v>0</v>
      </c>
      <c r="BS150" s="63" t="n">
        <f aca="false">COUNTIFS(Данные!$B$2:$B$722,84,Данные!$C$2:$C$722,1,Данные!$A$2:$A$722,"&gt;="&amp;7723029000,Данные!$A$2:$A$722,"&lt;="&amp;7723029999)</f>
        <v>0</v>
      </c>
      <c r="BT150" s="63" t="n">
        <f aca="false">COUNTIFS(Данные!$B$2:$B$722,84,Данные!$C$2:$C$722,1,Данные!$A$2:$A$722,"&gt;="&amp;7723055000,Данные!$A$2:$A$722,"&lt;="&amp;7723056549)</f>
        <v>0</v>
      </c>
      <c r="BU150" s="62" t="n">
        <f aca="false">COUNTIFS(Данные!$B$2:$B$722,84,Данные!$C$2:$C$722,1,Данные!$A$2:$A$722,"&gt;="&amp;7725250000,Данные!$A$2:$A$722,"&lt;="&amp;7725250499)</f>
        <v>0</v>
      </c>
      <c r="BV150" s="63" t="n">
        <f aca="false">COUNTIFS(Данные!$B$2:$B$722,84,Данные!$C$2:$C$722,1,Данные!$A$2:$A$722,"&gt;="&amp;7183841400,Данные!$A$2:$A$722,"&lt;="&amp;7183841499)</f>
        <v>0</v>
      </c>
      <c r="BW150" s="40" t="n">
        <v>300</v>
      </c>
      <c r="BX150" s="64" t="n">
        <f aca="false">F150-BW150</f>
        <v>-297</v>
      </c>
    </row>
    <row r="151" s="15" customFormat="true" ht="12" hidden="false" customHeight="true" outlineLevel="0" collapsed="false">
      <c r="A151" s="38"/>
      <c r="B151" s="39"/>
      <c r="C151" s="41" t="n">
        <v>2</v>
      </c>
      <c r="D151" s="41" t="n">
        <v>842</v>
      </c>
      <c r="E151" s="42"/>
      <c r="F151" s="62" t="n">
        <f aca="false">COUNTIFS(Данные!$B$2:$B$722,84,Данные!$C$2:$C$722,2)</f>
        <v>2</v>
      </c>
      <c r="G151" s="62" t="n">
        <f aca="false">COUNTIFS(Данные!$B$2:$B$722,84,Данные!$C$2:$C$722,2,Данные!$A$2:$A$722,"&gt;="&amp;77232210840,Данные!$A$2:$A$722,"&lt;="&amp;77232216999)</f>
        <v>0</v>
      </c>
      <c r="H151" s="62" t="n">
        <f aca="false">COUNTIFS(Данные!$B$2:$B$722,84,Данные!$C$2:$C$722,2,Данные!$A$2:$A$722,"&gt;="&amp;77232510512,Данные!$A$2:$A$722,"&lt;="&amp;77232519487)</f>
        <v>0</v>
      </c>
      <c r="I151" s="62" t="n">
        <f aca="false">COUNTIFS(Данные!$B$2:$B$722,84,Данные!$C$2:$C$722,2,Данные!$A$2:$A$722,"&gt;="&amp;77232524160,Данные!$A$2:$A$722,"&lt;="&amp;77232529999)</f>
        <v>0</v>
      </c>
      <c r="J151" s="62" t="n">
        <f aca="false">COUNTIFS(Данные!$B$2:$B$722,84,Данные!$C$2:$C$722,2,Данные!$A$2:$A$722,"&gt;="&amp;77232544000,Данные!$A$2:$A$722,"&lt;="&amp;77232544999)</f>
        <v>0</v>
      </c>
      <c r="K151" s="62" t="n">
        <f aca="false">COUNTIFS(Данные!$B$2:$B$722,84,Данные!$C$2:$C$722,2,Данные!$A$2:$A$722,"&gt;="&amp;77232295504,Данные!$A$2:$A$722,"&lt;="&amp;77232296999)</f>
        <v>0</v>
      </c>
      <c r="L151" s="62" t="n">
        <f aca="false">COUNTIFS(Данные!$B$2:$B$722,84,Данные!$C$2:$C$722,2,Данные!$A$2:$A$722,"&gt;="&amp;77232785000,Данные!$A$2:$A$722,"&lt;="&amp;77232789999)</f>
        <v>0</v>
      </c>
      <c r="M151" s="62" t="n">
        <f aca="false">COUNTIFS(Данные!$B$2:$B$722,84,Данные!$C$2:$C$722,2,Данные!$A$2:$A$722,"&gt;="&amp;77233150000,Данные!$A$2:$A$722,"&lt;="&amp;77233155999)</f>
        <v>0</v>
      </c>
      <c r="N151" s="62" t="n">
        <f aca="false">COUNTIFS(Данные!$B$2:$B$722,84,Данные!$C$2:$C$722,2,Данные!$A$2:$A$722,"&gt;="&amp;77233235000,Данные!$A$2:$A$722,"&lt;="&amp;77233235999)</f>
        <v>0</v>
      </c>
      <c r="O151" s="62" t="n">
        <f aca="false">COUNTIFS(Данные!$B$2:$B$722,84,Данные!$C$2:$C$722,2,Данные!$A$2:$A$722,"&gt;="&amp;77233239000,Данные!$A$2:$A$722,"&lt;="&amp;77233239999)</f>
        <v>0</v>
      </c>
      <c r="P151" s="62" t="n">
        <f aca="false">COUNTIFS(Данные!$B$2:$B$722,84,Данные!$C$2:$C$722,2,Данные!$A$2:$A$722,"&gt;="&amp;77233272000,Данные!$A$2:$A$722,"&lt;="&amp;77233272999)</f>
        <v>0</v>
      </c>
      <c r="Q151" s="62" t="n">
        <f aca="false">COUNTIFS(Данные!$B$2:$B$722,84,Данные!$C$2:$C$722,2,Данные!$A$2:$A$722,"&gt;="&amp;77233291100,Данные!$A$2:$A$722,"&lt;="&amp;77233292999)</f>
        <v>0</v>
      </c>
      <c r="R151" s="62" t="n">
        <f aca="false">COUNTIFS(Данные!$B$2:$B$722,84,Данные!$C$2:$C$722,2,Данные!$A$2:$A$722,"&gt;="&amp;77233297000,Данные!$A$2:$A$722,"&lt;="&amp;77233298399)</f>
        <v>0</v>
      </c>
      <c r="S151" s="62" t="n">
        <f aca="false">COUNTIFS(Данные!$B$2:$B$722,84,Данные!$C$2:$C$722,2,Данные!$A$2:$A$722,"&gt;="&amp;77235124000,Данные!$A$2:$A$722,"&lt;="&amp;77235128499)</f>
        <v>0</v>
      </c>
      <c r="T151" s="62" t="n">
        <f aca="false">COUNTIFS(Данные!$B$2:$B$722,84,Данные!$C$2:$C$722,2,Данные!$A$2:$A$722,"&gt;="&amp;77235320000,Данные!$A$2:$A$722,"&lt;="&amp;77235320999)</f>
        <v>0</v>
      </c>
      <c r="U151" s="62" t="n">
        <f aca="false">COUNTIFS(Данные!$B$2:$B$722,84,Данные!$C$2:$C$722,2,Данные!$A$2:$A$722,"&gt;="&amp;77233620000,Данные!$A$2:$A$722,"&lt;="&amp;77233623339)</f>
        <v>0</v>
      </c>
      <c r="V151" s="62" t="n">
        <f aca="false">COUNTIFS(Данные!$B$2:$B$722,84,Данные!$C$2:$C$722,2,Данные!$A$2:$A$722,"&gt;="&amp;77233630000,Данные!$A$2:$A$722,"&lt;="&amp;77233630999)</f>
        <v>0</v>
      </c>
      <c r="W151" s="62" t="n">
        <f aca="false">COUNTIFS(Данные!$B$2:$B$722,84,Данные!$C$2:$C$722,2,Данные!$A$2:$A$722,"&gt;="&amp;77233637000,Данные!$A$2:$A$722,"&lt;="&amp;77233637599)</f>
        <v>0</v>
      </c>
      <c r="X151" s="62" t="n">
        <f aca="false">COUNTIFS(Данные!$B$2:$B$722,84,Данные!$C$2:$C$722,2,Данные!$A$2:$A$722,"&gt;="&amp;77233550000,Данные!$A$2:$A$722,"&lt;="&amp;77233550999)</f>
        <v>0</v>
      </c>
      <c r="Y151" s="62" t="n">
        <f aca="false">COUNTIFS(Данные!$B$2:$B$722,84,Данные!$C$2:$C$722,2,Данные!$A$2:$A$722,"&gt;="&amp;77233554000,Данные!$A$2:$A$722,"&lt;="&amp;77233554999)</f>
        <v>0</v>
      </c>
      <c r="Z151" s="62" t="n">
        <f aca="false">COUNTIFS(Данные!$B$2:$B$722,84,Данные!$C$2:$C$722,2,Данные!$A$2:$A$722,"&gt;="&amp;77233555000,Данные!$A$2:$A$722,"&lt;="&amp;77233556999)</f>
        <v>0</v>
      </c>
      <c r="AA151" s="62" t="n">
        <f aca="false">COUNTIFS(Данные!$B$2:$B$722,84,Данные!$C$2:$C$722,2,Данные!$A$2:$A$722,"&gt;="&amp;77233726000,Данные!$A$2:$A$722,"&lt;="&amp;77233726999)</f>
        <v>0</v>
      </c>
      <c r="AB151" s="62" t="n">
        <f aca="false">COUNTIFS(Данные!$B$2:$B$722,84,Данные!$C$2:$C$722,2,Данные!$A$2:$A$722,"&gt;="&amp;77233820000,Данные!$A$2:$A$722,"&lt;="&amp;77233820999)</f>
        <v>0</v>
      </c>
      <c r="AC151" s="62" t="n">
        <f aca="false">COUNTIFS(Данные!$B$2:$B$722,84,Данные!$C$2:$C$722,2,Данные!$A$2:$A$722,"&gt;="&amp;77233850000,Данные!$A$2:$A$722,"&lt;="&amp;77233850999)</f>
        <v>0</v>
      </c>
      <c r="AD151" s="62" t="n">
        <f aca="false">COUNTIFS(Данные!$B$2:$B$722,84,Данные!$C$2:$C$722,2,Данные!$A$2:$A$722,"&gt;="&amp;77233420000,Данные!$A$2:$A$722,"&lt;="&amp;77233420999)</f>
        <v>0</v>
      </c>
      <c r="AE151" s="62" t="n">
        <f aca="false">COUNTIFS(Данные!$B$2:$B$722,84,Данные!$C$2:$C$722,2,Данные!$A$2:$A$722,"&gt;="&amp;77234740000,Данные!$A$2:$A$722,"&lt;="&amp;77234742999)</f>
        <v>0</v>
      </c>
      <c r="AF151" s="62" t="n">
        <f aca="false">COUNTIFS(Данные!$B$2:$B$722,84,Данные!$C$2:$C$722,2,Данные!$A$2:$A$722,"&gt;="&amp;77234767000,Данные!$A$2:$A$722,"&lt;="&amp;77234767999)</f>
        <v>0</v>
      </c>
      <c r="AG151" s="62" t="n">
        <f aca="false">COUNTIFS(Данные!$B$2:$B$722,84,Данные!$C$2:$C$722,2,Данные!$A$2:$A$722,"&gt;="&amp;77234120000,Данные!$A$2:$A$722,"&lt;="&amp;77234120999)</f>
        <v>0</v>
      </c>
      <c r="AH151" s="62" t="n">
        <f aca="false">COUNTIFS(Данные!$B$2:$B$722,84,Данные!$C$2:$C$722,2,Данные!$A$2:$A$722,"&gt;="&amp;77234127000,Данные!$A$2:$A$722,"&lt;="&amp;77234127999)</f>
        <v>0</v>
      </c>
      <c r="AI151" s="62" t="n">
        <f aca="false">COUNTIFS(Данные!$B$2:$B$722,84,Данные!$C$2:$C$722,2,Данные!$A$2:$A$722,"&gt;="&amp;77234220000,Данные!$A$2:$A$722,"&lt;="&amp;77234220999)</f>
        <v>0</v>
      </c>
      <c r="AJ151" s="62" t="n">
        <f aca="false">COUNTIFS(Данные!$B$2:$B$722,84,Данные!$C$2:$C$722,2,Данные!$A$2:$A$722,"&gt;="&amp;77234250000,Данные!$A$2:$A$722,"&lt;="&amp;77234250999)</f>
        <v>0</v>
      </c>
      <c r="AK151" s="62" t="n">
        <f aca="false">COUNTIFS(Данные!$B$2:$B$722,84,Данные!$C$2:$C$722,2,Данные!$A$2:$A$722,"&gt;="&amp;77233922950,Данные!$A$2:$A$722,"&lt;="&amp;77233924999)</f>
        <v>0</v>
      </c>
      <c r="AL151" s="62" t="n">
        <f aca="false">COUNTIFS(Данные!$B$2:$B$722,84,Данные!$C$2:$C$722,2,Данные!$A$2:$A$722,"&gt;="&amp;77234320000,Данные!$A$2:$A$722,"&lt;="&amp;77234320999)</f>
        <v>0</v>
      </c>
      <c r="AM151" s="62" t="n">
        <f aca="false">COUNTIFS(Данные!$B$2:$B$722,84,Данные!$C$2:$C$722,2,Данные!$A$2:$A$722,"&gt;="&amp;77234350000,Данные!$A$2:$A$722,"&lt;="&amp;77234350999)</f>
        <v>0</v>
      </c>
      <c r="AN151" s="62" t="n">
        <f aca="false">COUNTIFS(Данные!$B$2:$B$722,84,Данные!$C$2:$C$722,2,Данные!$A$2:$A$722,"&gt;="&amp;77234020000,Данные!$A$2:$A$722,"&lt;="&amp;77234020999)</f>
        <v>0</v>
      </c>
      <c r="AO151" s="62" t="n">
        <f aca="false">COUNTIFS(Данные!$B$2:$B$722,84,Данные!$C$2:$C$722,2,Данные!$A$2:$A$722,"&gt;="&amp;77234029000,Данные!$A$2:$A$722,"&lt;="&amp;77234029999)</f>
        <v>0</v>
      </c>
      <c r="AP151" s="62" t="n">
        <f aca="false">COUNTIFS(Данные!$B$2:$B$722,84,Данные!$C$2:$C$722,2,Данные!$A$2:$A$722,"&gt;="&amp;77234050000,Данные!$A$2:$A$722,"&lt;="&amp;77234050999)</f>
        <v>0</v>
      </c>
      <c r="AQ151" s="62" t="n">
        <f aca="false">COUNTIFS(Данные!$B$2:$B$722,84,Данные!$C$2:$C$722,2,Данные!$A$2:$A$722,"&gt;="&amp;77234427000,Данные!$A$2:$A$722,"&lt;="&amp;77234428999)</f>
        <v>0</v>
      </c>
      <c r="AR151" s="62" t="n">
        <f aca="false">COUNTIFS(Данные!$B$2:$B$722,84,Данные!$C$2:$C$722,2,Данные!$A$2:$A$722,"&gt;="&amp;77234450000,Данные!$A$2:$A$722,"&lt;="&amp;77234450999)</f>
        <v>0</v>
      </c>
      <c r="AS151" s="62" t="n">
        <f aca="false">COUNTIFS(Данные!$B$2:$B$722,84,Данные!$C$2:$C$722,2,Данные!$A$2:$A$722,"&gt;="&amp;77234620000,Данные!$A$2:$A$722,"&lt;="&amp;77234620999)</f>
        <v>0</v>
      </c>
      <c r="AT151" s="62" t="n">
        <f aca="false">COUNTIFS(Данные!$B$2:$B$722,84,Данные!$C$2:$C$722,2,Данные!$A$2:$A$722,"&gt;="&amp;77234650000,Данные!$A$2:$A$722,"&lt;="&amp;77234650999)</f>
        <v>0</v>
      </c>
      <c r="AU151" s="62" t="n">
        <f aca="false">COUNTIFS(Данные!$B$2:$B$722,84,Данные!$C$2:$C$722,2,Данные!$A$2:$A$722,"&gt;="&amp;77234820000,Данные!$A$2:$A$722,"&lt;="&amp;77234820999)</f>
        <v>1</v>
      </c>
      <c r="AV151" s="62" t="n">
        <f aca="false">COUNTIFS(Данные!$B$2:$B$722,84,Данные!$C$2:$C$722,2,Данные!$A$2:$A$722,"&gt;="&amp;77234850000,Данные!$A$2:$A$722,"&lt;="&amp;77234850999)</f>
        <v>1</v>
      </c>
      <c r="AW151" s="62" t="n">
        <f aca="false">COUNTIFS(Данные!$B$2:$B$722,84,Данные!$C$2:$C$722,2,Данные!$A$2:$A$722,"&gt;="&amp;77233327000,Данные!$A$2:$A$722,"&lt;="&amp;77233327999)</f>
        <v>0</v>
      </c>
      <c r="AX151" s="62" t="n">
        <f aca="false">COUNTIFS(Данные!$B$2:$B$722,84,Данные!$C$2:$C$722,2,Данные!$A$2:$A$722,"&gt;="&amp;77233350000,Данные!$A$2:$A$722,"&lt;="&amp;77233350599)</f>
        <v>0</v>
      </c>
      <c r="AY151" s="62" t="n">
        <f aca="false">COUNTIFS(Данные!$B$2:$B$722,84,Данные!$C$2:$C$722,2,Данные!$A$2:$A$722,"&gt;="&amp;77233351000,Данные!$A$2:$A$722,"&lt;="&amp;77233351999)</f>
        <v>0</v>
      </c>
      <c r="AZ151" s="63" t="n">
        <f aca="false">COUNTIFS(Данные!$B$2:$B$722,84,Данные!$C$2:$C$722,2,Данные!$A$2:$A$722,"&gt;="&amp;7722440000,Данные!$A$2:$A$722,"&lt;="&amp;7722440999)</f>
        <v>0</v>
      </c>
      <c r="BA151" s="63" t="n">
        <f aca="false">COUNTIFS(Данные!$B$2:$B$722,84,Данные!$C$2:$C$722,2,Данные!$A$2:$A$722,"&gt;="&amp;7722442000,Данные!$A$2:$A$722,"&lt;="&amp;7722445659)</f>
        <v>0</v>
      </c>
      <c r="BB151" s="63" t="n">
        <f aca="false">COUNTIFS(Данные!$B$2:$B$722,84,Данные!$C$2:$C$722,2,Данные!$A$2:$A$722,"&gt;="&amp;7722450000,Данные!$A$2:$A$722,"&lt;="&amp;7722450199)</f>
        <v>0</v>
      </c>
      <c r="BC151" s="63" t="n">
        <f aca="false">COUNTIFS(Данные!$B$2:$B$722,84,Данные!$C$2:$C$722,2,Данные!$A$2:$A$722,"&gt;="&amp;7722451000,Данные!$A$2:$A$722,"&lt;="&amp;7722451374)</f>
        <v>0</v>
      </c>
      <c r="BD151" s="63" t="n">
        <f aca="false">COUNTIFS(Данные!$B$2:$B$722,84,Данные!$C$2:$C$722,2,Данные!$A$2:$A$722,"&gt;="&amp;7722452000,Данные!$A$2:$A$722,"&lt;="&amp;7722452299)</f>
        <v>0</v>
      </c>
      <c r="BE151" s="63" t="n">
        <f aca="false">COUNTIFS(Данные!$B$2:$B$722,84,Данные!$C$2:$C$722,2,Данные!$A$2:$A$722,"&gt;="&amp;7722453000,Данные!$A$2:$A$722,"&lt;="&amp;7722453816)</f>
        <v>0</v>
      </c>
      <c r="BF151" s="63" t="n">
        <f aca="false">COUNTIFS(Данные!$B$2:$B$722,84,Данные!$C$2:$C$722,2,Данные!$A$2:$A$722,"&gt;="&amp;7722454000,Данные!$A$2:$A$722,"&lt;="&amp;7722454099)</f>
        <v>0</v>
      </c>
      <c r="BG151" s="63" t="n">
        <f aca="false">COUNTIFS(Данные!$B$2:$B$722,84,Данные!$C$2:$C$722,2,Данные!$A$2:$A$722,"&gt;="&amp;7722458000,Данные!$A$2:$A$722,"&lt;="&amp;7722458999)</f>
        <v>0</v>
      </c>
      <c r="BH151" s="63" t="n">
        <f aca="false">COUNTIFS(Данные!$B$2:$B$722,84,Данные!$C$2:$C$722,2,Данные!$A$2:$A$722,"&gt;="&amp;7722630000,Данные!$A$2:$A$722,"&lt;="&amp;7722638549)</f>
        <v>0</v>
      </c>
      <c r="BI151" s="63" t="n">
        <f aca="false">COUNTIFS(Данные!$B$2:$B$722,84,Данные!$C$2:$C$722,2,Данные!$A$2:$A$722,"&gt;="&amp;7722639400,Данные!$A$2:$A$722,"&lt;="&amp;7722639899)</f>
        <v>0</v>
      </c>
      <c r="BJ151" s="63" t="n">
        <f aca="false">COUNTIFS(Данные!$B$2:$B$722,84,Данные!$C$2:$C$722,2,Данные!$A$2:$A$722,"&gt;="&amp;7725750000,Данные!$A$2:$A$722,"&lt;="&amp;7725750399)</f>
        <v>0</v>
      </c>
      <c r="BK151" s="63" t="n">
        <f aca="false">COUNTIFS(Данные!$B$2:$B$722,84,Данные!$C$2:$C$722,2,Данные!$A$2:$A$722,"&gt;="&amp;7723620000,Данные!$A$2:$A$722,"&lt;="&amp;7723621299)</f>
        <v>0</v>
      </c>
      <c r="BL151" s="63" t="n">
        <f aca="false">COUNTIFS(Данные!$B$2:$B$722,84,Данные!$C$2:$C$722,2,Данные!$A$2:$A$722,"&gt;="&amp;7723621600,Данные!$A$2:$A$722,"&lt;="&amp;7723623399)</f>
        <v>0</v>
      </c>
      <c r="BM151" s="63" t="n">
        <f aca="false">COUNTIFS(Данные!$B$2:$B$722,84,Данные!$C$2:$C$722,2,Данные!$A$2:$A$722,"&gt;="&amp;7725127000,Данные!$A$2:$A$722,"&lt;="&amp;7725127999)</f>
        <v>0</v>
      </c>
      <c r="BN151" s="63" t="n">
        <f aca="false">COUNTIFS(Данные!$B$2:$B$722,84,Данные!$C$2:$C$722,2,Данные!$A$2:$A$722,"&gt;="&amp;7723772000,Данные!$A$2:$A$722,"&lt;="&amp;7723724999)</f>
        <v>0</v>
      </c>
      <c r="BO151" s="62" t="n">
        <f aca="false">COUNTIFS(Данные!$B$2:$B$722,84,Данные!$C$2:$C$722,2,Данные!$A$2:$A$722,"&gt;="&amp;7723765000,Данные!$A$2:$A$722,"&lt;="&amp;7723765499)</f>
        <v>0</v>
      </c>
      <c r="BP151" s="63" t="n">
        <f aca="false">COUNTIFS(Данные!$B$2:$B$722,84,Данные!$C$2:$C$722,2,Данные!$A$2:$A$722,"&gt;="&amp;7723948000,Данные!$A$2:$A$722,"&lt;="&amp;7723948999)</f>
        <v>0</v>
      </c>
      <c r="BQ151" s="63" t="n">
        <f aca="false">COUNTIFS(Данные!$B$2:$B$722,84,Данные!$C$2:$C$722,2,Данные!$A$2:$A$722,"&gt;="&amp;7723950000,Данные!$A$2:$A$722,"&lt;="&amp;7723951099)</f>
        <v>0</v>
      </c>
      <c r="BR151" s="63" t="n">
        <f aca="false">COUNTIFS(Данные!$B$2:$B$722,84,Данные!$C$2:$C$722,2,Данные!$A$2:$A$722,"&gt;="&amp;7723020000,Данные!$A$2:$A$722,"&lt;="&amp;7723020999)</f>
        <v>0</v>
      </c>
      <c r="BS151" s="63" t="n">
        <f aca="false">COUNTIFS(Данные!$B$2:$B$722,84,Данные!$C$2:$C$722,2,Данные!$A$2:$A$722,"&gt;="&amp;7723029000,Данные!$A$2:$A$722,"&lt;="&amp;7723029999)</f>
        <v>0</v>
      </c>
      <c r="BT151" s="63" t="n">
        <f aca="false">COUNTIFS(Данные!$B$2:$B$722,84,Данные!$C$2:$C$722,2,Данные!$A$2:$A$722,"&gt;="&amp;7723055000,Данные!$A$2:$A$722,"&lt;="&amp;7723056549)</f>
        <v>0</v>
      </c>
      <c r="BU151" s="62" t="n">
        <f aca="false">COUNTIFS(Данные!$B$2:$B$722,84,Данные!$C$2:$C$722,2,Данные!$A$2:$A$722,"&gt;="&amp;7725250000,Данные!$A$2:$A$722,"&lt;="&amp;7725250499)</f>
        <v>0</v>
      </c>
      <c r="BV151" s="63" t="n">
        <f aca="false">COUNTIFS(Данные!$B$2:$B$722,84,Данные!$C$2:$C$722,2,Данные!$A$2:$A$722,"&gt;="&amp;7183841400,Данные!$A$2:$A$722,"&lt;="&amp;7183841499)</f>
        <v>0</v>
      </c>
      <c r="BW151" s="40" t="n">
        <v>300</v>
      </c>
      <c r="BX151" s="64" t="n">
        <f aca="false">F151-BW151</f>
        <v>-298</v>
      </c>
    </row>
    <row r="152" s="15" customFormat="true" ht="12" hidden="false" customHeight="true" outlineLevel="0" collapsed="false">
      <c r="A152" s="47" t="n">
        <v>85</v>
      </c>
      <c r="B152" s="48" t="s">
        <v>110</v>
      </c>
      <c r="C152" s="50" t="n">
        <v>0</v>
      </c>
      <c r="D152" s="50" t="n">
        <v>850</v>
      </c>
      <c r="E152" s="51" t="n">
        <f aca="false">SUM(F152:F154)</f>
        <v>0</v>
      </c>
      <c r="F152" s="65" t="n">
        <f aca="false">COUNTIFS(Данные!$B$2:$B$722,85,Данные!$C$2:$C$722,0)</f>
        <v>0</v>
      </c>
      <c r="G152" s="65" t="n">
        <f aca="false">COUNTIFS(Данные!$B$2:$B$722,85,Данные!$C$2:$C$722,0,Данные!$A$2:$A$722,"&gt;="&amp;77232210840,Данные!$A$2:$A$722,"&lt;="&amp;77232216999)</f>
        <v>0</v>
      </c>
      <c r="H152" s="65" t="n">
        <f aca="false">COUNTIFS(Данные!$B$2:$B$722,85,Данные!$C$2:$C$722,0,Данные!$A$2:$A$722,"&gt;="&amp;77232510512,Данные!$A$2:$A$722,"&lt;="&amp;77232519487)</f>
        <v>0</v>
      </c>
      <c r="I152" s="65" t="n">
        <f aca="false">COUNTIFS(Данные!$B$2:$B$722,85,Данные!$C$2:$C$722,0,Данные!$A$2:$A$722,"&gt;="&amp;77232524160,Данные!$A$2:$A$722,"&lt;="&amp;77232529999)</f>
        <v>0</v>
      </c>
      <c r="J152" s="65" t="n">
        <f aca="false">COUNTIFS(Данные!$B$2:$B$722,85,Данные!$C$2:$C$722,0,Данные!$A$2:$A$722,"&gt;="&amp;77232544000,Данные!$A$2:$A$722,"&lt;="&amp;77232544999)</f>
        <v>0</v>
      </c>
      <c r="K152" s="65" t="n">
        <f aca="false">COUNTIFS(Данные!$B$2:$B$722,85,Данные!$C$2:$C$722,0,Данные!$A$2:$A$722,"&gt;="&amp;77232295504,Данные!$A$2:$A$722,"&lt;="&amp;77232296999)</f>
        <v>0</v>
      </c>
      <c r="L152" s="65" t="n">
        <f aca="false">COUNTIFS(Данные!$B$2:$B$722,85,Данные!$C$2:$C$722,0,Данные!$A$2:$A$722,"&gt;="&amp;77232785000,Данные!$A$2:$A$722,"&lt;="&amp;77232789999)</f>
        <v>0</v>
      </c>
      <c r="M152" s="65" t="n">
        <f aca="false">COUNTIFS(Данные!$B$2:$B$722,85,Данные!$C$2:$C$722,0,Данные!$A$2:$A$722,"&gt;="&amp;77233150000,Данные!$A$2:$A$722,"&lt;="&amp;77233155999)</f>
        <v>0</v>
      </c>
      <c r="N152" s="65" t="n">
        <f aca="false">COUNTIFS(Данные!$B$2:$B$722,85,Данные!$C$2:$C$722,0,Данные!$A$2:$A$722,"&gt;="&amp;77233235000,Данные!$A$2:$A$722,"&lt;="&amp;77233235999)</f>
        <v>0</v>
      </c>
      <c r="O152" s="65" t="n">
        <f aca="false">COUNTIFS(Данные!$B$2:$B$722,85,Данные!$C$2:$C$722,0,Данные!$A$2:$A$722,"&gt;="&amp;77233239000,Данные!$A$2:$A$722,"&lt;="&amp;77233239999)</f>
        <v>0</v>
      </c>
      <c r="P152" s="65" t="n">
        <f aca="false">COUNTIFS(Данные!$B$2:$B$722,85,Данные!$C$2:$C$722,0,Данные!$A$2:$A$722,"&gt;="&amp;77233272000,Данные!$A$2:$A$722,"&lt;="&amp;77233272999)</f>
        <v>0</v>
      </c>
      <c r="Q152" s="65" t="n">
        <f aca="false">COUNTIFS(Данные!$B$2:$B$722,85,Данные!$C$2:$C$722,0,Данные!$A$2:$A$722,"&gt;="&amp;77233291100,Данные!$A$2:$A$722,"&lt;="&amp;77233292999)</f>
        <v>0</v>
      </c>
      <c r="R152" s="65" t="n">
        <f aca="false">COUNTIFS(Данные!$B$2:$B$722,85,Данные!$C$2:$C$722,0,Данные!$A$2:$A$722,"&gt;="&amp;77233297000,Данные!$A$2:$A$722,"&lt;="&amp;77233298399)</f>
        <v>0</v>
      </c>
      <c r="S152" s="65" t="n">
        <f aca="false">COUNTIFS(Данные!$B$2:$B$722,85,Данные!$C$2:$C$722,0,Данные!$A$2:$A$722,"&gt;="&amp;77235124000,Данные!$A$2:$A$722,"&lt;="&amp;77235128499)</f>
        <v>0</v>
      </c>
      <c r="T152" s="65" t="n">
        <f aca="false">COUNTIFS(Данные!$B$2:$B$722,85,Данные!$C$2:$C$722,0,Данные!$A$2:$A$722,"&gt;="&amp;77235320000,Данные!$A$2:$A$722,"&lt;="&amp;77235320999)</f>
        <v>0</v>
      </c>
      <c r="U152" s="65" t="n">
        <f aca="false">COUNTIFS(Данные!$B$2:$B$722,85,Данные!$C$2:$C$722,0,Данные!$A$2:$A$722,"&gt;="&amp;77233620000,Данные!$A$2:$A$722,"&lt;="&amp;77233623339)</f>
        <v>0</v>
      </c>
      <c r="V152" s="65" t="n">
        <f aca="false">COUNTIFS(Данные!$B$2:$B$722,85,Данные!$C$2:$C$722,0,Данные!$A$2:$A$722,"&gt;="&amp;77233630000,Данные!$A$2:$A$722,"&lt;="&amp;77233630999)</f>
        <v>0</v>
      </c>
      <c r="W152" s="65" t="n">
        <f aca="false">COUNTIFS(Данные!$B$2:$B$722,85,Данные!$C$2:$C$722,0,Данные!$A$2:$A$722,"&gt;="&amp;77233637000,Данные!$A$2:$A$722,"&lt;="&amp;77233637599)</f>
        <v>0</v>
      </c>
      <c r="X152" s="65" t="n">
        <f aca="false">COUNTIFS(Данные!$B$2:$B$722,85,Данные!$C$2:$C$722,0,Данные!$A$2:$A$722,"&gt;="&amp;77233550000,Данные!$A$2:$A$722,"&lt;="&amp;77233550999)</f>
        <v>0</v>
      </c>
      <c r="Y152" s="65" t="n">
        <f aca="false">COUNTIFS(Данные!$B$2:$B$722,85,Данные!$C$2:$C$722,0,Данные!$A$2:$A$722,"&gt;="&amp;77233554000,Данные!$A$2:$A$722,"&lt;="&amp;77233554999)</f>
        <v>0</v>
      </c>
      <c r="Z152" s="65" t="n">
        <f aca="false">COUNTIFS(Данные!$B$2:$B$722,85,Данные!$C$2:$C$722,0,Данные!$A$2:$A$722,"&gt;="&amp;77233555000,Данные!$A$2:$A$722,"&lt;="&amp;77233556999)</f>
        <v>0</v>
      </c>
      <c r="AA152" s="65" t="n">
        <f aca="false">COUNTIFS(Данные!$B$2:$B$722,85,Данные!$C$2:$C$722,0,Данные!$A$2:$A$722,"&gt;="&amp;77233726000,Данные!$A$2:$A$722,"&lt;="&amp;77233726999)</f>
        <v>0</v>
      </c>
      <c r="AB152" s="65" t="n">
        <f aca="false">COUNTIFS(Данные!$B$2:$B$722,85,Данные!$C$2:$C$722,0,Данные!$A$2:$A$722,"&gt;="&amp;77233820000,Данные!$A$2:$A$722,"&lt;="&amp;77233820999)</f>
        <v>0</v>
      </c>
      <c r="AC152" s="65" t="n">
        <f aca="false">COUNTIFS(Данные!$B$2:$B$722,85,Данные!$C$2:$C$722,0,Данные!$A$2:$A$722,"&gt;="&amp;77233850000,Данные!$A$2:$A$722,"&lt;="&amp;77233850999)</f>
        <v>0</v>
      </c>
      <c r="AD152" s="65" t="n">
        <f aca="false">COUNTIFS(Данные!$B$2:$B$722,85,Данные!$C$2:$C$722,0,Данные!$A$2:$A$722,"&gt;="&amp;77233420000,Данные!$A$2:$A$722,"&lt;="&amp;77233420999)</f>
        <v>0</v>
      </c>
      <c r="AE152" s="65" t="n">
        <f aca="false">COUNTIFS(Данные!$B$2:$B$722,85,Данные!$C$2:$C$722,0,Данные!$A$2:$A$722,"&gt;="&amp;77234740000,Данные!$A$2:$A$722,"&lt;="&amp;77234742999)</f>
        <v>0</v>
      </c>
      <c r="AF152" s="65" t="n">
        <f aca="false">COUNTIFS(Данные!$B$2:$B$722,85,Данные!$C$2:$C$722,0,Данные!$A$2:$A$722,"&gt;="&amp;77234767000,Данные!$A$2:$A$722,"&lt;="&amp;77234767999)</f>
        <v>0</v>
      </c>
      <c r="AG152" s="65" t="n">
        <f aca="false">COUNTIFS(Данные!$B$2:$B$722,85,Данные!$C$2:$C$722,0,Данные!$A$2:$A$722,"&gt;="&amp;77234120000,Данные!$A$2:$A$722,"&lt;="&amp;77234120999)</f>
        <v>0</v>
      </c>
      <c r="AH152" s="65" t="n">
        <f aca="false">COUNTIFS(Данные!$B$2:$B$722,85,Данные!$C$2:$C$722,0,Данные!$A$2:$A$722,"&gt;="&amp;77234127000,Данные!$A$2:$A$722,"&lt;="&amp;77234127999)</f>
        <v>0</v>
      </c>
      <c r="AI152" s="65" t="n">
        <f aca="false">COUNTIFS(Данные!$B$2:$B$722,85,Данные!$C$2:$C$722,0,Данные!$A$2:$A$722,"&gt;="&amp;77234220000,Данные!$A$2:$A$722,"&lt;="&amp;77234220999)</f>
        <v>0</v>
      </c>
      <c r="AJ152" s="65" t="n">
        <f aca="false">COUNTIFS(Данные!$B$2:$B$722,85,Данные!$C$2:$C$722,0,Данные!$A$2:$A$722,"&gt;="&amp;77234250000,Данные!$A$2:$A$722,"&lt;="&amp;77234250999)</f>
        <v>0</v>
      </c>
      <c r="AK152" s="65" t="n">
        <f aca="false">COUNTIFS(Данные!$B$2:$B$722,85,Данные!$C$2:$C$722,0,Данные!$A$2:$A$722,"&gt;="&amp;77233922950,Данные!$A$2:$A$722,"&lt;="&amp;77233924999)</f>
        <v>0</v>
      </c>
      <c r="AL152" s="65" t="n">
        <f aca="false">COUNTIFS(Данные!$B$2:$B$722,85,Данные!$C$2:$C$722,0,Данные!$A$2:$A$722,"&gt;="&amp;77234320000,Данные!$A$2:$A$722,"&lt;="&amp;77234320999)</f>
        <v>0</v>
      </c>
      <c r="AM152" s="65" t="n">
        <f aca="false">COUNTIFS(Данные!$B$2:$B$722,85,Данные!$C$2:$C$722,0,Данные!$A$2:$A$722,"&gt;="&amp;77234350000,Данные!$A$2:$A$722,"&lt;="&amp;77234350999)</f>
        <v>0</v>
      </c>
      <c r="AN152" s="65" t="n">
        <f aca="false">COUNTIFS(Данные!$B$2:$B$722,85,Данные!$C$2:$C$722,0,Данные!$A$2:$A$722,"&gt;="&amp;77234020000,Данные!$A$2:$A$722,"&lt;="&amp;77234020999)</f>
        <v>0</v>
      </c>
      <c r="AO152" s="65" t="n">
        <f aca="false">COUNTIFS(Данные!$B$2:$B$722,85,Данные!$C$2:$C$722,0,Данные!$A$2:$A$722,"&gt;="&amp;77234029000,Данные!$A$2:$A$722,"&lt;="&amp;77234029999)</f>
        <v>0</v>
      </c>
      <c r="AP152" s="65" t="n">
        <f aca="false">COUNTIFS(Данные!$B$2:$B$722,85,Данные!$C$2:$C$722,0,Данные!$A$2:$A$722,"&gt;="&amp;77234050000,Данные!$A$2:$A$722,"&lt;="&amp;77234050999)</f>
        <v>0</v>
      </c>
      <c r="AQ152" s="65" t="n">
        <f aca="false">COUNTIFS(Данные!$B$2:$B$722,85,Данные!$C$2:$C$722,0,Данные!$A$2:$A$722,"&gt;="&amp;77234427000,Данные!$A$2:$A$722,"&lt;="&amp;77234428999)</f>
        <v>0</v>
      </c>
      <c r="AR152" s="65" t="n">
        <f aca="false">COUNTIFS(Данные!$B$2:$B$722,85,Данные!$C$2:$C$722,0,Данные!$A$2:$A$722,"&gt;="&amp;77234450000,Данные!$A$2:$A$722,"&lt;="&amp;77234450999)</f>
        <v>0</v>
      </c>
      <c r="AS152" s="65" t="n">
        <f aca="false">COUNTIFS(Данные!$B$2:$B$722,85,Данные!$C$2:$C$722,0,Данные!$A$2:$A$722,"&gt;="&amp;77234620000,Данные!$A$2:$A$722,"&lt;="&amp;77234620999)</f>
        <v>0</v>
      </c>
      <c r="AT152" s="65" t="n">
        <f aca="false">COUNTIFS(Данные!$B$2:$B$722,85,Данные!$C$2:$C$722,0,Данные!$A$2:$A$722,"&gt;="&amp;77234650000,Данные!$A$2:$A$722,"&lt;="&amp;77234650999)</f>
        <v>0</v>
      </c>
      <c r="AU152" s="65" t="n">
        <f aca="false">COUNTIFS(Данные!$B$2:$B$722,85,Данные!$C$2:$C$722,0,Данные!$A$2:$A$722,"&gt;="&amp;77234820000,Данные!$A$2:$A$722,"&lt;="&amp;77234820999)</f>
        <v>0</v>
      </c>
      <c r="AV152" s="65" t="n">
        <f aca="false">COUNTIFS(Данные!$B$2:$B$722,85,Данные!$C$2:$C$722,0,Данные!$A$2:$A$722,"&gt;="&amp;77234850000,Данные!$A$2:$A$722,"&lt;="&amp;77234850999)</f>
        <v>0</v>
      </c>
      <c r="AW152" s="65" t="n">
        <f aca="false">COUNTIFS(Данные!$B$2:$B$722,85,Данные!$C$2:$C$722,0,Данные!$A$2:$A$722,"&gt;="&amp;77233327000,Данные!$A$2:$A$722,"&lt;="&amp;77233327999)</f>
        <v>0</v>
      </c>
      <c r="AX152" s="65" t="n">
        <f aca="false">COUNTIFS(Данные!$B$2:$B$722,85,Данные!$C$2:$C$722,0,Данные!$A$2:$A$722,"&gt;="&amp;77233350000,Данные!$A$2:$A$722,"&lt;="&amp;77233350599)</f>
        <v>0</v>
      </c>
      <c r="AY152" s="65" t="n">
        <f aca="false">COUNTIFS(Данные!$B$2:$B$722,85,Данные!$C$2:$C$722,0,Данные!$A$2:$A$722,"&gt;="&amp;77233351000,Данные!$A$2:$A$722,"&lt;="&amp;77233351999)</f>
        <v>0</v>
      </c>
      <c r="AZ152" s="66" t="n">
        <f aca="false">COUNTIFS(Данные!$B$2:$B$722,85,Данные!$C$2:$C$722,0,Данные!$A$2:$A$722,"&gt;="&amp;7722440000,Данные!$A$2:$A$722,"&lt;="&amp;7722440999)</f>
        <v>0</v>
      </c>
      <c r="BA152" s="66" t="n">
        <f aca="false">COUNTIFS(Данные!$B$2:$B$722,85,Данные!$C$2:$C$722,0,Данные!$A$2:$A$722,"&gt;="&amp;7722442000,Данные!$A$2:$A$722,"&lt;="&amp;7722445659)</f>
        <v>0</v>
      </c>
      <c r="BB152" s="66" t="n">
        <f aca="false">COUNTIFS(Данные!$B$2:$B$722,85,Данные!$C$2:$C$722,0,Данные!$A$2:$A$722,"&gt;="&amp;7722450000,Данные!$A$2:$A$722,"&lt;="&amp;7722450199)</f>
        <v>0</v>
      </c>
      <c r="BC152" s="66" t="n">
        <f aca="false">COUNTIFS(Данные!$B$2:$B$722,85,Данные!$C$2:$C$722,0,Данные!$A$2:$A$722,"&gt;="&amp;7722451000,Данные!$A$2:$A$722,"&lt;="&amp;7722451374)</f>
        <v>0</v>
      </c>
      <c r="BD152" s="66" t="n">
        <f aca="false">COUNTIFS(Данные!$B$2:$B$722,85,Данные!$C$2:$C$722,0,Данные!$A$2:$A$722,"&gt;="&amp;7722452000,Данные!$A$2:$A$722,"&lt;="&amp;7722452299)</f>
        <v>0</v>
      </c>
      <c r="BE152" s="66" t="n">
        <f aca="false">COUNTIFS(Данные!$B$2:$B$722,85,Данные!$C$2:$C$722,0,Данные!$A$2:$A$722,"&gt;="&amp;7722453000,Данные!$A$2:$A$722,"&lt;="&amp;7722453816)</f>
        <v>0</v>
      </c>
      <c r="BF152" s="66" t="n">
        <f aca="false">COUNTIFS(Данные!$B$2:$B$722,85,Данные!$C$2:$C$722,0,Данные!$A$2:$A$722,"&gt;="&amp;7722454000,Данные!$A$2:$A$722,"&lt;="&amp;7722454099)</f>
        <v>0</v>
      </c>
      <c r="BG152" s="66" t="n">
        <f aca="false">COUNTIFS(Данные!$B$2:$B$722,85,Данные!$C$2:$C$722,0,Данные!$A$2:$A$722,"&gt;="&amp;7722458000,Данные!$A$2:$A$722,"&lt;="&amp;7722458999)</f>
        <v>0</v>
      </c>
      <c r="BH152" s="66" t="n">
        <f aca="false">COUNTIFS(Данные!$B$2:$B$722,85,Данные!$C$2:$C$722,0,Данные!$A$2:$A$722,"&gt;="&amp;7722630000,Данные!$A$2:$A$722,"&lt;="&amp;7722638549)</f>
        <v>0</v>
      </c>
      <c r="BI152" s="66" t="n">
        <f aca="false">COUNTIFS(Данные!$B$2:$B$722,85,Данные!$C$2:$C$722,0,Данные!$A$2:$A$722,"&gt;="&amp;7722639400,Данные!$A$2:$A$722,"&lt;="&amp;7722639899)</f>
        <v>0</v>
      </c>
      <c r="BJ152" s="66" t="n">
        <f aca="false">COUNTIFS(Данные!$B$2:$B$722,85,Данные!$C$2:$C$722,0,Данные!$A$2:$A$722,"&gt;="&amp;7725750000,Данные!$A$2:$A$722,"&lt;="&amp;7725750399)</f>
        <v>0</v>
      </c>
      <c r="BK152" s="66" t="n">
        <f aca="false">COUNTIFS(Данные!$B$2:$B$722,85,Данные!$C$2:$C$722,0,Данные!$A$2:$A$722,"&gt;="&amp;7723620000,Данные!$A$2:$A$722,"&lt;="&amp;7723621299)</f>
        <v>0</v>
      </c>
      <c r="BL152" s="66" t="n">
        <f aca="false">COUNTIFS(Данные!$B$2:$B$722,85,Данные!$C$2:$C$722,0,Данные!$A$2:$A$722,"&gt;="&amp;7723621600,Данные!$A$2:$A$722,"&lt;="&amp;7723623399)</f>
        <v>0</v>
      </c>
      <c r="BM152" s="66" t="n">
        <f aca="false">COUNTIFS(Данные!$B$2:$B$722,85,Данные!$C$2:$C$722,0,Данные!$A$2:$A$722,"&gt;="&amp;7725127000,Данные!$A$2:$A$722,"&lt;="&amp;7725127999)</f>
        <v>0</v>
      </c>
      <c r="BN152" s="66" t="n">
        <f aca="false">COUNTIFS(Данные!$B$2:$B$722,85,Данные!$C$2:$C$722,0,Данные!$A$2:$A$722,"&gt;="&amp;7723772000,Данные!$A$2:$A$722,"&lt;="&amp;7723724999)</f>
        <v>0</v>
      </c>
      <c r="BO152" s="65" t="n">
        <f aca="false">COUNTIFS(Данные!$B$2:$B$722,85,Данные!$C$2:$C$722,0,Данные!$A$2:$A$722,"&gt;="&amp;7723765000,Данные!$A$2:$A$722,"&lt;="&amp;7723765499)</f>
        <v>0</v>
      </c>
      <c r="BP152" s="66" t="n">
        <f aca="false">COUNTIFS(Данные!$B$2:$B$722,85,Данные!$C$2:$C$722,0,Данные!$A$2:$A$722,"&gt;="&amp;7723948000,Данные!$A$2:$A$722,"&lt;="&amp;7723948999)</f>
        <v>0</v>
      </c>
      <c r="BQ152" s="66" t="n">
        <f aca="false">COUNTIFS(Данные!$B$2:$B$722,85,Данные!$C$2:$C$722,0,Данные!$A$2:$A$722,"&gt;="&amp;7723950000,Данные!$A$2:$A$722,"&lt;="&amp;7723951099)</f>
        <v>0</v>
      </c>
      <c r="BR152" s="66" t="n">
        <f aca="false">COUNTIFS(Данные!$B$2:$B$722,85,Данные!$C$2:$C$722,0,Данные!$A$2:$A$722,"&gt;="&amp;7723020000,Данные!$A$2:$A$722,"&lt;="&amp;7723020999)</f>
        <v>0</v>
      </c>
      <c r="BS152" s="66" t="n">
        <f aca="false">COUNTIFS(Данные!$B$2:$B$722,85,Данные!$C$2:$C$722,0,Данные!$A$2:$A$722,"&gt;="&amp;7723029000,Данные!$A$2:$A$722,"&lt;="&amp;7723029999)</f>
        <v>0</v>
      </c>
      <c r="BT152" s="66" t="n">
        <f aca="false">COUNTIFS(Данные!$B$2:$B$722,85,Данные!$C$2:$C$722,0,Данные!$A$2:$A$722,"&gt;="&amp;7723055000,Данные!$A$2:$A$722,"&lt;="&amp;7723056549)</f>
        <v>0</v>
      </c>
      <c r="BU152" s="65" t="n">
        <f aca="false">COUNTIFS(Данные!$B$2:$B$722,85,Данные!$C$2:$C$722,0,Данные!$A$2:$A$722,"&gt;="&amp;7725250000,Данные!$A$2:$A$722,"&lt;="&amp;7725250499)</f>
        <v>0</v>
      </c>
      <c r="BV152" s="66" t="n">
        <f aca="false">COUNTIFS(Данные!$B$2:$B$722,85,Данные!$C$2:$C$722,0,Данные!$A$2:$A$722,"&gt;="&amp;7183841400,Данные!$A$2:$A$722,"&lt;="&amp;7183841499)</f>
        <v>0</v>
      </c>
      <c r="BW152" s="49" t="n">
        <v>300</v>
      </c>
      <c r="BX152" s="67" t="n">
        <f aca="false">F152-BW152</f>
        <v>-300</v>
      </c>
    </row>
    <row r="153" s="15" customFormat="true" ht="12" hidden="false" customHeight="true" outlineLevel="0" collapsed="false">
      <c r="A153" s="47"/>
      <c r="B153" s="48"/>
      <c r="C153" s="50" t="n">
        <v>1</v>
      </c>
      <c r="D153" s="50" t="n">
        <v>851</v>
      </c>
      <c r="E153" s="51"/>
      <c r="F153" s="65" t="n">
        <f aca="false">COUNTIFS(Данные!$B$2:$B$722,85,Данные!$C$2:$C$722,1)</f>
        <v>0</v>
      </c>
      <c r="G153" s="65" t="n">
        <f aca="false">COUNTIFS(Данные!$B$2:$B$722,85,Данные!$C$2:$C$722,1,Данные!$A$2:$A$722,"&gt;="&amp;77232210840,Данные!$A$2:$A$722,"&lt;="&amp;77232216999)</f>
        <v>0</v>
      </c>
      <c r="H153" s="65" t="n">
        <f aca="false">COUNTIFS(Данные!$B$2:$B$722,85,Данные!$C$2:$C$722,1,Данные!$A$2:$A$722,"&gt;="&amp;77232510512,Данные!$A$2:$A$722,"&lt;="&amp;77232519487)</f>
        <v>0</v>
      </c>
      <c r="I153" s="65" t="n">
        <f aca="false">COUNTIFS(Данные!$B$2:$B$722,85,Данные!$C$2:$C$722,1,Данные!$A$2:$A$722,"&gt;="&amp;77232524160,Данные!$A$2:$A$722,"&lt;="&amp;77232529999)</f>
        <v>0</v>
      </c>
      <c r="J153" s="65" t="n">
        <f aca="false">COUNTIFS(Данные!$B$2:$B$722,85,Данные!$C$2:$C$722,1,Данные!$A$2:$A$722,"&gt;="&amp;77232544000,Данные!$A$2:$A$722,"&lt;="&amp;77232544999)</f>
        <v>0</v>
      </c>
      <c r="K153" s="65" t="n">
        <f aca="false">COUNTIFS(Данные!$B$2:$B$722,85,Данные!$C$2:$C$722,1,Данные!$A$2:$A$722,"&gt;="&amp;77232295504,Данные!$A$2:$A$722,"&lt;="&amp;77232296999)</f>
        <v>0</v>
      </c>
      <c r="L153" s="65" t="n">
        <f aca="false">COUNTIFS(Данные!$B$2:$B$722,85,Данные!$C$2:$C$722,1,Данные!$A$2:$A$722,"&gt;="&amp;77232785000,Данные!$A$2:$A$722,"&lt;="&amp;77232789999)</f>
        <v>0</v>
      </c>
      <c r="M153" s="65" t="n">
        <f aca="false">COUNTIFS(Данные!$B$2:$B$722,85,Данные!$C$2:$C$722,1,Данные!$A$2:$A$722,"&gt;="&amp;77233150000,Данные!$A$2:$A$722,"&lt;="&amp;77233155999)</f>
        <v>0</v>
      </c>
      <c r="N153" s="65" t="n">
        <f aca="false">COUNTIFS(Данные!$B$2:$B$722,85,Данные!$C$2:$C$722,1,Данные!$A$2:$A$722,"&gt;="&amp;77233235000,Данные!$A$2:$A$722,"&lt;="&amp;77233235999)</f>
        <v>0</v>
      </c>
      <c r="O153" s="65" t="n">
        <f aca="false">COUNTIFS(Данные!$B$2:$B$722,85,Данные!$C$2:$C$722,1,Данные!$A$2:$A$722,"&gt;="&amp;77233239000,Данные!$A$2:$A$722,"&lt;="&amp;77233239999)</f>
        <v>0</v>
      </c>
      <c r="P153" s="65" t="n">
        <f aca="false">COUNTIFS(Данные!$B$2:$B$722,85,Данные!$C$2:$C$722,1,Данные!$A$2:$A$722,"&gt;="&amp;77233272000,Данные!$A$2:$A$722,"&lt;="&amp;77233272999)</f>
        <v>0</v>
      </c>
      <c r="Q153" s="65" t="n">
        <f aca="false">COUNTIFS(Данные!$B$2:$B$722,85,Данные!$C$2:$C$722,1,Данные!$A$2:$A$722,"&gt;="&amp;77233291100,Данные!$A$2:$A$722,"&lt;="&amp;77233292999)</f>
        <v>0</v>
      </c>
      <c r="R153" s="65" t="n">
        <f aca="false">COUNTIFS(Данные!$B$2:$B$722,85,Данные!$C$2:$C$722,1,Данные!$A$2:$A$722,"&gt;="&amp;77233297000,Данные!$A$2:$A$722,"&lt;="&amp;77233298399)</f>
        <v>0</v>
      </c>
      <c r="S153" s="65" t="n">
        <f aca="false">COUNTIFS(Данные!$B$2:$B$722,85,Данные!$C$2:$C$722,1,Данные!$A$2:$A$722,"&gt;="&amp;77235124000,Данные!$A$2:$A$722,"&lt;="&amp;77235128499)</f>
        <v>0</v>
      </c>
      <c r="T153" s="65" t="n">
        <f aca="false">COUNTIFS(Данные!$B$2:$B$722,85,Данные!$C$2:$C$722,1,Данные!$A$2:$A$722,"&gt;="&amp;77235320000,Данные!$A$2:$A$722,"&lt;="&amp;77235320999)</f>
        <v>0</v>
      </c>
      <c r="U153" s="65" t="n">
        <f aca="false">COUNTIFS(Данные!$B$2:$B$722,85,Данные!$C$2:$C$722,1,Данные!$A$2:$A$722,"&gt;="&amp;77233620000,Данные!$A$2:$A$722,"&lt;="&amp;77233623339)</f>
        <v>0</v>
      </c>
      <c r="V153" s="65" t="n">
        <f aca="false">COUNTIFS(Данные!$B$2:$B$722,85,Данные!$C$2:$C$722,1,Данные!$A$2:$A$722,"&gt;="&amp;77233630000,Данные!$A$2:$A$722,"&lt;="&amp;77233630999)</f>
        <v>0</v>
      </c>
      <c r="W153" s="65" t="n">
        <f aca="false">COUNTIFS(Данные!$B$2:$B$722,85,Данные!$C$2:$C$722,1,Данные!$A$2:$A$722,"&gt;="&amp;77233637000,Данные!$A$2:$A$722,"&lt;="&amp;77233637599)</f>
        <v>0</v>
      </c>
      <c r="X153" s="65" t="n">
        <f aca="false">COUNTIFS(Данные!$B$2:$B$722,85,Данные!$C$2:$C$722,1,Данные!$A$2:$A$722,"&gt;="&amp;77233550000,Данные!$A$2:$A$722,"&lt;="&amp;77233550999)</f>
        <v>0</v>
      </c>
      <c r="Y153" s="65" t="n">
        <f aca="false">COUNTIFS(Данные!$B$2:$B$722,85,Данные!$C$2:$C$722,1,Данные!$A$2:$A$722,"&gt;="&amp;77233554000,Данные!$A$2:$A$722,"&lt;="&amp;77233554999)</f>
        <v>0</v>
      </c>
      <c r="Z153" s="65" t="n">
        <f aca="false">COUNTIFS(Данные!$B$2:$B$722,85,Данные!$C$2:$C$722,1,Данные!$A$2:$A$722,"&gt;="&amp;77233555000,Данные!$A$2:$A$722,"&lt;="&amp;77233556999)</f>
        <v>0</v>
      </c>
      <c r="AA153" s="65" t="n">
        <f aca="false">COUNTIFS(Данные!$B$2:$B$722,85,Данные!$C$2:$C$722,1,Данные!$A$2:$A$722,"&gt;="&amp;77233726000,Данные!$A$2:$A$722,"&lt;="&amp;77233726999)</f>
        <v>0</v>
      </c>
      <c r="AB153" s="65" t="n">
        <f aca="false">COUNTIFS(Данные!$B$2:$B$722,85,Данные!$C$2:$C$722,1,Данные!$A$2:$A$722,"&gt;="&amp;77233820000,Данные!$A$2:$A$722,"&lt;="&amp;77233820999)</f>
        <v>0</v>
      </c>
      <c r="AC153" s="65" t="n">
        <f aca="false">COUNTIFS(Данные!$B$2:$B$722,85,Данные!$C$2:$C$722,1,Данные!$A$2:$A$722,"&gt;="&amp;77233850000,Данные!$A$2:$A$722,"&lt;="&amp;77233850999)</f>
        <v>0</v>
      </c>
      <c r="AD153" s="65" t="n">
        <f aca="false">COUNTIFS(Данные!$B$2:$B$722,85,Данные!$C$2:$C$722,1,Данные!$A$2:$A$722,"&gt;="&amp;77233420000,Данные!$A$2:$A$722,"&lt;="&amp;77233420999)</f>
        <v>0</v>
      </c>
      <c r="AE153" s="65" t="n">
        <f aca="false">COUNTIFS(Данные!$B$2:$B$722,85,Данные!$C$2:$C$722,1,Данные!$A$2:$A$722,"&gt;="&amp;77234740000,Данные!$A$2:$A$722,"&lt;="&amp;77234742999)</f>
        <v>0</v>
      </c>
      <c r="AF153" s="65" t="n">
        <f aca="false">COUNTIFS(Данные!$B$2:$B$722,85,Данные!$C$2:$C$722,1,Данные!$A$2:$A$722,"&gt;="&amp;77234767000,Данные!$A$2:$A$722,"&lt;="&amp;77234767999)</f>
        <v>0</v>
      </c>
      <c r="AG153" s="65" t="n">
        <f aca="false">COUNTIFS(Данные!$B$2:$B$722,85,Данные!$C$2:$C$722,1,Данные!$A$2:$A$722,"&gt;="&amp;77234120000,Данные!$A$2:$A$722,"&lt;="&amp;77234120999)</f>
        <v>0</v>
      </c>
      <c r="AH153" s="65" t="n">
        <f aca="false">COUNTIFS(Данные!$B$2:$B$722,85,Данные!$C$2:$C$722,1,Данные!$A$2:$A$722,"&gt;="&amp;77234127000,Данные!$A$2:$A$722,"&lt;="&amp;77234127999)</f>
        <v>0</v>
      </c>
      <c r="AI153" s="65" t="n">
        <f aca="false">COUNTIFS(Данные!$B$2:$B$722,85,Данные!$C$2:$C$722,1,Данные!$A$2:$A$722,"&gt;="&amp;77234220000,Данные!$A$2:$A$722,"&lt;="&amp;77234220999)</f>
        <v>0</v>
      </c>
      <c r="AJ153" s="65" t="n">
        <f aca="false">COUNTIFS(Данные!$B$2:$B$722,85,Данные!$C$2:$C$722,1,Данные!$A$2:$A$722,"&gt;="&amp;77234250000,Данные!$A$2:$A$722,"&lt;="&amp;77234250999)</f>
        <v>0</v>
      </c>
      <c r="AK153" s="65" t="n">
        <f aca="false">COUNTIFS(Данные!$B$2:$B$722,85,Данные!$C$2:$C$722,1,Данные!$A$2:$A$722,"&gt;="&amp;77233922950,Данные!$A$2:$A$722,"&lt;="&amp;77233924999)</f>
        <v>0</v>
      </c>
      <c r="AL153" s="65" t="n">
        <f aca="false">COUNTIFS(Данные!$B$2:$B$722,85,Данные!$C$2:$C$722,1,Данные!$A$2:$A$722,"&gt;="&amp;77234320000,Данные!$A$2:$A$722,"&lt;="&amp;77234320999)</f>
        <v>0</v>
      </c>
      <c r="AM153" s="65" t="n">
        <f aca="false">COUNTIFS(Данные!$B$2:$B$722,85,Данные!$C$2:$C$722,1,Данные!$A$2:$A$722,"&gt;="&amp;77234350000,Данные!$A$2:$A$722,"&lt;="&amp;77234350999)</f>
        <v>0</v>
      </c>
      <c r="AN153" s="65" t="n">
        <f aca="false">COUNTIFS(Данные!$B$2:$B$722,85,Данные!$C$2:$C$722,1,Данные!$A$2:$A$722,"&gt;="&amp;77234020000,Данные!$A$2:$A$722,"&lt;="&amp;77234020999)</f>
        <v>0</v>
      </c>
      <c r="AO153" s="65" t="n">
        <f aca="false">COUNTIFS(Данные!$B$2:$B$722,85,Данные!$C$2:$C$722,1,Данные!$A$2:$A$722,"&gt;="&amp;77234029000,Данные!$A$2:$A$722,"&lt;="&amp;77234029999)</f>
        <v>0</v>
      </c>
      <c r="AP153" s="65" t="n">
        <f aca="false">COUNTIFS(Данные!$B$2:$B$722,85,Данные!$C$2:$C$722,1,Данные!$A$2:$A$722,"&gt;="&amp;77234050000,Данные!$A$2:$A$722,"&lt;="&amp;77234050999)</f>
        <v>0</v>
      </c>
      <c r="AQ153" s="65" t="n">
        <f aca="false">COUNTIFS(Данные!$B$2:$B$722,85,Данные!$C$2:$C$722,1,Данные!$A$2:$A$722,"&gt;="&amp;77234427000,Данные!$A$2:$A$722,"&lt;="&amp;77234428999)</f>
        <v>0</v>
      </c>
      <c r="AR153" s="65" t="n">
        <f aca="false">COUNTIFS(Данные!$B$2:$B$722,85,Данные!$C$2:$C$722,1,Данные!$A$2:$A$722,"&gt;="&amp;77234450000,Данные!$A$2:$A$722,"&lt;="&amp;77234450999)</f>
        <v>0</v>
      </c>
      <c r="AS153" s="65" t="n">
        <f aca="false">COUNTIFS(Данные!$B$2:$B$722,85,Данные!$C$2:$C$722,1,Данные!$A$2:$A$722,"&gt;="&amp;77234620000,Данные!$A$2:$A$722,"&lt;="&amp;77234620999)</f>
        <v>0</v>
      </c>
      <c r="AT153" s="65" t="n">
        <f aca="false">COUNTIFS(Данные!$B$2:$B$722,85,Данные!$C$2:$C$722,1,Данные!$A$2:$A$722,"&gt;="&amp;77234650000,Данные!$A$2:$A$722,"&lt;="&amp;77234650999)</f>
        <v>0</v>
      </c>
      <c r="AU153" s="65" t="n">
        <f aca="false">COUNTIFS(Данные!$B$2:$B$722,85,Данные!$C$2:$C$722,1,Данные!$A$2:$A$722,"&gt;="&amp;77234820000,Данные!$A$2:$A$722,"&lt;="&amp;77234820999)</f>
        <v>0</v>
      </c>
      <c r="AV153" s="65" t="n">
        <f aca="false">COUNTIFS(Данные!$B$2:$B$722,85,Данные!$C$2:$C$722,1,Данные!$A$2:$A$722,"&gt;="&amp;77234850000,Данные!$A$2:$A$722,"&lt;="&amp;77234850999)</f>
        <v>0</v>
      </c>
      <c r="AW153" s="65" t="n">
        <f aca="false">COUNTIFS(Данные!$B$2:$B$722,85,Данные!$C$2:$C$722,1,Данные!$A$2:$A$722,"&gt;="&amp;77233327000,Данные!$A$2:$A$722,"&lt;="&amp;77233327999)</f>
        <v>0</v>
      </c>
      <c r="AX153" s="65" t="n">
        <f aca="false">COUNTIFS(Данные!$B$2:$B$722,85,Данные!$C$2:$C$722,1,Данные!$A$2:$A$722,"&gt;="&amp;77233350000,Данные!$A$2:$A$722,"&lt;="&amp;77233350599)</f>
        <v>0</v>
      </c>
      <c r="AY153" s="65" t="n">
        <f aca="false">COUNTIFS(Данные!$B$2:$B$722,85,Данные!$C$2:$C$722,1,Данные!$A$2:$A$722,"&gt;="&amp;77233351000,Данные!$A$2:$A$722,"&lt;="&amp;77233351999)</f>
        <v>0</v>
      </c>
      <c r="AZ153" s="66" t="n">
        <f aca="false">COUNTIFS(Данные!$B$2:$B$722,85,Данные!$C$2:$C$722,1,Данные!$A$2:$A$722,"&gt;="&amp;7722440000,Данные!$A$2:$A$722,"&lt;="&amp;7722440999)</f>
        <v>0</v>
      </c>
      <c r="BA153" s="66" t="n">
        <f aca="false">COUNTIFS(Данные!$B$2:$B$722,85,Данные!$C$2:$C$722,1,Данные!$A$2:$A$722,"&gt;="&amp;7722442000,Данные!$A$2:$A$722,"&lt;="&amp;7722445659)</f>
        <v>0</v>
      </c>
      <c r="BB153" s="66" t="n">
        <f aca="false">COUNTIFS(Данные!$B$2:$B$722,85,Данные!$C$2:$C$722,1,Данные!$A$2:$A$722,"&gt;="&amp;7722450000,Данные!$A$2:$A$722,"&lt;="&amp;7722450199)</f>
        <v>0</v>
      </c>
      <c r="BC153" s="66" t="n">
        <f aca="false">COUNTIFS(Данные!$B$2:$B$722,85,Данные!$C$2:$C$722,1,Данные!$A$2:$A$722,"&gt;="&amp;7722451000,Данные!$A$2:$A$722,"&lt;="&amp;7722451374)</f>
        <v>0</v>
      </c>
      <c r="BD153" s="66" t="n">
        <f aca="false">COUNTIFS(Данные!$B$2:$B$722,85,Данные!$C$2:$C$722,1,Данные!$A$2:$A$722,"&gt;="&amp;7722452000,Данные!$A$2:$A$722,"&lt;="&amp;7722452299)</f>
        <v>0</v>
      </c>
      <c r="BE153" s="66" t="n">
        <f aca="false">COUNTIFS(Данные!$B$2:$B$722,85,Данные!$C$2:$C$722,1,Данные!$A$2:$A$722,"&gt;="&amp;7722453000,Данные!$A$2:$A$722,"&lt;="&amp;7722453816)</f>
        <v>0</v>
      </c>
      <c r="BF153" s="66" t="n">
        <f aca="false">COUNTIFS(Данные!$B$2:$B$722,85,Данные!$C$2:$C$722,1,Данные!$A$2:$A$722,"&gt;="&amp;7722454000,Данные!$A$2:$A$722,"&lt;="&amp;7722454099)</f>
        <v>0</v>
      </c>
      <c r="BG153" s="66" t="n">
        <f aca="false">COUNTIFS(Данные!$B$2:$B$722,85,Данные!$C$2:$C$722,1,Данные!$A$2:$A$722,"&gt;="&amp;7722458000,Данные!$A$2:$A$722,"&lt;="&amp;7722458999)</f>
        <v>0</v>
      </c>
      <c r="BH153" s="66" t="n">
        <f aca="false">COUNTIFS(Данные!$B$2:$B$722,85,Данные!$C$2:$C$722,1,Данные!$A$2:$A$722,"&gt;="&amp;7722630000,Данные!$A$2:$A$722,"&lt;="&amp;7722638549)</f>
        <v>0</v>
      </c>
      <c r="BI153" s="66" t="n">
        <f aca="false">COUNTIFS(Данные!$B$2:$B$722,85,Данные!$C$2:$C$722,1,Данные!$A$2:$A$722,"&gt;="&amp;7722639400,Данные!$A$2:$A$722,"&lt;="&amp;7722639899)</f>
        <v>0</v>
      </c>
      <c r="BJ153" s="66" t="n">
        <f aca="false">COUNTIFS(Данные!$B$2:$B$722,85,Данные!$C$2:$C$722,1,Данные!$A$2:$A$722,"&gt;="&amp;7725750000,Данные!$A$2:$A$722,"&lt;="&amp;7725750399)</f>
        <v>0</v>
      </c>
      <c r="BK153" s="66" t="n">
        <f aca="false">COUNTIFS(Данные!$B$2:$B$722,85,Данные!$C$2:$C$722,1,Данные!$A$2:$A$722,"&gt;="&amp;7723620000,Данные!$A$2:$A$722,"&lt;="&amp;7723621299)</f>
        <v>0</v>
      </c>
      <c r="BL153" s="66" t="n">
        <f aca="false">COUNTIFS(Данные!$B$2:$B$722,85,Данные!$C$2:$C$722,1,Данные!$A$2:$A$722,"&gt;="&amp;7723621600,Данные!$A$2:$A$722,"&lt;="&amp;7723623399)</f>
        <v>0</v>
      </c>
      <c r="BM153" s="66" t="n">
        <f aca="false">COUNTIFS(Данные!$B$2:$B$722,85,Данные!$C$2:$C$722,1,Данные!$A$2:$A$722,"&gt;="&amp;7725127000,Данные!$A$2:$A$722,"&lt;="&amp;7725127999)</f>
        <v>0</v>
      </c>
      <c r="BN153" s="66" t="n">
        <f aca="false">COUNTIFS(Данные!$B$2:$B$722,85,Данные!$C$2:$C$722,1,Данные!$A$2:$A$722,"&gt;="&amp;7723772000,Данные!$A$2:$A$722,"&lt;="&amp;7723724999)</f>
        <v>0</v>
      </c>
      <c r="BO153" s="65" t="n">
        <f aca="false">COUNTIFS(Данные!$B$2:$B$722,85,Данные!$C$2:$C$722,1,Данные!$A$2:$A$722,"&gt;="&amp;7723765000,Данные!$A$2:$A$722,"&lt;="&amp;7723765499)</f>
        <v>0</v>
      </c>
      <c r="BP153" s="66" t="n">
        <f aca="false">COUNTIFS(Данные!$B$2:$B$722,85,Данные!$C$2:$C$722,1,Данные!$A$2:$A$722,"&gt;="&amp;7723948000,Данные!$A$2:$A$722,"&lt;="&amp;7723948999)</f>
        <v>0</v>
      </c>
      <c r="BQ153" s="66" t="n">
        <f aca="false">COUNTIFS(Данные!$B$2:$B$722,85,Данные!$C$2:$C$722,1,Данные!$A$2:$A$722,"&gt;="&amp;7723950000,Данные!$A$2:$A$722,"&lt;="&amp;7723951099)</f>
        <v>0</v>
      </c>
      <c r="BR153" s="66" t="n">
        <f aca="false">COUNTIFS(Данные!$B$2:$B$722,85,Данные!$C$2:$C$722,1,Данные!$A$2:$A$722,"&gt;="&amp;7723020000,Данные!$A$2:$A$722,"&lt;="&amp;7723020999)</f>
        <v>0</v>
      </c>
      <c r="BS153" s="66" t="n">
        <f aca="false">COUNTIFS(Данные!$B$2:$B$722,85,Данные!$C$2:$C$722,1,Данные!$A$2:$A$722,"&gt;="&amp;7723029000,Данные!$A$2:$A$722,"&lt;="&amp;7723029999)</f>
        <v>0</v>
      </c>
      <c r="BT153" s="66" t="n">
        <f aca="false">COUNTIFS(Данные!$B$2:$B$722,85,Данные!$C$2:$C$722,1,Данные!$A$2:$A$722,"&gt;="&amp;7723055000,Данные!$A$2:$A$722,"&lt;="&amp;7723056549)</f>
        <v>0</v>
      </c>
      <c r="BU153" s="65" t="n">
        <f aca="false">COUNTIFS(Данные!$B$2:$B$722,85,Данные!$C$2:$C$722,1,Данные!$A$2:$A$722,"&gt;="&amp;7725250000,Данные!$A$2:$A$722,"&lt;="&amp;7725250499)</f>
        <v>0</v>
      </c>
      <c r="BV153" s="66" t="n">
        <f aca="false">COUNTIFS(Данные!$B$2:$B$722,85,Данные!$C$2:$C$722,1,Данные!$A$2:$A$722,"&gt;="&amp;7183841400,Данные!$A$2:$A$722,"&lt;="&amp;7183841499)</f>
        <v>0</v>
      </c>
      <c r="BW153" s="49" t="n">
        <v>300</v>
      </c>
      <c r="BX153" s="67" t="n">
        <f aca="false">F153-BW153</f>
        <v>-300</v>
      </c>
    </row>
    <row r="154" s="15" customFormat="true" ht="12" hidden="false" customHeight="true" outlineLevel="0" collapsed="false">
      <c r="A154" s="47"/>
      <c r="B154" s="48"/>
      <c r="C154" s="50" t="n">
        <v>2</v>
      </c>
      <c r="D154" s="50" t="n">
        <v>852</v>
      </c>
      <c r="E154" s="51"/>
      <c r="F154" s="65" t="n">
        <f aca="false">COUNTIFS(Данные!$B$2:$B$722,85,Данные!$C$2:$C$722,2)</f>
        <v>0</v>
      </c>
      <c r="G154" s="65" t="n">
        <f aca="false">COUNTIFS(Данные!$B$2:$B$722,85,Данные!$C$2:$C$722,2,Данные!$A$2:$A$722,"&gt;="&amp;77232210840,Данные!$A$2:$A$722,"&lt;="&amp;77232216999)</f>
        <v>0</v>
      </c>
      <c r="H154" s="65" t="n">
        <f aca="false">COUNTIFS(Данные!$B$2:$B$722,85,Данные!$C$2:$C$722,2,Данные!$A$2:$A$722,"&gt;="&amp;77232510512,Данные!$A$2:$A$722,"&lt;="&amp;77232519487)</f>
        <v>0</v>
      </c>
      <c r="I154" s="65" t="n">
        <f aca="false">COUNTIFS(Данные!$B$2:$B$722,85,Данные!$C$2:$C$722,2,Данные!$A$2:$A$722,"&gt;="&amp;77232524160,Данные!$A$2:$A$722,"&lt;="&amp;77232529999)</f>
        <v>0</v>
      </c>
      <c r="J154" s="65" t="n">
        <f aca="false">COUNTIFS(Данные!$B$2:$B$722,85,Данные!$C$2:$C$722,2,Данные!$A$2:$A$722,"&gt;="&amp;77232544000,Данные!$A$2:$A$722,"&lt;="&amp;77232544999)</f>
        <v>0</v>
      </c>
      <c r="K154" s="65" t="n">
        <f aca="false">COUNTIFS(Данные!$B$2:$B$722,85,Данные!$C$2:$C$722,2,Данные!$A$2:$A$722,"&gt;="&amp;77232295504,Данные!$A$2:$A$722,"&lt;="&amp;77232296999)</f>
        <v>0</v>
      </c>
      <c r="L154" s="65" t="n">
        <f aca="false">COUNTIFS(Данные!$B$2:$B$722,85,Данные!$C$2:$C$722,2,Данные!$A$2:$A$722,"&gt;="&amp;77232785000,Данные!$A$2:$A$722,"&lt;="&amp;77232789999)</f>
        <v>0</v>
      </c>
      <c r="M154" s="65" t="n">
        <f aca="false">COUNTIFS(Данные!$B$2:$B$722,85,Данные!$C$2:$C$722,2,Данные!$A$2:$A$722,"&gt;="&amp;77233150000,Данные!$A$2:$A$722,"&lt;="&amp;77233155999)</f>
        <v>0</v>
      </c>
      <c r="N154" s="65" t="n">
        <f aca="false">COUNTIFS(Данные!$B$2:$B$722,85,Данные!$C$2:$C$722,2,Данные!$A$2:$A$722,"&gt;="&amp;77233235000,Данные!$A$2:$A$722,"&lt;="&amp;77233235999)</f>
        <v>0</v>
      </c>
      <c r="O154" s="65" t="n">
        <f aca="false">COUNTIFS(Данные!$B$2:$B$722,85,Данные!$C$2:$C$722,2,Данные!$A$2:$A$722,"&gt;="&amp;77233239000,Данные!$A$2:$A$722,"&lt;="&amp;77233239999)</f>
        <v>0</v>
      </c>
      <c r="P154" s="65" t="n">
        <f aca="false">COUNTIFS(Данные!$B$2:$B$722,85,Данные!$C$2:$C$722,2,Данные!$A$2:$A$722,"&gt;="&amp;77233272000,Данные!$A$2:$A$722,"&lt;="&amp;77233272999)</f>
        <v>0</v>
      </c>
      <c r="Q154" s="65" t="n">
        <f aca="false">COUNTIFS(Данные!$B$2:$B$722,85,Данные!$C$2:$C$722,2,Данные!$A$2:$A$722,"&gt;="&amp;77233291100,Данные!$A$2:$A$722,"&lt;="&amp;77233292999)</f>
        <v>0</v>
      </c>
      <c r="R154" s="65" t="n">
        <f aca="false">COUNTIFS(Данные!$B$2:$B$722,85,Данные!$C$2:$C$722,2,Данные!$A$2:$A$722,"&gt;="&amp;77233297000,Данные!$A$2:$A$722,"&lt;="&amp;77233298399)</f>
        <v>0</v>
      </c>
      <c r="S154" s="65" t="n">
        <f aca="false">COUNTIFS(Данные!$B$2:$B$722,85,Данные!$C$2:$C$722,2,Данные!$A$2:$A$722,"&gt;="&amp;77235124000,Данные!$A$2:$A$722,"&lt;="&amp;77235128499)</f>
        <v>0</v>
      </c>
      <c r="T154" s="65" t="n">
        <f aca="false">COUNTIFS(Данные!$B$2:$B$722,85,Данные!$C$2:$C$722,2,Данные!$A$2:$A$722,"&gt;="&amp;77235320000,Данные!$A$2:$A$722,"&lt;="&amp;77235320999)</f>
        <v>0</v>
      </c>
      <c r="U154" s="65" t="n">
        <f aca="false">COUNTIFS(Данные!$B$2:$B$722,85,Данные!$C$2:$C$722,2,Данные!$A$2:$A$722,"&gt;="&amp;77233620000,Данные!$A$2:$A$722,"&lt;="&amp;77233623339)</f>
        <v>0</v>
      </c>
      <c r="V154" s="65" t="n">
        <f aca="false">COUNTIFS(Данные!$B$2:$B$722,85,Данные!$C$2:$C$722,2,Данные!$A$2:$A$722,"&gt;="&amp;77233630000,Данные!$A$2:$A$722,"&lt;="&amp;77233630999)</f>
        <v>0</v>
      </c>
      <c r="W154" s="65" t="n">
        <f aca="false">COUNTIFS(Данные!$B$2:$B$722,85,Данные!$C$2:$C$722,2,Данные!$A$2:$A$722,"&gt;="&amp;77233637000,Данные!$A$2:$A$722,"&lt;="&amp;77233637599)</f>
        <v>0</v>
      </c>
      <c r="X154" s="65" t="n">
        <f aca="false">COUNTIFS(Данные!$B$2:$B$722,85,Данные!$C$2:$C$722,2,Данные!$A$2:$A$722,"&gt;="&amp;77233550000,Данные!$A$2:$A$722,"&lt;="&amp;77233550999)</f>
        <v>0</v>
      </c>
      <c r="Y154" s="65" t="n">
        <f aca="false">COUNTIFS(Данные!$B$2:$B$722,85,Данные!$C$2:$C$722,2,Данные!$A$2:$A$722,"&gt;="&amp;77233554000,Данные!$A$2:$A$722,"&lt;="&amp;77233554999)</f>
        <v>0</v>
      </c>
      <c r="Z154" s="65" t="n">
        <f aca="false">COUNTIFS(Данные!$B$2:$B$722,85,Данные!$C$2:$C$722,2,Данные!$A$2:$A$722,"&gt;="&amp;77233555000,Данные!$A$2:$A$722,"&lt;="&amp;77233556999)</f>
        <v>0</v>
      </c>
      <c r="AA154" s="65" t="n">
        <f aca="false">COUNTIFS(Данные!$B$2:$B$722,85,Данные!$C$2:$C$722,2,Данные!$A$2:$A$722,"&gt;="&amp;77233726000,Данные!$A$2:$A$722,"&lt;="&amp;77233726999)</f>
        <v>0</v>
      </c>
      <c r="AB154" s="65" t="n">
        <f aca="false">COUNTIFS(Данные!$B$2:$B$722,85,Данные!$C$2:$C$722,2,Данные!$A$2:$A$722,"&gt;="&amp;77233820000,Данные!$A$2:$A$722,"&lt;="&amp;77233820999)</f>
        <v>0</v>
      </c>
      <c r="AC154" s="65" t="n">
        <f aca="false">COUNTIFS(Данные!$B$2:$B$722,85,Данные!$C$2:$C$722,2,Данные!$A$2:$A$722,"&gt;="&amp;77233850000,Данные!$A$2:$A$722,"&lt;="&amp;77233850999)</f>
        <v>0</v>
      </c>
      <c r="AD154" s="65" t="n">
        <f aca="false">COUNTIFS(Данные!$B$2:$B$722,85,Данные!$C$2:$C$722,2,Данные!$A$2:$A$722,"&gt;="&amp;77233420000,Данные!$A$2:$A$722,"&lt;="&amp;77233420999)</f>
        <v>0</v>
      </c>
      <c r="AE154" s="65" t="n">
        <f aca="false">COUNTIFS(Данные!$B$2:$B$722,85,Данные!$C$2:$C$722,2,Данные!$A$2:$A$722,"&gt;="&amp;77234740000,Данные!$A$2:$A$722,"&lt;="&amp;77234742999)</f>
        <v>0</v>
      </c>
      <c r="AF154" s="65" t="n">
        <f aca="false">COUNTIFS(Данные!$B$2:$B$722,85,Данные!$C$2:$C$722,2,Данные!$A$2:$A$722,"&gt;="&amp;77234767000,Данные!$A$2:$A$722,"&lt;="&amp;77234767999)</f>
        <v>0</v>
      </c>
      <c r="AG154" s="65" t="n">
        <f aca="false">COUNTIFS(Данные!$B$2:$B$722,85,Данные!$C$2:$C$722,2,Данные!$A$2:$A$722,"&gt;="&amp;77234120000,Данные!$A$2:$A$722,"&lt;="&amp;77234120999)</f>
        <v>0</v>
      </c>
      <c r="AH154" s="65" t="n">
        <f aca="false">COUNTIFS(Данные!$B$2:$B$722,85,Данные!$C$2:$C$722,2,Данные!$A$2:$A$722,"&gt;="&amp;77234127000,Данные!$A$2:$A$722,"&lt;="&amp;77234127999)</f>
        <v>0</v>
      </c>
      <c r="AI154" s="65" t="n">
        <f aca="false">COUNTIFS(Данные!$B$2:$B$722,85,Данные!$C$2:$C$722,2,Данные!$A$2:$A$722,"&gt;="&amp;77234220000,Данные!$A$2:$A$722,"&lt;="&amp;77234220999)</f>
        <v>0</v>
      </c>
      <c r="AJ154" s="65" t="n">
        <f aca="false">COUNTIFS(Данные!$B$2:$B$722,85,Данные!$C$2:$C$722,2,Данные!$A$2:$A$722,"&gt;="&amp;77234250000,Данные!$A$2:$A$722,"&lt;="&amp;77234250999)</f>
        <v>0</v>
      </c>
      <c r="AK154" s="65" t="n">
        <f aca="false">COUNTIFS(Данные!$B$2:$B$722,85,Данные!$C$2:$C$722,2,Данные!$A$2:$A$722,"&gt;="&amp;77233922950,Данные!$A$2:$A$722,"&lt;="&amp;77233924999)</f>
        <v>0</v>
      </c>
      <c r="AL154" s="65" t="n">
        <f aca="false">COUNTIFS(Данные!$B$2:$B$722,85,Данные!$C$2:$C$722,2,Данные!$A$2:$A$722,"&gt;="&amp;77234320000,Данные!$A$2:$A$722,"&lt;="&amp;77234320999)</f>
        <v>0</v>
      </c>
      <c r="AM154" s="65" t="n">
        <f aca="false">COUNTIFS(Данные!$B$2:$B$722,85,Данные!$C$2:$C$722,2,Данные!$A$2:$A$722,"&gt;="&amp;77234350000,Данные!$A$2:$A$722,"&lt;="&amp;77234350999)</f>
        <v>0</v>
      </c>
      <c r="AN154" s="65" t="n">
        <f aca="false">COUNTIFS(Данные!$B$2:$B$722,85,Данные!$C$2:$C$722,2,Данные!$A$2:$A$722,"&gt;="&amp;77234020000,Данные!$A$2:$A$722,"&lt;="&amp;77234020999)</f>
        <v>0</v>
      </c>
      <c r="AO154" s="65" t="n">
        <f aca="false">COUNTIFS(Данные!$B$2:$B$722,85,Данные!$C$2:$C$722,2,Данные!$A$2:$A$722,"&gt;="&amp;77234029000,Данные!$A$2:$A$722,"&lt;="&amp;77234029999)</f>
        <v>0</v>
      </c>
      <c r="AP154" s="65" t="n">
        <f aca="false">COUNTIFS(Данные!$B$2:$B$722,85,Данные!$C$2:$C$722,2,Данные!$A$2:$A$722,"&gt;="&amp;77234050000,Данные!$A$2:$A$722,"&lt;="&amp;77234050999)</f>
        <v>0</v>
      </c>
      <c r="AQ154" s="65" t="n">
        <f aca="false">COUNTIFS(Данные!$B$2:$B$722,85,Данные!$C$2:$C$722,2,Данные!$A$2:$A$722,"&gt;="&amp;77234427000,Данные!$A$2:$A$722,"&lt;="&amp;77234428999)</f>
        <v>0</v>
      </c>
      <c r="AR154" s="65" t="n">
        <f aca="false">COUNTIFS(Данные!$B$2:$B$722,85,Данные!$C$2:$C$722,2,Данные!$A$2:$A$722,"&gt;="&amp;77234450000,Данные!$A$2:$A$722,"&lt;="&amp;77234450999)</f>
        <v>0</v>
      </c>
      <c r="AS154" s="65" t="n">
        <f aca="false">COUNTIFS(Данные!$B$2:$B$722,85,Данные!$C$2:$C$722,2,Данные!$A$2:$A$722,"&gt;="&amp;77234620000,Данные!$A$2:$A$722,"&lt;="&amp;77234620999)</f>
        <v>0</v>
      </c>
      <c r="AT154" s="65" t="n">
        <f aca="false">COUNTIFS(Данные!$B$2:$B$722,85,Данные!$C$2:$C$722,2,Данные!$A$2:$A$722,"&gt;="&amp;77234650000,Данные!$A$2:$A$722,"&lt;="&amp;77234650999)</f>
        <v>0</v>
      </c>
      <c r="AU154" s="65" t="n">
        <f aca="false">COUNTIFS(Данные!$B$2:$B$722,85,Данные!$C$2:$C$722,2,Данные!$A$2:$A$722,"&gt;="&amp;77234820000,Данные!$A$2:$A$722,"&lt;="&amp;77234820999)</f>
        <v>0</v>
      </c>
      <c r="AV154" s="65" t="n">
        <f aca="false">COUNTIFS(Данные!$B$2:$B$722,85,Данные!$C$2:$C$722,2,Данные!$A$2:$A$722,"&gt;="&amp;77234850000,Данные!$A$2:$A$722,"&lt;="&amp;77234850999)</f>
        <v>0</v>
      </c>
      <c r="AW154" s="65" t="n">
        <f aca="false">COUNTIFS(Данные!$B$2:$B$722,85,Данные!$C$2:$C$722,2,Данные!$A$2:$A$722,"&gt;="&amp;77233327000,Данные!$A$2:$A$722,"&lt;="&amp;77233327999)</f>
        <v>0</v>
      </c>
      <c r="AX154" s="65" t="n">
        <f aca="false">COUNTIFS(Данные!$B$2:$B$722,85,Данные!$C$2:$C$722,2,Данные!$A$2:$A$722,"&gt;="&amp;77233350000,Данные!$A$2:$A$722,"&lt;="&amp;77233350599)</f>
        <v>0</v>
      </c>
      <c r="AY154" s="65" t="n">
        <f aca="false">COUNTIFS(Данные!$B$2:$B$722,85,Данные!$C$2:$C$722,2,Данные!$A$2:$A$722,"&gt;="&amp;77233351000,Данные!$A$2:$A$722,"&lt;="&amp;77233351999)</f>
        <v>0</v>
      </c>
      <c r="AZ154" s="66" t="n">
        <f aca="false">COUNTIFS(Данные!$B$2:$B$722,85,Данные!$C$2:$C$722,2,Данные!$A$2:$A$722,"&gt;="&amp;7722440000,Данные!$A$2:$A$722,"&lt;="&amp;7722440999)</f>
        <v>0</v>
      </c>
      <c r="BA154" s="66" t="n">
        <f aca="false">COUNTIFS(Данные!$B$2:$B$722,85,Данные!$C$2:$C$722,2,Данные!$A$2:$A$722,"&gt;="&amp;7722442000,Данные!$A$2:$A$722,"&lt;="&amp;7722445659)</f>
        <v>0</v>
      </c>
      <c r="BB154" s="66" t="n">
        <f aca="false">COUNTIFS(Данные!$B$2:$B$722,85,Данные!$C$2:$C$722,2,Данные!$A$2:$A$722,"&gt;="&amp;7722450000,Данные!$A$2:$A$722,"&lt;="&amp;7722450199)</f>
        <v>0</v>
      </c>
      <c r="BC154" s="66" t="n">
        <f aca="false">COUNTIFS(Данные!$B$2:$B$722,85,Данные!$C$2:$C$722,2,Данные!$A$2:$A$722,"&gt;="&amp;7722451000,Данные!$A$2:$A$722,"&lt;="&amp;7722451374)</f>
        <v>0</v>
      </c>
      <c r="BD154" s="66" t="n">
        <f aca="false">COUNTIFS(Данные!$B$2:$B$722,85,Данные!$C$2:$C$722,2,Данные!$A$2:$A$722,"&gt;="&amp;7722452000,Данные!$A$2:$A$722,"&lt;="&amp;7722452299)</f>
        <v>0</v>
      </c>
      <c r="BE154" s="66" t="n">
        <f aca="false">COUNTIFS(Данные!$B$2:$B$722,85,Данные!$C$2:$C$722,2,Данные!$A$2:$A$722,"&gt;="&amp;7722453000,Данные!$A$2:$A$722,"&lt;="&amp;7722453816)</f>
        <v>0</v>
      </c>
      <c r="BF154" s="66" t="n">
        <f aca="false">COUNTIFS(Данные!$B$2:$B$722,85,Данные!$C$2:$C$722,2,Данные!$A$2:$A$722,"&gt;="&amp;7722454000,Данные!$A$2:$A$722,"&lt;="&amp;7722454099)</f>
        <v>0</v>
      </c>
      <c r="BG154" s="66" t="n">
        <f aca="false">COUNTIFS(Данные!$B$2:$B$722,85,Данные!$C$2:$C$722,2,Данные!$A$2:$A$722,"&gt;="&amp;7722458000,Данные!$A$2:$A$722,"&lt;="&amp;7722458999)</f>
        <v>0</v>
      </c>
      <c r="BH154" s="66" t="n">
        <f aca="false">COUNTIFS(Данные!$B$2:$B$722,85,Данные!$C$2:$C$722,2,Данные!$A$2:$A$722,"&gt;="&amp;7722630000,Данные!$A$2:$A$722,"&lt;="&amp;7722638549)</f>
        <v>0</v>
      </c>
      <c r="BI154" s="66" t="n">
        <f aca="false">COUNTIFS(Данные!$B$2:$B$722,85,Данные!$C$2:$C$722,2,Данные!$A$2:$A$722,"&gt;="&amp;7722639400,Данные!$A$2:$A$722,"&lt;="&amp;7722639899)</f>
        <v>0</v>
      </c>
      <c r="BJ154" s="66" t="n">
        <f aca="false">COUNTIFS(Данные!$B$2:$B$722,85,Данные!$C$2:$C$722,2,Данные!$A$2:$A$722,"&gt;="&amp;7725750000,Данные!$A$2:$A$722,"&lt;="&amp;7725750399)</f>
        <v>0</v>
      </c>
      <c r="BK154" s="66" t="n">
        <f aca="false">COUNTIFS(Данные!$B$2:$B$722,85,Данные!$C$2:$C$722,2,Данные!$A$2:$A$722,"&gt;="&amp;7723620000,Данные!$A$2:$A$722,"&lt;="&amp;7723621299)</f>
        <v>0</v>
      </c>
      <c r="BL154" s="66" t="n">
        <f aca="false">COUNTIFS(Данные!$B$2:$B$722,85,Данные!$C$2:$C$722,2,Данные!$A$2:$A$722,"&gt;="&amp;7723621600,Данные!$A$2:$A$722,"&lt;="&amp;7723623399)</f>
        <v>0</v>
      </c>
      <c r="BM154" s="66" t="n">
        <f aca="false">COUNTIFS(Данные!$B$2:$B$722,85,Данные!$C$2:$C$722,2,Данные!$A$2:$A$722,"&gt;="&amp;7725127000,Данные!$A$2:$A$722,"&lt;="&amp;7725127999)</f>
        <v>0</v>
      </c>
      <c r="BN154" s="66" t="n">
        <f aca="false">COUNTIFS(Данные!$B$2:$B$722,85,Данные!$C$2:$C$722,2,Данные!$A$2:$A$722,"&gt;="&amp;7723772000,Данные!$A$2:$A$722,"&lt;="&amp;7723724999)</f>
        <v>0</v>
      </c>
      <c r="BO154" s="65" t="n">
        <f aca="false">COUNTIFS(Данные!$B$2:$B$722,85,Данные!$C$2:$C$722,2,Данные!$A$2:$A$722,"&gt;="&amp;7723765000,Данные!$A$2:$A$722,"&lt;="&amp;7723765499)</f>
        <v>0</v>
      </c>
      <c r="BP154" s="66" t="n">
        <f aca="false">COUNTIFS(Данные!$B$2:$B$722,85,Данные!$C$2:$C$722,2,Данные!$A$2:$A$722,"&gt;="&amp;7723948000,Данные!$A$2:$A$722,"&lt;="&amp;7723948999)</f>
        <v>0</v>
      </c>
      <c r="BQ154" s="66" t="n">
        <f aca="false">COUNTIFS(Данные!$B$2:$B$722,85,Данные!$C$2:$C$722,2,Данные!$A$2:$A$722,"&gt;="&amp;7723950000,Данные!$A$2:$A$722,"&lt;="&amp;7723951099)</f>
        <v>0</v>
      </c>
      <c r="BR154" s="66" t="n">
        <f aca="false">COUNTIFS(Данные!$B$2:$B$722,85,Данные!$C$2:$C$722,2,Данные!$A$2:$A$722,"&gt;="&amp;7723020000,Данные!$A$2:$A$722,"&lt;="&amp;7723020999)</f>
        <v>0</v>
      </c>
      <c r="BS154" s="66" t="n">
        <f aca="false">COUNTIFS(Данные!$B$2:$B$722,85,Данные!$C$2:$C$722,2,Данные!$A$2:$A$722,"&gt;="&amp;7723029000,Данные!$A$2:$A$722,"&lt;="&amp;7723029999)</f>
        <v>0</v>
      </c>
      <c r="BT154" s="66" t="n">
        <f aca="false">COUNTIFS(Данные!$B$2:$B$722,85,Данные!$C$2:$C$722,2,Данные!$A$2:$A$722,"&gt;="&amp;7723055000,Данные!$A$2:$A$722,"&lt;="&amp;7723056549)</f>
        <v>0</v>
      </c>
      <c r="BU154" s="65" t="n">
        <f aca="false">COUNTIFS(Данные!$B$2:$B$722,85,Данные!$C$2:$C$722,2,Данные!$A$2:$A$722,"&gt;="&amp;7725250000,Данные!$A$2:$A$722,"&lt;="&amp;7725250499)</f>
        <v>0</v>
      </c>
      <c r="BV154" s="66" t="n">
        <f aca="false">COUNTIFS(Данные!$B$2:$B$722,85,Данные!$C$2:$C$722,2,Данные!$A$2:$A$722,"&gt;="&amp;7183841400,Данные!$A$2:$A$722,"&lt;="&amp;7183841499)</f>
        <v>0</v>
      </c>
      <c r="BW154" s="49" t="n">
        <v>300</v>
      </c>
      <c r="BX154" s="67" t="n">
        <f aca="false">F154-BW154</f>
        <v>-300</v>
      </c>
    </row>
    <row r="155" s="15" customFormat="true" ht="12" hidden="false" customHeight="true" outlineLevel="0" collapsed="false">
      <c r="A155" s="38" t="n">
        <v>86</v>
      </c>
      <c r="B155" s="39" t="s">
        <v>111</v>
      </c>
      <c r="C155" s="41" t="n">
        <v>0</v>
      </c>
      <c r="D155" s="41" t="n">
        <v>860</v>
      </c>
      <c r="E155" s="42" t="n">
        <f aca="false">SUM(F155:F157)</f>
        <v>0</v>
      </c>
      <c r="F155" s="62" t="n">
        <f aca="false">COUNTIFS(Данные!$B$2:$B$722,86,Данные!$C$2:$C$722,0)</f>
        <v>0</v>
      </c>
      <c r="G155" s="62" t="n">
        <f aca="false">COUNTIFS(Данные!$B$2:$B$722,86,Данные!$C$2:$C$722,0,Данные!$A$2:$A$722,"&gt;="&amp;77232210840,Данные!$A$2:$A$722,"&lt;="&amp;77232216999)</f>
        <v>0</v>
      </c>
      <c r="H155" s="62" t="n">
        <f aca="false">COUNTIFS(Данные!$B$2:$B$722,86,Данные!$C$2:$C$722,0,Данные!$A$2:$A$722,"&gt;="&amp;77232510512,Данные!$A$2:$A$722,"&lt;="&amp;77232519487)</f>
        <v>0</v>
      </c>
      <c r="I155" s="62" t="n">
        <f aca="false">COUNTIFS(Данные!$B$2:$B$722,86,Данные!$C$2:$C$722,0,Данные!$A$2:$A$722,"&gt;="&amp;77232524160,Данные!$A$2:$A$722,"&lt;="&amp;77232529999)</f>
        <v>0</v>
      </c>
      <c r="J155" s="62" t="n">
        <f aca="false">COUNTIFS(Данные!$B$2:$B$722,86,Данные!$C$2:$C$722,0,Данные!$A$2:$A$722,"&gt;="&amp;77232544000,Данные!$A$2:$A$722,"&lt;="&amp;77232544999)</f>
        <v>0</v>
      </c>
      <c r="K155" s="62" t="n">
        <f aca="false">COUNTIFS(Данные!$B$2:$B$722,86,Данные!$C$2:$C$722,0,Данные!$A$2:$A$722,"&gt;="&amp;77232295504,Данные!$A$2:$A$722,"&lt;="&amp;77232296999)</f>
        <v>0</v>
      </c>
      <c r="L155" s="62" t="n">
        <f aca="false">COUNTIFS(Данные!$B$2:$B$722,86,Данные!$C$2:$C$722,0,Данные!$A$2:$A$722,"&gt;="&amp;77232785000,Данные!$A$2:$A$722,"&lt;="&amp;77232789999)</f>
        <v>0</v>
      </c>
      <c r="M155" s="62" t="n">
        <f aca="false">COUNTIFS(Данные!$B$2:$B$722,86,Данные!$C$2:$C$722,0,Данные!$A$2:$A$722,"&gt;="&amp;77233150000,Данные!$A$2:$A$722,"&lt;="&amp;77233155999)</f>
        <v>0</v>
      </c>
      <c r="N155" s="62" t="n">
        <f aca="false">COUNTIFS(Данные!$B$2:$B$722,86,Данные!$C$2:$C$722,0,Данные!$A$2:$A$722,"&gt;="&amp;77233235000,Данные!$A$2:$A$722,"&lt;="&amp;77233235999)</f>
        <v>0</v>
      </c>
      <c r="O155" s="62" t="n">
        <f aca="false">COUNTIFS(Данные!$B$2:$B$722,86,Данные!$C$2:$C$722,0,Данные!$A$2:$A$722,"&gt;="&amp;77233239000,Данные!$A$2:$A$722,"&lt;="&amp;77233239999)</f>
        <v>0</v>
      </c>
      <c r="P155" s="62" t="n">
        <f aca="false">COUNTIFS(Данные!$B$2:$B$722,86,Данные!$C$2:$C$722,0,Данные!$A$2:$A$722,"&gt;="&amp;77233272000,Данные!$A$2:$A$722,"&lt;="&amp;77233272999)</f>
        <v>0</v>
      </c>
      <c r="Q155" s="62" t="n">
        <f aca="false">COUNTIFS(Данные!$B$2:$B$722,86,Данные!$C$2:$C$722,0,Данные!$A$2:$A$722,"&gt;="&amp;77233291100,Данные!$A$2:$A$722,"&lt;="&amp;77233292999)</f>
        <v>0</v>
      </c>
      <c r="R155" s="62" t="n">
        <f aca="false">COUNTIFS(Данные!$B$2:$B$722,86,Данные!$C$2:$C$722,0,Данные!$A$2:$A$722,"&gt;="&amp;77233297000,Данные!$A$2:$A$722,"&lt;="&amp;77233298399)</f>
        <v>0</v>
      </c>
      <c r="S155" s="62" t="n">
        <f aca="false">COUNTIFS(Данные!$B$2:$B$722,86,Данные!$C$2:$C$722,0,Данные!$A$2:$A$722,"&gt;="&amp;77235124000,Данные!$A$2:$A$722,"&lt;="&amp;77235128499)</f>
        <v>0</v>
      </c>
      <c r="T155" s="62" t="n">
        <f aca="false">COUNTIFS(Данные!$B$2:$B$722,86,Данные!$C$2:$C$722,0,Данные!$A$2:$A$722,"&gt;="&amp;77235320000,Данные!$A$2:$A$722,"&lt;="&amp;77235320999)</f>
        <v>0</v>
      </c>
      <c r="U155" s="62" t="n">
        <f aca="false">COUNTIFS(Данные!$B$2:$B$722,86,Данные!$C$2:$C$722,0,Данные!$A$2:$A$722,"&gt;="&amp;77233620000,Данные!$A$2:$A$722,"&lt;="&amp;77233623339)</f>
        <v>0</v>
      </c>
      <c r="V155" s="62" t="n">
        <f aca="false">COUNTIFS(Данные!$B$2:$B$722,86,Данные!$C$2:$C$722,0,Данные!$A$2:$A$722,"&gt;="&amp;77233630000,Данные!$A$2:$A$722,"&lt;="&amp;77233630999)</f>
        <v>0</v>
      </c>
      <c r="W155" s="62" t="n">
        <f aca="false">COUNTIFS(Данные!$B$2:$B$722,86,Данные!$C$2:$C$722,0,Данные!$A$2:$A$722,"&gt;="&amp;77233637000,Данные!$A$2:$A$722,"&lt;="&amp;77233637599)</f>
        <v>0</v>
      </c>
      <c r="X155" s="62" t="n">
        <f aca="false">COUNTIFS(Данные!$B$2:$B$722,86,Данные!$C$2:$C$722,0,Данные!$A$2:$A$722,"&gt;="&amp;77233550000,Данные!$A$2:$A$722,"&lt;="&amp;77233550999)</f>
        <v>0</v>
      </c>
      <c r="Y155" s="62" t="n">
        <f aca="false">COUNTIFS(Данные!$B$2:$B$722,86,Данные!$C$2:$C$722,0,Данные!$A$2:$A$722,"&gt;="&amp;77233554000,Данные!$A$2:$A$722,"&lt;="&amp;77233554999)</f>
        <v>0</v>
      </c>
      <c r="Z155" s="62" t="n">
        <f aca="false">COUNTIFS(Данные!$B$2:$B$722,86,Данные!$C$2:$C$722,0,Данные!$A$2:$A$722,"&gt;="&amp;77233555000,Данные!$A$2:$A$722,"&lt;="&amp;77233556999)</f>
        <v>0</v>
      </c>
      <c r="AA155" s="62" t="n">
        <f aca="false">COUNTIFS(Данные!$B$2:$B$722,86,Данные!$C$2:$C$722,0,Данные!$A$2:$A$722,"&gt;="&amp;77233726000,Данные!$A$2:$A$722,"&lt;="&amp;77233726999)</f>
        <v>0</v>
      </c>
      <c r="AB155" s="62" t="n">
        <f aca="false">COUNTIFS(Данные!$B$2:$B$722,86,Данные!$C$2:$C$722,0,Данные!$A$2:$A$722,"&gt;="&amp;77233820000,Данные!$A$2:$A$722,"&lt;="&amp;77233820999)</f>
        <v>0</v>
      </c>
      <c r="AC155" s="62" t="n">
        <f aca="false">COUNTIFS(Данные!$B$2:$B$722,86,Данные!$C$2:$C$722,0,Данные!$A$2:$A$722,"&gt;="&amp;77233850000,Данные!$A$2:$A$722,"&lt;="&amp;77233850999)</f>
        <v>0</v>
      </c>
      <c r="AD155" s="62" t="n">
        <f aca="false">COUNTIFS(Данные!$B$2:$B$722,86,Данные!$C$2:$C$722,0,Данные!$A$2:$A$722,"&gt;="&amp;77233420000,Данные!$A$2:$A$722,"&lt;="&amp;77233420999)</f>
        <v>0</v>
      </c>
      <c r="AE155" s="62" t="n">
        <f aca="false">COUNTIFS(Данные!$B$2:$B$722,86,Данные!$C$2:$C$722,0,Данные!$A$2:$A$722,"&gt;="&amp;77234740000,Данные!$A$2:$A$722,"&lt;="&amp;77234742999)</f>
        <v>0</v>
      </c>
      <c r="AF155" s="62" t="n">
        <f aca="false">COUNTIFS(Данные!$B$2:$B$722,86,Данные!$C$2:$C$722,0,Данные!$A$2:$A$722,"&gt;="&amp;77234767000,Данные!$A$2:$A$722,"&lt;="&amp;77234767999)</f>
        <v>0</v>
      </c>
      <c r="AG155" s="62" t="n">
        <f aca="false">COUNTIFS(Данные!$B$2:$B$722,86,Данные!$C$2:$C$722,0,Данные!$A$2:$A$722,"&gt;="&amp;77234120000,Данные!$A$2:$A$722,"&lt;="&amp;77234120999)</f>
        <v>0</v>
      </c>
      <c r="AH155" s="62" t="n">
        <f aca="false">COUNTIFS(Данные!$B$2:$B$722,86,Данные!$C$2:$C$722,0,Данные!$A$2:$A$722,"&gt;="&amp;77234127000,Данные!$A$2:$A$722,"&lt;="&amp;77234127999)</f>
        <v>0</v>
      </c>
      <c r="AI155" s="62" t="n">
        <f aca="false">COUNTIFS(Данные!$B$2:$B$722,86,Данные!$C$2:$C$722,0,Данные!$A$2:$A$722,"&gt;="&amp;77234220000,Данные!$A$2:$A$722,"&lt;="&amp;77234220999)</f>
        <v>0</v>
      </c>
      <c r="AJ155" s="62" t="n">
        <f aca="false">COUNTIFS(Данные!$B$2:$B$722,86,Данные!$C$2:$C$722,0,Данные!$A$2:$A$722,"&gt;="&amp;77234250000,Данные!$A$2:$A$722,"&lt;="&amp;77234250999)</f>
        <v>0</v>
      </c>
      <c r="AK155" s="62" t="n">
        <f aca="false">COUNTIFS(Данные!$B$2:$B$722,86,Данные!$C$2:$C$722,0,Данные!$A$2:$A$722,"&gt;="&amp;77233922950,Данные!$A$2:$A$722,"&lt;="&amp;77233924999)</f>
        <v>0</v>
      </c>
      <c r="AL155" s="62" t="n">
        <f aca="false">COUNTIFS(Данные!$B$2:$B$722,86,Данные!$C$2:$C$722,0,Данные!$A$2:$A$722,"&gt;="&amp;77234320000,Данные!$A$2:$A$722,"&lt;="&amp;77234320999)</f>
        <v>0</v>
      </c>
      <c r="AM155" s="62" t="n">
        <f aca="false">COUNTIFS(Данные!$B$2:$B$722,86,Данные!$C$2:$C$722,0,Данные!$A$2:$A$722,"&gt;="&amp;77234350000,Данные!$A$2:$A$722,"&lt;="&amp;77234350999)</f>
        <v>0</v>
      </c>
      <c r="AN155" s="62" t="n">
        <f aca="false">COUNTIFS(Данные!$B$2:$B$722,86,Данные!$C$2:$C$722,0,Данные!$A$2:$A$722,"&gt;="&amp;77234020000,Данные!$A$2:$A$722,"&lt;="&amp;77234020999)</f>
        <v>0</v>
      </c>
      <c r="AO155" s="62" t="n">
        <f aca="false">COUNTIFS(Данные!$B$2:$B$722,86,Данные!$C$2:$C$722,0,Данные!$A$2:$A$722,"&gt;="&amp;77234029000,Данные!$A$2:$A$722,"&lt;="&amp;77234029999)</f>
        <v>0</v>
      </c>
      <c r="AP155" s="62" t="n">
        <f aca="false">COUNTIFS(Данные!$B$2:$B$722,86,Данные!$C$2:$C$722,0,Данные!$A$2:$A$722,"&gt;="&amp;77234050000,Данные!$A$2:$A$722,"&lt;="&amp;77234050999)</f>
        <v>0</v>
      </c>
      <c r="AQ155" s="62" t="n">
        <f aca="false">COUNTIFS(Данные!$B$2:$B$722,86,Данные!$C$2:$C$722,0,Данные!$A$2:$A$722,"&gt;="&amp;77234427000,Данные!$A$2:$A$722,"&lt;="&amp;77234428999)</f>
        <v>0</v>
      </c>
      <c r="AR155" s="62" t="n">
        <f aca="false">COUNTIFS(Данные!$B$2:$B$722,86,Данные!$C$2:$C$722,0,Данные!$A$2:$A$722,"&gt;="&amp;77234450000,Данные!$A$2:$A$722,"&lt;="&amp;77234450999)</f>
        <v>0</v>
      </c>
      <c r="AS155" s="62" t="n">
        <f aca="false">COUNTIFS(Данные!$B$2:$B$722,86,Данные!$C$2:$C$722,0,Данные!$A$2:$A$722,"&gt;="&amp;77234620000,Данные!$A$2:$A$722,"&lt;="&amp;77234620999)</f>
        <v>0</v>
      </c>
      <c r="AT155" s="62" t="n">
        <f aca="false">COUNTIFS(Данные!$B$2:$B$722,86,Данные!$C$2:$C$722,0,Данные!$A$2:$A$722,"&gt;="&amp;77234650000,Данные!$A$2:$A$722,"&lt;="&amp;77234650999)</f>
        <v>0</v>
      </c>
      <c r="AU155" s="62" t="n">
        <f aca="false">COUNTIFS(Данные!$B$2:$B$722,86,Данные!$C$2:$C$722,0,Данные!$A$2:$A$722,"&gt;="&amp;77234820000,Данные!$A$2:$A$722,"&lt;="&amp;77234820999)</f>
        <v>0</v>
      </c>
      <c r="AV155" s="62" t="n">
        <f aca="false">COUNTIFS(Данные!$B$2:$B$722,86,Данные!$C$2:$C$722,0,Данные!$A$2:$A$722,"&gt;="&amp;77234850000,Данные!$A$2:$A$722,"&lt;="&amp;77234850999)</f>
        <v>0</v>
      </c>
      <c r="AW155" s="62" t="n">
        <f aca="false">COUNTIFS(Данные!$B$2:$B$722,86,Данные!$C$2:$C$722,0,Данные!$A$2:$A$722,"&gt;="&amp;77233327000,Данные!$A$2:$A$722,"&lt;="&amp;77233327999)</f>
        <v>0</v>
      </c>
      <c r="AX155" s="62" t="n">
        <f aca="false">COUNTIFS(Данные!$B$2:$B$722,86,Данные!$C$2:$C$722,0,Данные!$A$2:$A$722,"&gt;="&amp;77233350000,Данные!$A$2:$A$722,"&lt;="&amp;77233350599)</f>
        <v>0</v>
      </c>
      <c r="AY155" s="62" t="n">
        <f aca="false">COUNTIFS(Данные!$B$2:$B$722,86,Данные!$C$2:$C$722,0,Данные!$A$2:$A$722,"&gt;="&amp;77233351000,Данные!$A$2:$A$722,"&lt;="&amp;77233351999)</f>
        <v>0</v>
      </c>
      <c r="AZ155" s="62" t="n">
        <f aca="false">COUNTIFS(Данные!$B$2:$B$722,86,Данные!$C$2:$C$722,0,Данные!$A$2:$A$722,"&gt;="&amp;7722440000,Данные!$A$2:$A$722,"&lt;="&amp;7722440999)</f>
        <v>0</v>
      </c>
      <c r="BA155" s="63" t="n">
        <f aca="false">COUNTIFS(Данные!$B$2:$B$722,86,Данные!$C$2:$C$722,0,Данные!$A$2:$A$722,"&gt;="&amp;7722442000,Данные!$A$2:$A$722,"&lt;="&amp;7722445659)</f>
        <v>0</v>
      </c>
      <c r="BB155" s="63" t="n">
        <f aca="false">COUNTIFS(Данные!$B$2:$B$722,86,Данные!$C$2:$C$722,0,Данные!$A$2:$A$722,"&gt;="&amp;7722450000,Данные!$A$2:$A$722,"&lt;="&amp;7722450199)</f>
        <v>0</v>
      </c>
      <c r="BC155" s="63" t="n">
        <f aca="false">COUNTIFS(Данные!$B$2:$B$722,86,Данные!$C$2:$C$722,0,Данные!$A$2:$A$722,"&gt;="&amp;7722451000,Данные!$A$2:$A$722,"&lt;="&amp;7722451374)</f>
        <v>0</v>
      </c>
      <c r="BD155" s="63" t="n">
        <f aca="false">COUNTIFS(Данные!$B$2:$B$722,86,Данные!$C$2:$C$722,0,Данные!$A$2:$A$722,"&gt;="&amp;7722452000,Данные!$A$2:$A$722,"&lt;="&amp;7722452299)</f>
        <v>0</v>
      </c>
      <c r="BE155" s="63" t="n">
        <f aca="false">COUNTIFS(Данные!$B$2:$B$722,86,Данные!$C$2:$C$722,0,Данные!$A$2:$A$722,"&gt;="&amp;7722453000,Данные!$A$2:$A$722,"&lt;="&amp;7722453816)</f>
        <v>0</v>
      </c>
      <c r="BF155" s="63" t="n">
        <f aca="false">COUNTIFS(Данные!$B$2:$B$722,86,Данные!$C$2:$C$722,0,Данные!$A$2:$A$722,"&gt;="&amp;7722454000,Данные!$A$2:$A$722,"&lt;="&amp;7722454099)</f>
        <v>0</v>
      </c>
      <c r="BG155" s="63" t="n">
        <f aca="false">COUNTIFS(Данные!$B$2:$B$722,86,Данные!$C$2:$C$722,0,Данные!$A$2:$A$722,"&gt;="&amp;7722458000,Данные!$A$2:$A$722,"&lt;="&amp;7722458999)</f>
        <v>0</v>
      </c>
      <c r="BH155" s="63" t="n">
        <f aca="false">COUNTIFS(Данные!$B$2:$B$722,86,Данные!$C$2:$C$722,0,Данные!$A$2:$A$722,"&gt;="&amp;7722630000,Данные!$A$2:$A$722,"&lt;="&amp;7722638549)</f>
        <v>0</v>
      </c>
      <c r="BI155" s="63" t="n">
        <f aca="false">COUNTIFS(Данные!$B$2:$B$722,86,Данные!$C$2:$C$722,0,Данные!$A$2:$A$722,"&gt;="&amp;7722639400,Данные!$A$2:$A$722,"&lt;="&amp;7722639899)</f>
        <v>0</v>
      </c>
      <c r="BJ155" s="63" t="n">
        <f aca="false">COUNTIFS(Данные!$B$2:$B$722,86,Данные!$C$2:$C$722,0,Данные!$A$2:$A$722,"&gt;="&amp;7725750000,Данные!$A$2:$A$722,"&lt;="&amp;7725750399)</f>
        <v>0</v>
      </c>
      <c r="BK155" s="63" t="n">
        <f aca="false">COUNTIFS(Данные!$B$2:$B$722,86,Данные!$C$2:$C$722,0,Данные!$A$2:$A$722,"&gt;="&amp;7723620000,Данные!$A$2:$A$722,"&lt;="&amp;7723621299)</f>
        <v>0</v>
      </c>
      <c r="BL155" s="63" t="n">
        <f aca="false">COUNTIFS(Данные!$B$2:$B$722,86,Данные!$C$2:$C$722,0,Данные!$A$2:$A$722,"&gt;="&amp;7723621600,Данные!$A$2:$A$722,"&lt;="&amp;7723623399)</f>
        <v>0</v>
      </c>
      <c r="BM155" s="63" t="n">
        <f aca="false">COUNTIFS(Данные!$B$2:$B$722,86,Данные!$C$2:$C$722,0,Данные!$A$2:$A$722,"&gt;="&amp;7725127000,Данные!$A$2:$A$722,"&lt;="&amp;7725127999)</f>
        <v>0</v>
      </c>
      <c r="BN155" s="63" t="n">
        <f aca="false">COUNTIFS(Данные!$B$2:$B$722,86,Данные!$C$2:$C$722,0,Данные!$A$2:$A$722,"&gt;="&amp;7723772000,Данные!$A$2:$A$722,"&lt;="&amp;7723724999)</f>
        <v>0</v>
      </c>
      <c r="BO155" s="62" t="n">
        <f aca="false">COUNTIFS(Данные!$B$2:$B$722,86,Данные!$C$2:$C$722,0,Данные!$A$2:$A$722,"&gt;="&amp;7723765000,Данные!$A$2:$A$722,"&lt;="&amp;7723765499)</f>
        <v>0</v>
      </c>
      <c r="BP155" s="63" t="n">
        <f aca="false">COUNTIFS(Данные!$B$2:$B$722,86,Данные!$C$2:$C$722,0,Данные!$A$2:$A$722,"&gt;="&amp;7723948000,Данные!$A$2:$A$722,"&lt;="&amp;7723948999)</f>
        <v>0</v>
      </c>
      <c r="BQ155" s="63" t="n">
        <f aca="false">COUNTIFS(Данные!$B$2:$B$722,86,Данные!$C$2:$C$722,0,Данные!$A$2:$A$722,"&gt;="&amp;7723950000,Данные!$A$2:$A$722,"&lt;="&amp;7723951099)</f>
        <v>0</v>
      </c>
      <c r="BR155" s="63" t="n">
        <f aca="false">COUNTIFS(Данные!$B$2:$B$722,86,Данные!$C$2:$C$722,0,Данные!$A$2:$A$722,"&gt;="&amp;7723020000,Данные!$A$2:$A$722,"&lt;="&amp;7723020999)</f>
        <v>0</v>
      </c>
      <c r="BS155" s="63" t="n">
        <f aca="false">COUNTIFS(Данные!$B$2:$B$722,86,Данные!$C$2:$C$722,0,Данные!$A$2:$A$722,"&gt;="&amp;7723029000,Данные!$A$2:$A$722,"&lt;="&amp;7723029999)</f>
        <v>0</v>
      </c>
      <c r="BT155" s="63" t="n">
        <f aca="false">COUNTIFS(Данные!$B$2:$B$722,86,Данные!$C$2:$C$722,0,Данные!$A$2:$A$722,"&gt;="&amp;7723055000,Данные!$A$2:$A$722,"&lt;="&amp;7723056549)</f>
        <v>0</v>
      </c>
      <c r="BU155" s="62" t="n">
        <f aca="false">COUNTIFS(Данные!$B$2:$B$722,86,Данные!$C$2:$C$722,0,Данные!$A$2:$A$722,"&gt;="&amp;7725250000,Данные!$A$2:$A$722,"&lt;="&amp;7725250499)</f>
        <v>0</v>
      </c>
      <c r="BV155" s="63" t="n">
        <f aca="false">COUNTIFS(Данные!$B$2:$B$722,86,Данные!$C$2:$C$722,0,Данные!$A$2:$A$722,"&gt;="&amp;7183841400,Данные!$A$2:$A$722,"&lt;="&amp;7183841499)</f>
        <v>0</v>
      </c>
      <c r="BW155" s="40" t="n">
        <v>300</v>
      </c>
      <c r="BX155" s="64" t="n">
        <f aca="false">F155-BW155</f>
        <v>-300</v>
      </c>
    </row>
    <row r="156" s="15" customFormat="true" ht="12" hidden="false" customHeight="true" outlineLevel="0" collapsed="false">
      <c r="A156" s="38"/>
      <c r="B156" s="39"/>
      <c r="C156" s="41" t="n">
        <v>1</v>
      </c>
      <c r="D156" s="41" t="n">
        <v>861</v>
      </c>
      <c r="E156" s="42"/>
      <c r="F156" s="62" t="n">
        <f aca="false">COUNTIFS(Данные!$B$2:$B$722,86,Данные!$C$2:$C$722,1)</f>
        <v>0</v>
      </c>
      <c r="G156" s="62" t="n">
        <f aca="false">COUNTIFS(Данные!$B$2:$B$722,86,Данные!$C$2:$C$722,1,Данные!$A$2:$A$722,"&gt;="&amp;77232210840,Данные!$A$2:$A$722,"&lt;="&amp;77232216999)</f>
        <v>0</v>
      </c>
      <c r="H156" s="62" t="n">
        <f aca="false">COUNTIFS(Данные!$B$2:$B$722,86,Данные!$C$2:$C$722,1,Данные!$A$2:$A$722,"&gt;="&amp;77232510512,Данные!$A$2:$A$722,"&lt;="&amp;77232519487)</f>
        <v>0</v>
      </c>
      <c r="I156" s="62" t="n">
        <f aca="false">COUNTIFS(Данные!$B$2:$B$722,86,Данные!$C$2:$C$722,1,Данные!$A$2:$A$722,"&gt;="&amp;77232524160,Данные!$A$2:$A$722,"&lt;="&amp;77232529999)</f>
        <v>0</v>
      </c>
      <c r="J156" s="62" t="n">
        <f aca="false">COUNTIFS(Данные!$B$2:$B$722,86,Данные!$C$2:$C$722,1,Данные!$A$2:$A$722,"&gt;="&amp;77232544000,Данные!$A$2:$A$722,"&lt;="&amp;77232544999)</f>
        <v>0</v>
      </c>
      <c r="K156" s="62" t="n">
        <f aca="false">COUNTIFS(Данные!$B$2:$B$722,86,Данные!$C$2:$C$722,1,Данные!$A$2:$A$722,"&gt;="&amp;77232295504,Данные!$A$2:$A$722,"&lt;="&amp;77232296999)</f>
        <v>0</v>
      </c>
      <c r="L156" s="62" t="n">
        <f aca="false">COUNTIFS(Данные!$B$2:$B$722,86,Данные!$C$2:$C$722,1,Данные!$A$2:$A$722,"&gt;="&amp;77232785000,Данные!$A$2:$A$722,"&lt;="&amp;77232789999)</f>
        <v>0</v>
      </c>
      <c r="M156" s="62" t="n">
        <f aca="false">COUNTIFS(Данные!$B$2:$B$722,86,Данные!$C$2:$C$722,1,Данные!$A$2:$A$722,"&gt;="&amp;77233150000,Данные!$A$2:$A$722,"&lt;="&amp;77233155999)</f>
        <v>0</v>
      </c>
      <c r="N156" s="62" t="n">
        <f aca="false">COUNTIFS(Данные!$B$2:$B$722,86,Данные!$C$2:$C$722,1,Данные!$A$2:$A$722,"&gt;="&amp;77233235000,Данные!$A$2:$A$722,"&lt;="&amp;77233235999)</f>
        <v>0</v>
      </c>
      <c r="O156" s="62" t="n">
        <f aca="false">COUNTIFS(Данные!$B$2:$B$722,86,Данные!$C$2:$C$722,1,Данные!$A$2:$A$722,"&gt;="&amp;77233239000,Данные!$A$2:$A$722,"&lt;="&amp;77233239999)</f>
        <v>0</v>
      </c>
      <c r="P156" s="62" t="n">
        <f aca="false">COUNTIFS(Данные!$B$2:$B$722,86,Данные!$C$2:$C$722,1,Данные!$A$2:$A$722,"&gt;="&amp;77233272000,Данные!$A$2:$A$722,"&lt;="&amp;77233272999)</f>
        <v>0</v>
      </c>
      <c r="Q156" s="62" t="n">
        <f aca="false">COUNTIFS(Данные!$B$2:$B$722,86,Данные!$C$2:$C$722,1,Данные!$A$2:$A$722,"&gt;="&amp;77233291100,Данные!$A$2:$A$722,"&lt;="&amp;77233292999)</f>
        <v>0</v>
      </c>
      <c r="R156" s="62" t="n">
        <f aca="false">COUNTIFS(Данные!$B$2:$B$722,86,Данные!$C$2:$C$722,1,Данные!$A$2:$A$722,"&gt;="&amp;77233297000,Данные!$A$2:$A$722,"&lt;="&amp;77233298399)</f>
        <v>0</v>
      </c>
      <c r="S156" s="62" t="n">
        <f aca="false">COUNTIFS(Данные!$B$2:$B$722,86,Данные!$C$2:$C$722,1,Данные!$A$2:$A$722,"&gt;="&amp;77235124000,Данные!$A$2:$A$722,"&lt;="&amp;77235128499)</f>
        <v>0</v>
      </c>
      <c r="T156" s="62" t="n">
        <f aca="false">COUNTIFS(Данные!$B$2:$B$722,86,Данные!$C$2:$C$722,1,Данные!$A$2:$A$722,"&gt;="&amp;77235320000,Данные!$A$2:$A$722,"&lt;="&amp;77235320999)</f>
        <v>0</v>
      </c>
      <c r="U156" s="62" t="n">
        <f aca="false">COUNTIFS(Данные!$B$2:$B$722,86,Данные!$C$2:$C$722,1,Данные!$A$2:$A$722,"&gt;="&amp;77233620000,Данные!$A$2:$A$722,"&lt;="&amp;77233623339)</f>
        <v>0</v>
      </c>
      <c r="V156" s="62" t="n">
        <f aca="false">COUNTIFS(Данные!$B$2:$B$722,86,Данные!$C$2:$C$722,1,Данные!$A$2:$A$722,"&gt;="&amp;77233630000,Данные!$A$2:$A$722,"&lt;="&amp;77233630999)</f>
        <v>0</v>
      </c>
      <c r="W156" s="62" t="n">
        <f aca="false">COUNTIFS(Данные!$B$2:$B$722,86,Данные!$C$2:$C$722,1,Данные!$A$2:$A$722,"&gt;="&amp;77233637000,Данные!$A$2:$A$722,"&lt;="&amp;77233637599)</f>
        <v>0</v>
      </c>
      <c r="X156" s="62" t="n">
        <f aca="false">COUNTIFS(Данные!$B$2:$B$722,86,Данные!$C$2:$C$722,1,Данные!$A$2:$A$722,"&gt;="&amp;77233550000,Данные!$A$2:$A$722,"&lt;="&amp;77233550999)</f>
        <v>0</v>
      </c>
      <c r="Y156" s="62" t="n">
        <f aca="false">COUNTIFS(Данные!$B$2:$B$722,86,Данные!$C$2:$C$722,1,Данные!$A$2:$A$722,"&gt;="&amp;77233554000,Данные!$A$2:$A$722,"&lt;="&amp;77233554999)</f>
        <v>0</v>
      </c>
      <c r="Z156" s="62" t="n">
        <f aca="false">COUNTIFS(Данные!$B$2:$B$722,86,Данные!$C$2:$C$722,1,Данные!$A$2:$A$722,"&gt;="&amp;77233555000,Данные!$A$2:$A$722,"&lt;="&amp;77233556999)</f>
        <v>0</v>
      </c>
      <c r="AA156" s="62" t="n">
        <f aca="false">COUNTIFS(Данные!$B$2:$B$722,86,Данные!$C$2:$C$722,1,Данные!$A$2:$A$722,"&gt;="&amp;77233726000,Данные!$A$2:$A$722,"&lt;="&amp;77233726999)</f>
        <v>0</v>
      </c>
      <c r="AB156" s="62" t="n">
        <f aca="false">COUNTIFS(Данные!$B$2:$B$722,86,Данные!$C$2:$C$722,1,Данные!$A$2:$A$722,"&gt;="&amp;77233820000,Данные!$A$2:$A$722,"&lt;="&amp;77233820999)</f>
        <v>0</v>
      </c>
      <c r="AC156" s="62" t="n">
        <f aca="false">COUNTIFS(Данные!$B$2:$B$722,86,Данные!$C$2:$C$722,1,Данные!$A$2:$A$722,"&gt;="&amp;77233850000,Данные!$A$2:$A$722,"&lt;="&amp;77233850999)</f>
        <v>0</v>
      </c>
      <c r="AD156" s="62" t="n">
        <f aca="false">COUNTIFS(Данные!$B$2:$B$722,86,Данные!$C$2:$C$722,1,Данные!$A$2:$A$722,"&gt;="&amp;77233420000,Данные!$A$2:$A$722,"&lt;="&amp;77233420999)</f>
        <v>0</v>
      </c>
      <c r="AE156" s="62" t="n">
        <f aca="false">COUNTIFS(Данные!$B$2:$B$722,86,Данные!$C$2:$C$722,1,Данные!$A$2:$A$722,"&gt;="&amp;77234740000,Данные!$A$2:$A$722,"&lt;="&amp;77234742999)</f>
        <v>0</v>
      </c>
      <c r="AF156" s="62" t="n">
        <f aca="false">COUNTIFS(Данные!$B$2:$B$722,86,Данные!$C$2:$C$722,1,Данные!$A$2:$A$722,"&gt;="&amp;77234767000,Данные!$A$2:$A$722,"&lt;="&amp;77234767999)</f>
        <v>0</v>
      </c>
      <c r="AG156" s="62" t="n">
        <f aca="false">COUNTIFS(Данные!$B$2:$B$722,86,Данные!$C$2:$C$722,1,Данные!$A$2:$A$722,"&gt;="&amp;77234120000,Данные!$A$2:$A$722,"&lt;="&amp;77234120999)</f>
        <v>0</v>
      </c>
      <c r="AH156" s="62" t="n">
        <f aca="false">COUNTIFS(Данные!$B$2:$B$722,86,Данные!$C$2:$C$722,1,Данные!$A$2:$A$722,"&gt;="&amp;77234127000,Данные!$A$2:$A$722,"&lt;="&amp;77234127999)</f>
        <v>0</v>
      </c>
      <c r="AI156" s="62" t="n">
        <f aca="false">COUNTIFS(Данные!$B$2:$B$722,86,Данные!$C$2:$C$722,1,Данные!$A$2:$A$722,"&gt;="&amp;77234220000,Данные!$A$2:$A$722,"&lt;="&amp;77234220999)</f>
        <v>0</v>
      </c>
      <c r="AJ156" s="62" t="n">
        <f aca="false">COUNTIFS(Данные!$B$2:$B$722,86,Данные!$C$2:$C$722,1,Данные!$A$2:$A$722,"&gt;="&amp;77234250000,Данные!$A$2:$A$722,"&lt;="&amp;77234250999)</f>
        <v>0</v>
      </c>
      <c r="AK156" s="62" t="n">
        <f aca="false">COUNTIFS(Данные!$B$2:$B$722,86,Данные!$C$2:$C$722,1,Данные!$A$2:$A$722,"&gt;="&amp;77233922950,Данные!$A$2:$A$722,"&lt;="&amp;77233924999)</f>
        <v>0</v>
      </c>
      <c r="AL156" s="62" t="n">
        <f aca="false">COUNTIFS(Данные!$B$2:$B$722,86,Данные!$C$2:$C$722,1,Данные!$A$2:$A$722,"&gt;="&amp;77234320000,Данные!$A$2:$A$722,"&lt;="&amp;77234320999)</f>
        <v>0</v>
      </c>
      <c r="AM156" s="62" t="n">
        <f aca="false">COUNTIFS(Данные!$B$2:$B$722,86,Данные!$C$2:$C$722,1,Данные!$A$2:$A$722,"&gt;="&amp;77234350000,Данные!$A$2:$A$722,"&lt;="&amp;77234350999)</f>
        <v>0</v>
      </c>
      <c r="AN156" s="62" t="n">
        <f aca="false">COUNTIFS(Данные!$B$2:$B$722,86,Данные!$C$2:$C$722,1,Данные!$A$2:$A$722,"&gt;="&amp;77234020000,Данные!$A$2:$A$722,"&lt;="&amp;77234020999)</f>
        <v>0</v>
      </c>
      <c r="AO156" s="62" t="n">
        <f aca="false">COUNTIFS(Данные!$B$2:$B$722,86,Данные!$C$2:$C$722,1,Данные!$A$2:$A$722,"&gt;="&amp;77234029000,Данные!$A$2:$A$722,"&lt;="&amp;77234029999)</f>
        <v>0</v>
      </c>
      <c r="AP156" s="62" t="n">
        <f aca="false">COUNTIFS(Данные!$B$2:$B$722,86,Данные!$C$2:$C$722,1,Данные!$A$2:$A$722,"&gt;="&amp;77234050000,Данные!$A$2:$A$722,"&lt;="&amp;77234050999)</f>
        <v>0</v>
      </c>
      <c r="AQ156" s="62" t="n">
        <f aca="false">COUNTIFS(Данные!$B$2:$B$722,86,Данные!$C$2:$C$722,1,Данные!$A$2:$A$722,"&gt;="&amp;77234427000,Данные!$A$2:$A$722,"&lt;="&amp;77234428999)</f>
        <v>0</v>
      </c>
      <c r="AR156" s="62" t="n">
        <f aca="false">COUNTIFS(Данные!$B$2:$B$722,86,Данные!$C$2:$C$722,1,Данные!$A$2:$A$722,"&gt;="&amp;77234450000,Данные!$A$2:$A$722,"&lt;="&amp;77234450999)</f>
        <v>0</v>
      </c>
      <c r="AS156" s="62" t="n">
        <f aca="false">COUNTIFS(Данные!$B$2:$B$722,86,Данные!$C$2:$C$722,1,Данные!$A$2:$A$722,"&gt;="&amp;77234620000,Данные!$A$2:$A$722,"&lt;="&amp;77234620999)</f>
        <v>0</v>
      </c>
      <c r="AT156" s="62" t="n">
        <f aca="false">COUNTIFS(Данные!$B$2:$B$722,86,Данные!$C$2:$C$722,1,Данные!$A$2:$A$722,"&gt;="&amp;77234650000,Данные!$A$2:$A$722,"&lt;="&amp;77234650999)</f>
        <v>0</v>
      </c>
      <c r="AU156" s="62" t="n">
        <f aca="false">COUNTIFS(Данные!$B$2:$B$722,86,Данные!$C$2:$C$722,1,Данные!$A$2:$A$722,"&gt;="&amp;77234820000,Данные!$A$2:$A$722,"&lt;="&amp;77234820999)</f>
        <v>0</v>
      </c>
      <c r="AV156" s="62" t="n">
        <f aca="false">COUNTIFS(Данные!$B$2:$B$722,86,Данные!$C$2:$C$722,1,Данные!$A$2:$A$722,"&gt;="&amp;77234850000,Данные!$A$2:$A$722,"&lt;="&amp;77234850999)</f>
        <v>0</v>
      </c>
      <c r="AW156" s="62" t="n">
        <f aca="false">COUNTIFS(Данные!$B$2:$B$722,86,Данные!$C$2:$C$722,1,Данные!$A$2:$A$722,"&gt;="&amp;77233327000,Данные!$A$2:$A$722,"&lt;="&amp;77233327999)</f>
        <v>0</v>
      </c>
      <c r="AX156" s="62" t="n">
        <f aca="false">COUNTIFS(Данные!$B$2:$B$722,86,Данные!$C$2:$C$722,1,Данные!$A$2:$A$722,"&gt;="&amp;77233350000,Данные!$A$2:$A$722,"&lt;="&amp;77233350599)</f>
        <v>0</v>
      </c>
      <c r="AY156" s="62" t="n">
        <f aca="false">COUNTIFS(Данные!$B$2:$B$722,86,Данные!$C$2:$C$722,1,Данные!$A$2:$A$722,"&gt;="&amp;77233351000,Данные!$A$2:$A$722,"&lt;="&amp;77233351999)</f>
        <v>0</v>
      </c>
      <c r="AZ156" s="63" t="n">
        <f aca="false">COUNTIFS(Данные!$B$2:$B$722,86,Данные!$C$2:$C$722,1,Данные!$A$2:$A$722,"&gt;="&amp;7722440000,Данные!$A$2:$A$722,"&lt;="&amp;7722440999)</f>
        <v>0</v>
      </c>
      <c r="BA156" s="63" t="n">
        <f aca="false">COUNTIFS(Данные!$B$2:$B$722,86,Данные!$C$2:$C$722,1,Данные!$A$2:$A$722,"&gt;="&amp;7722442000,Данные!$A$2:$A$722,"&lt;="&amp;7722445659)</f>
        <v>0</v>
      </c>
      <c r="BB156" s="63" t="n">
        <f aca="false">COUNTIFS(Данные!$B$2:$B$722,86,Данные!$C$2:$C$722,1,Данные!$A$2:$A$722,"&gt;="&amp;7722450000,Данные!$A$2:$A$722,"&lt;="&amp;7722450199)</f>
        <v>0</v>
      </c>
      <c r="BC156" s="63" t="n">
        <f aca="false">COUNTIFS(Данные!$B$2:$B$722,86,Данные!$C$2:$C$722,1,Данные!$A$2:$A$722,"&gt;="&amp;7722451000,Данные!$A$2:$A$722,"&lt;="&amp;7722451374)</f>
        <v>0</v>
      </c>
      <c r="BD156" s="63" t="n">
        <f aca="false">COUNTIFS(Данные!$B$2:$B$722,86,Данные!$C$2:$C$722,1,Данные!$A$2:$A$722,"&gt;="&amp;7722452000,Данные!$A$2:$A$722,"&lt;="&amp;7722452299)</f>
        <v>0</v>
      </c>
      <c r="BE156" s="63" t="n">
        <f aca="false">COUNTIFS(Данные!$B$2:$B$722,86,Данные!$C$2:$C$722,1,Данные!$A$2:$A$722,"&gt;="&amp;7722453000,Данные!$A$2:$A$722,"&lt;="&amp;7722453816)</f>
        <v>0</v>
      </c>
      <c r="BF156" s="63" t="n">
        <f aca="false">COUNTIFS(Данные!$B$2:$B$722,86,Данные!$C$2:$C$722,1,Данные!$A$2:$A$722,"&gt;="&amp;7722454000,Данные!$A$2:$A$722,"&lt;="&amp;7722454099)</f>
        <v>0</v>
      </c>
      <c r="BG156" s="63" t="n">
        <f aca="false">COUNTIFS(Данные!$B$2:$B$722,86,Данные!$C$2:$C$722,1,Данные!$A$2:$A$722,"&gt;="&amp;7722458000,Данные!$A$2:$A$722,"&lt;="&amp;7722458999)</f>
        <v>0</v>
      </c>
      <c r="BH156" s="63" t="n">
        <f aca="false">COUNTIFS(Данные!$B$2:$B$722,86,Данные!$C$2:$C$722,1,Данные!$A$2:$A$722,"&gt;="&amp;7722630000,Данные!$A$2:$A$722,"&lt;="&amp;7722638549)</f>
        <v>0</v>
      </c>
      <c r="BI156" s="63" t="n">
        <f aca="false">COUNTIFS(Данные!$B$2:$B$722,86,Данные!$C$2:$C$722,1,Данные!$A$2:$A$722,"&gt;="&amp;7722639400,Данные!$A$2:$A$722,"&lt;="&amp;7722639899)</f>
        <v>0</v>
      </c>
      <c r="BJ156" s="63" t="n">
        <f aca="false">COUNTIFS(Данные!$B$2:$B$722,86,Данные!$C$2:$C$722,1,Данные!$A$2:$A$722,"&gt;="&amp;7725750000,Данные!$A$2:$A$722,"&lt;="&amp;7725750399)</f>
        <v>0</v>
      </c>
      <c r="BK156" s="63" t="n">
        <f aca="false">COUNTIFS(Данные!$B$2:$B$722,86,Данные!$C$2:$C$722,1,Данные!$A$2:$A$722,"&gt;="&amp;7723620000,Данные!$A$2:$A$722,"&lt;="&amp;7723621299)</f>
        <v>0</v>
      </c>
      <c r="BL156" s="63" t="n">
        <f aca="false">COUNTIFS(Данные!$B$2:$B$722,86,Данные!$C$2:$C$722,1,Данные!$A$2:$A$722,"&gt;="&amp;7723621600,Данные!$A$2:$A$722,"&lt;="&amp;7723623399)</f>
        <v>0</v>
      </c>
      <c r="BM156" s="63" t="n">
        <f aca="false">COUNTIFS(Данные!$B$2:$B$722,86,Данные!$C$2:$C$722,1,Данные!$A$2:$A$722,"&gt;="&amp;7725127000,Данные!$A$2:$A$722,"&lt;="&amp;7725127999)</f>
        <v>0</v>
      </c>
      <c r="BN156" s="63" t="n">
        <f aca="false">COUNTIFS(Данные!$B$2:$B$722,86,Данные!$C$2:$C$722,1,Данные!$A$2:$A$722,"&gt;="&amp;7723772000,Данные!$A$2:$A$722,"&lt;="&amp;7723724999)</f>
        <v>0</v>
      </c>
      <c r="BO156" s="62" t="n">
        <f aca="false">COUNTIFS(Данные!$B$2:$B$722,86,Данные!$C$2:$C$722,1,Данные!$A$2:$A$722,"&gt;="&amp;7723765000,Данные!$A$2:$A$722,"&lt;="&amp;7723765499)</f>
        <v>0</v>
      </c>
      <c r="BP156" s="63" t="n">
        <f aca="false">COUNTIFS(Данные!$B$2:$B$722,86,Данные!$C$2:$C$722,1,Данные!$A$2:$A$722,"&gt;="&amp;7723948000,Данные!$A$2:$A$722,"&lt;="&amp;7723948999)</f>
        <v>0</v>
      </c>
      <c r="BQ156" s="63" t="n">
        <f aca="false">COUNTIFS(Данные!$B$2:$B$722,86,Данные!$C$2:$C$722,1,Данные!$A$2:$A$722,"&gt;="&amp;7723950000,Данные!$A$2:$A$722,"&lt;="&amp;7723951099)</f>
        <v>0</v>
      </c>
      <c r="BR156" s="63" t="n">
        <f aca="false">COUNTIFS(Данные!$B$2:$B$722,86,Данные!$C$2:$C$722,1,Данные!$A$2:$A$722,"&gt;="&amp;7723020000,Данные!$A$2:$A$722,"&lt;="&amp;7723020999)</f>
        <v>0</v>
      </c>
      <c r="BS156" s="63" t="n">
        <f aca="false">COUNTIFS(Данные!$B$2:$B$722,86,Данные!$C$2:$C$722,1,Данные!$A$2:$A$722,"&gt;="&amp;7723029000,Данные!$A$2:$A$722,"&lt;="&amp;7723029999)</f>
        <v>0</v>
      </c>
      <c r="BT156" s="63" t="n">
        <f aca="false">COUNTIFS(Данные!$B$2:$B$722,86,Данные!$C$2:$C$722,1,Данные!$A$2:$A$722,"&gt;="&amp;7723055000,Данные!$A$2:$A$722,"&lt;="&amp;7723056549)</f>
        <v>0</v>
      </c>
      <c r="BU156" s="62" t="n">
        <f aca="false">COUNTIFS(Данные!$B$2:$B$722,86,Данные!$C$2:$C$722,1,Данные!$A$2:$A$722,"&gt;="&amp;7725250000,Данные!$A$2:$A$722,"&lt;="&amp;7725250499)</f>
        <v>0</v>
      </c>
      <c r="BV156" s="63" t="n">
        <f aca="false">COUNTIFS(Данные!$B$2:$B$722,86,Данные!$C$2:$C$722,1,Данные!$A$2:$A$722,"&gt;="&amp;7183841400,Данные!$A$2:$A$722,"&lt;="&amp;7183841499)</f>
        <v>0</v>
      </c>
      <c r="BW156" s="40" t="n">
        <v>300</v>
      </c>
      <c r="BX156" s="64" t="n">
        <f aca="false">F156-BW156</f>
        <v>-300</v>
      </c>
    </row>
    <row r="157" s="15" customFormat="true" ht="12" hidden="false" customHeight="true" outlineLevel="0" collapsed="false">
      <c r="A157" s="38"/>
      <c r="B157" s="39"/>
      <c r="C157" s="41" t="n">
        <v>2</v>
      </c>
      <c r="D157" s="41" t="n">
        <v>862</v>
      </c>
      <c r="E157" s="42"/>
      <c r="F157" s="62" t="n">
        <f aca="false">COUNTIFS(Данные!$B$2:$B$722,86,Данные!$C$2:$C$722,2)</f>
        <v>0</v>
      </c>
      <c r="G157" s="62" t="n">
        <f aca="false">COUNTIFS(Данные!$B$2:$B$722,86,Данные!$C$2:$C$722,2,Данные!$A$2:$A$722,"&gt;="&amp;77232210840,Данные!$A$2:$A$722,"&lt;="&amp;77232216999)</f>
        <v>0</v>
      </c>
      <c r="H157" s="62" t="n">
        <f aca="false">COUNTIFS(Данные!$B$2:$B$722,86,Данные!$C$2:$C$722,2,Данные!$A$2:$A$722,"&gt;="&amp;77232510512,Данные!$A$2:$A$722,"&lt;="&amp;77232519487)</f>
        <v>0</v>
      </c>
      <c r="I157" s="62" t="n">
        <f aca="false">COUNTIFS(Данные!$B$2:$B$722,86,Данные!$C$2:$C$722,2,Данные!$A$2:$A$722,"&gt;="&amp;77232524160,Данные!$A$2:$A$722,"&lt;="&amp;77232529999)</f>
        <v>0</v>
      </c>
      <c r="J157" s="62" t="n">
        <f aca="false">COUNTIFS(Данные!$B$2:$B$722,86,Данные!$C$2:$C$722,2,Данные!$A$2:$A$722,"&gt;="&amp;77232544000,Данные!$A$2:$A$722,"&lt;="&amp;77232544999)</f>
        <v>0</v>
      </c>
      <c r="K157" s="62" t="n">
        <f aca="false">COUNTIFS(Данные!$B$2:$B$722,86,Данные!$C$2:$C$722,2,Данные!$A$2:$A$722,"&gt;="&amp;77232295504,Данные!$A$2:$A$722,"&lt;="&amp;77232296999)</f>
        <v>0</v>
      </c>
      <c r="L157" s="62" t="n">
        <f aca="false">COUNTIFS(Данные!$B$2:$B$722,86,Данные!$C$2:$C$722,2,Данные!$A$2:$A$722,"&gt;="&amp;77232785000,Данные!$A$2:$A$722,"&lt;="&amp;77232789999)</f>
        <v>0</v>
      </c>
      <c r="M157" s="62" t="n">
        <f aca="false">COUNTIFS(Данные!$B$2:$B$722,86,Данные!$C$2:$C$722,2,Данные!$A$2:$A$722,"&gt;="&amp;77233150000,Данные!$A$2:$A$722,"&lt;="&amp;77233155999)</f>
        <v>0</v>
      </c>
      <c r="N157" s="62" t="n">
        <f aca="false">COUNTIFS(Данные!$B$2:$B$722,86,Данные!$C$2:$C$722,2,Данные!$A$2:$A$722,"&gt;="&amp;77233235000,Данные!$A$2:$A$722,"&lt;="&amp;77233235999)</f>
        <v>0</v>
      </c>
      <c r="O157" s="62" t="n">
        <f aca="false">COUNTIFS(Данные!$B$2:$B$722,86,Данные!$C$2:$C$722,2,Данные!$A$2:$A$722,"&gt;="&amp;77233239000,Данные!$A$2:$A$722,"&lt;="&amp;77233239999)</f>
        <v>0</v>
      </c>
      <c r="P157" s="62" t="n">
        <f aca="false">COUNTIFS(Данные!$B$2:$B$722,86,Данные!$C$2:$C$722,2,Данные!$A$2:$A$722,"&gt;="&amp;77233272000,Данные!$A$2:$A$722,"&lt;="&amp;77233272999)</f>
        <v>0</v>
      </c>
      <c r="Q157" s="62" t="n">
        <f aca="false">COUNTIFS(Данные!$B$2:$B$722,86,Данные!$C$2:$C$722,2,Данные!$A$2:$A$722,"&gt;="&amp;77233291100,Данные!$A$2:$A$722,"&lt;="&amp;77233292999)</f>
        <v>0</v>
      </c>
      <c r="R157" s="62" t="n">
        <f aca="false">COUNTIFS(Данные!$B$2:$B$722,86,Данные!$C$2:$C$722,2,Данные!$A$2:$A$722,"&gt;="&amp;77233297000,Данные!$A$2:$A$722,"&lt;="&amp;77233298399)</f>
        <v>0</v>
      </c>
      <c r="S157" s="62" t="n">
        <f aca="false">COUNTIFS(Данные!$B$2:$B$722,86,Данные!$C$2:$C$722,2,Данные!$A$2:$A$722,"&gt;="&amp;77235124000,Данные!$A$2:$A$722,"&lt;="&amp;77235128499)</f>
        <v>0</v>
      </c>
      <c r="T157" s="62" t="n">
        <f aca="false">COUNTIFS(Данные!$B$2:$B$722,86,Данные!$C$2:$C$722,2,Данные!$A$2:$A$722,"&gt;="&amp;77235320000,Данные!$A$2:$A$722,"&lt;="&amp;77235320999)</f>
        <v>0</v>
      </c>
      <c r="U157" s="62" t="n">
        <f aca="false">COUNTIFS(Данные!$B$2:$B$722,86,Данные!$C$2:$C$722,2,Данные!$A$2:$A$722,"&gt;="&amp;77233620000,Данные!$A$2:$A$722,"&lt;="&amp;77233623339)</f>
        <v>0</v>
      </c>
      <c r="V157" s="62" t="n">
        <f aca="false">COUNTIFS(Данные!$B$2:$B$722,86,Данные!$C$2:$C$722,2,Данные!$A$2:$A$722,"&gt;="&amp;77233630000,Данные!$A$2:$A$722,"&lt;="&amp;77233630999)</f>
        <v>0</v>
      </c>
      <c r="W157" s="62" t="n">
        <f aca="false">COUNTIFS(Данные!$B$2:$B$722,86,Данные!$C$2:$C$722,2,Данные!$A$2:$A$722,"&gt;="&amp;77233637000,Данные!$A$2:$A$722,"&lt;="&amp;77233637599)</f>
        <v>0</v>
      </c>
      <c r="X157" s="62" t="n">
        <f aca="false">COUNTIFS(Данные!$B$2:$B$722,86,Данные!$C$2:$C$722,2,Данные!$A$2:$A$722,"&gt;="&amp;77233550000,Данные!$A$2:$A$722,"&lt;="&amp;77233550999)</f>
        <v>0</v>
      </c>
      <c r="Y157" s="62" t="n">
        <f aca="false">COUNTIFS(Данные!$B$2:$B$722,86,Данные!$C$2:$C$722,2,Данные!$A$2:$A$722,"&gt;="&amp;77233554000,Данные!$A$2:$A$722,"&lt;="&amp;77233554999)</f>
        <v>0</v>
      </c>
      <c r="Z157" s="62" t="n">
        <f aca="false">COUNTIFS(Данные!$B$2:$B$722,86,Данные!$C$2:$C$722,2,Данные!$A$2:$A$722,"&gt;="&amp;77233555000,Данные!$A$2:$A$722,"&lt;="&amp;77233556999)</f>
        <v>0</v>
      </c>
      <c r="AA157" s="62" t="n">
        <f aca="false">COUNTIFS(Данные!$B$2:$B$722,86,Данные!$C$2:$C$722,2,Данные!$A$2:$A$722,"&gt;="&amp;77233726000,Данные!$A$2:$A$722,"&lt;="&amp;77233726999)</f>
        <v>0</v>
      </c>
      <c r="AB157" s="62" t="n">
        <f aca="false">COUNTIFS(Данные!$B$2:$B$722,86,Данные!$C$2:$C$722,2,Данные!$A$2:$A$722,"&gt;="&amp;77233820000,Данные!$A$2:$A$722,"&lt;="&amp;77233820999)</f>
        <v>0</v>
      </c>
      <c r="AC157" s="62" t="n">
        <f aca="false">COUNTIFS(Данные!$B$2:$B$722,86,Данные!$C$2:$C$722,2,Данные!$A$2:$A$722,"&gt;="&amp;77233850000,Данные!$A$2:$A$722,"&lt;="&amp;77233850999)</f>
        <v>0</v>
      </c>
      <c r="AD157" s="62" t="n">
        <f aca="false">COUNTIFS(Данные!$B$2:$B$722,86,Данные!$C$2:$C$722,2,Данные!$A$2:$A$722,"&gt;="&amp;77233420000,Данные!$A$2:$A$722,"&lt;="&amp;77233420999)</f>
        <v>0</v>
      </c>
      <c r="AE157" s="62" t="n">
        <f aca="false">COUNTIFS(Данные!$B$2:$B$722,86,Данные!$C$2:$C$722,2,Данные!$A$2:$A$722,"&gt;="&amp;77234740000,Данные!$A$2:$A$722,"&lt;="&amp;77234742999)</f>
        <v>0</v>
      </c>
      <c r="AF157" s="62" t="n">
        <f aca="false">COUNTIFS(Данные!$B$2:$B$722,86,Данные!$C$2:$C$722,2,Данные!$A$2:$A$722,"&gt;="&amp;77234767000,Данные!$A$2:$A$722,"&lt;="&amp;77234767999)</f>
        <v>0</v>
      </c>
      <c r="AG157" s="62" t="n">
        <f aca="false">COUNTIFS(Данные!$B$2:$B$722,86,Данные!$C$2:$C$722,2,Данные!$A$2:$A$722,"&gt;="&amp;77234120000,Данные!$A$2:$A$722,"&lt;="&amp;77234120999)</f>
        <v>0</v>
      </c>
      <c r="AH157" s="62" t="n">
        <f aca="false">COUNTIFS(Данные!$B$2:$B$722,86,Данные!$C$2:$C$722,2,Данные!$A$2:$A$722,"&gt;="&amp;77234127000,Данные!$A$2:$A$722,"&lt;="&amp;77234127999)</f>
        <v>0</v>
      </c>
      <c r="AI157" s="62" t="n">
        <f aca="false">COUNTIFS(Данные!$B$2:$B$722,86,Данные!$C$2:$C$722,2,Данные!$A$2:$A$722,"&gt;="&amp;77234220000,Данные!$A$2:$A$722,"&lt;="&amp;77234220999)</f>
        <v>0</v>
      </c>
      <c r="AJ157" s="62" t="n">
        <f aca="false">COUNTIFS(Данные!$B$2:$B$722,86,Данные!$C$2:$C$722,2,Данные!$A$2:$A$722,"&gt;="&amp;77234250000,Данные!$A$2:$A$722,"&lt;="&amp;77234250999)</f>
        <v>0</v>
      </c>
      <c r="AK157" s="62" t="n">
        <f aca="false">COUNTIFS(Данные!$B$2:$B$722,86,Данные!$C$2:$C$722,2,Данные!$A$2:$A$722,"&gt;="&amp;77233922950,Данные!$A$2:$A$722,"&lt;="&amp;77233924999)</f>
        <v>0</v>
      </c>
      <c r="AL157" s="62" t="n">
        <f aca="false">COUNTIFS(Данные!$B$2:$B$722,86,Данные!$C$2:$C$722,2,Данные!$A$2:$A$722,"&gt;="&amp;77234320000,Данные!$A$2:$A$722,"&lt;="&amp;77234320999)</f>
        <v>0</v>
      </c>
      <c r="AM157" s="62" t="n">
        <f aca="false">COUNTIFS(Данные!$B$2:$B$722,86,Данные!$C$2:$C$722,2,Данные!$A$2:$A$722,"&gt;="&amp;77234350000,Данные!$A$2:$A$722,"&lt;="&amp;77234350999)</f>
        <v>0</v>
      </c>
      <c r="AN157" s="62" t="n">
        <f aca="false">COUNTIFS(Данные!$B$2:$B$722,86,Данные!$C$2:$C$722,2,Данные!$A$2:$A$722,"&gt;="&amp;77234020000,Данные!$A$2:$A$722,"&lt;="&amp;77234020999)</f>
        <v>0</v>
      </c>
      <c r="AO157" s="62" t="n">
        <f aca="false">COUNTIFS(Данные!$B$2:$B$722,86,Данные!$C$2:$C$722,2,Данные!$A$2:$A$722,"&gt;="&amp;77234029000,Данные!$A$2:$A$722,"&lt;="&amp;77234029999)</f>
        <v>0</v>
      </c>
      <c r="AP157" s="62" t="n">
        <f aca="false">COUNTIFS(Данные!$B$2:$B$722,86,Данные!$C$2:$C$722,2,Данные!$A$2:$A$722,"&gt;="&amp;77234050000,Данные!$A$2:$A$722,"&lt;="&amp;77234050999)</f>
        <v>0</v>
      </c>
      <c r="AQ157" s="62" t="n">
        <f aca="false">COUNTIFS(Данные!$B$2:$B$722,86,Данные!$C$2:$C$722,2,Данные!$A$2:$A$722,"&gt;="&amp;77234427000,Данные!$A$2:$A$722,"&lt;="&amp;77234428999)</f>
        <v>0</v>
      </c>
      <c r="AR157" s="62" t="n">
        <f aca="false">COUNTIFS(Данные!$B$2:$B$722,86,Данные!$C$2:$C$722,2,Данные!$A$2:$A$722,"&gt;="&amp;77234450000,Данные!$A$2:$A$722,"&lt;="&amp;77234450999)</f>
        <v>0</v>
      </c>
      <c r="AS157" s="62" t="n">
        <f aca="false">COUNTIFS(Данные!$B$2:$B$722,86,Данные!$C$2:$C$722,2,Данные!$A$2:$A$722,"&gt;="&amp;77234620000,Данные!$A$2:$A$722,"&lt;="&amp;77234620999)</f>
        <v>0</v>
      </c>
      <c r="AT157" s="62" t="n">
        <f aca="false">COUNTIFS(Данные!$B$2:$B$722,86,Данные!$C$2:$C$722,2,Данные!$A$2:$A$722,"&gt;="&amp;77234650000,Данные!$A$2:$A$722,"&lt;="&amp;77234650999)</f>
        <v>0</v>
      </c>
      <c r="AU157" s="62" t="n">
        <f aca="false">COUNTIFS(Данные!$B$2:$B$722,86,Данные!$C$2:$C$722,2,Данные!$A$2:$A$722,"&gt;="&amp;77234820000,Данные!$A$2:$A$722,"&lt;="&amp;77234820999)</f>
        <v>0</v>
      </c>
      <c r="AV157" s="62" t="n">
        <f aca="false">COUNTIFS(Данные!$B$2:$B$722,86,Данные!$C$2:$C$722,2,Данные!$A$2:$A$722,"&gt;="&amp;77234850000,Данные!$A$2:$A$722,"&lt;="&amp;77234850999)</f>
        <v>0</v>
      </c>
      <c r="AW157" s="62" t="n">
        <f aca="false">COUNTIFS(Данные!$B$2:$B$722,86,Данные!$C$2:$C$722,2,Данные!$A$2:$A$722,"&gt;="&amp;77233327000,Данные!$A$2:$A$722,"&lt;="&amp;77233327999)</f>
        <v>0</v>
      </c>
      <c r="AX157" s="62" t="n">
        <f aca="false">COUNTIFS(Данные!$B$2:$B$722,86,Данные!$C$2:$C$722,2,Данные!$A$2:$A$722,"&gt;="&amp;77233350000,Данные!$A$2:$A$722,"&lt;="&amp;77233350599)</f>
        <v>0</v>
      </c>
      <c r="AY157" s="62" t="n">
        <f aca="false">COUNTIFS(Данные!$B$2:$B$722,86,Данные!$C$2:$C$722,2,Данные!$A$2:$A$722,"&gt;="&amp;77233351000,Данные!$A$2:$A$722,"&lt;="&amp;77233351999)</f>
        <v>0</v>
      </c>
      <c r="AZ157" s="63" t="n">
        <f aca="false">COUNTIFS(Данные!$B$2:$B$722,86,Данные!$C$2:$C$722,2,Данные!$A$2:$A$722,"&gt;="&amp;7722440000,Данные!$A$2:$A$722,"&lt;="&amp;7722440999)</f>
        <v>0</v>
      </c>
      <c r="BA157" s="63" t="n">
        <f aca="false">COUNTIFS(Данные!$B$2:$B$722,86,Данные!$C$2:$C$722,2,Данные!$A$2:$A$722,"&gt;="&amp;7722442000,Данные!$A$2:$A$722,"&lt;="&amp;7722445659)</f>
        <v>0</v>
      </c>
      <c r="BB157" s="63" t="n">
        <f aca="false">COUNTIFS(Данные!$B$2:$B$722,86,Данные!$C$2:$C$722,2,Данные!$A$2:$A$722,"&gt;="&amp;7722450000,Данные!$A$2:$A$722,"&lt;="&amp;7722450199)</f>
        <v>0</v>
      </c>
      <c r="BC157" s="63" t="n">
        <f aca="false">COUNTIFS(Данные!$B$2:$B$722,86,Данные!$C$2:$C$722,2,Данные!$A$2:$A$722,"&gt;="&amp;7722451000,Данные!$A$2:$A$722,"&lt;="&amp;7722451374)</f>
        <v>0</v>
      </c>
      <c r="BD157" s="63" t="n">
        <f aca="false">COUNTIFS(Данные!$B$2:$B$722,86,Данные!$C$2:$C$722,2,Данные!$A$2:$A$722,"&gt;="&amp;7722452000,Данные!$A$2:$A$722,"&lt;="&amp;7722452299)</f>
        <v>0</v>
      </c>
      <c r="BE157" s="63" t="n">
        <f aca="false">COUNTIFS(Данные!$B$2:$B$722,86,Данные!$C$2:$C$722,2,Данные!$A$2:$A$722,"&gt;="&amp;7722453000,Данные!$A$2:$A$722,"&lt;="&amp;7722453816)</f>
        <v>0</v>
      </c>
      <c r="BF157" s="63" t="n">
        <f aca="false">COUNTIFS(Данные!$B$2:$B$722,86,Данные!$C$2:$C$722,2,Данные!$A$2:$A$722,"&gt;="&amp;7722454000,Данные!$A$2:$A$722,"&lt;="&amp;7722454099)</f>
        <v>0</v>
      </c>
      <c r="BG157" s="63" t="n">
        <f aca="false">COUNTIFS(Данные!$B$2:$B$722,86,Данные!$C$2:$C$722,2,Данные!$A$2:$A$722,"&gt;="&amp;7722458000,Данные!$A$2:$A$722,"&lt;="&amp;7722458999)</f>
        <v>0</v>
      </c>
      <c r="BH157" s="63" t="n">
        <f aca="false">COUNTIFS(Данные!$B$2:$B$722,86,Данные!$C$2:$C$722,2,Данные!$A$2:$A$722,"&gt;="&amp;7722630000,Данные!$A$2:$A$722,"&lt;="&amp;7722638549)</f>
        <v>0</v>
      </c>
      <c r="BI157" s="63" t="n">
        <f aca="false">COUNTIFS(Данные!$B$2:$B$722,86,Данные!$C$2:$C$722,2,Данные!$A$2:$A$722,"&gt;="&amp;7722639400,Данные!$A$2:$A$722,"&lt;="&amp;7722639899)</f>
        <v>0</v>
      </c>
      <c r="BJ157" s="63" t="n">
        <f aca="false">COUNTIFS(Данные!$B$2:$B$722,86,Данные!$C$2:$C$722,2,Данные!$A$2:$A$722,"&gt;="&amp;7725750000,Данные!$A$2:$A$722,"&lt;="&amp;7725750399)</f>
        <v>0</v>
      </c>
      <c r="BK157" s="63" t="n">
        <f aca="false">COUNTIFS(Данные!$B$2:$B$722,86,Данные!$C$2:$C$722,2,Данные!$A$2:$A$722,"&gt;="&amp;7723620000,Данные!$A$2:$A$722,"&lt;="&amp;7723621299)</f>
        <v>0</v>
      </c>
      <c r="BL157" s="63" t="n">
        <f aca="false">COUNTIFS(Данные!$B$2:$B$722,86,Данные!$C$2:$C$722,2,Данные!$A$2:$A$722,"&gt;="&amp;7723621600,Данные!$A$2:$A$722,"&lt;="&amp;7723623399)</f>
        <v>0</v>
      </c>
      <c r="BM157" s="63" t="n">
        <f aca="false">COUNTIFS(Данные!$B$2:$B$722,86,Данные!$C$2:$C$722,2,Данные!$A$2:$A$722,"&gt;="&amp;7725127000,Данные!$A$2:$A$722,"&lt;="&amp;7725127999)</f>
        <v>0</v>
      </c>
      <c r="BN157" s="63" t="n">
        <f aca="false">COUNTIFS(Данные!$B$2:$B$722,86,Данные!$C$2:$C$722,2,Данные!$A$2:$A$722,"&gt;="&amp;7723772000,Данные!$A$2:$A$722,"&lt;="&amp;7723724999)</f>
        <v>0</v>
      </c>
      <c r="BO157" s="62" t="n">
        <f aca="false">COUNTIFS(Данные!$B$2:$B$722,86,Данные!$C$2:$C$722,2,Данные!$A$2:$A$722,"&gt;="&amp;7723765000,Данные!$A$2:$A$722,"&lt;="&amp;7723765499)</f>
        <v>0</v>
      </c>
      <c r="BP157" s="63" t="n">
        <f aca="false">COUNTIFS(Данные!$B$2:$B$722,86,Данные!$C$2:$C$722,2,Данные!$A$2:$A$722,"&gt;="&amp;7723948000,Данные!$A$2:$A$722,"&lt;="&amp;7723948999)</f>
        <v>0</v>
      </c>
      <c r="BQ157" s="63" t="n">
        <f aca="false">COUNTIFS(Данные!$B$2:$B$722,86,Данные!$C$2:$C$722,2,Данные!$A$2:$A$722,"&gt;="&amp;7723950000,Данные!$A$2:$A$722,"&lt;="&amp;7723951099)</f>
        <v>0</v>
      </c>
      <c r="BR157" s="63" t="n">
        <f aca="false">COUNTIFS(Данные!$B$2:$B$722,86,Данные!$C$2:$C$722,2,Данные!$A$2:$A$722,"&gt;="&amp;7723020000,Данные!$A$2:$A$722,"&lt;="&amp;7723020999)</f>
        <v>0</v>
      </c>
      <c r="BS157" s="63" t="n">
        <f aca="false">COUNTIFS(Данные!$B$2:$B$722,86,Данные!$C$2:$C$722,2,Данные!$A$2:$A$722,"&gt;="&amp;7723029000,Данные!$A$2:$A$722,"&lt;="&amp;7723029999)</f>
        <v>0</v>
      </c>
      <c r="BT157" s="63" t="n">
        <f aca="false">COUNTIFS(Данные!$B$2:$B$722,86,Данные!$C$2:$C$722,2,Данные!$A$2:$A$722,"&gt;="&amp;7723055000,Данные!$A$2:$A$722,"&lt;="&amp;7723056549)</f>
        <v>0</v>
      </c>
      <c r="BU157" s="62" t="n">
        <f aca="false">COUNTIFS(Данные!$B$2:$B$722,86,Данные!$C$2:$C$722,2,Данные!$A$2:$A$722,"&gt;="&amp;7725250000,Данные!$A$2:$A$722,"&lt;="&amp;7725250499)</f>
        <v>0</v>
      </c>
      <c r="BV157" s="63" t="n">
        <f aca="false">COUNTIFS(Данные!$B$2:$B$722,86,Данные!$C$2:$C$722,2,Данные!$A$2:$A$722,"&gt;="&amp;7183841400,Данные!$A$2:$A$722,"&lt;="&amp;7183841499)</f>
        <v>0</v>
      </c>
      <c r="BW157" s="40" t="n">
        <v>300</v>
      </c>
      <c r="BX157" s="64" t="n">
        <f aca="false">F157-BW157</f>
        <v>-300</v>
      </c>
    </row>
    <row r="158" s="15" customFormat="true" ht="12" hidden="false" customHeight="true" outlineLevel="0" collapsed="false">
      <c r="A158" s="47" t="n">
        <v>87</v>
      </c>
      <c r="B158" s="48" t="s">
        <v>112</v>
      </c>
      <c r="C158" s="50" t="n">
        <v>0</v>
      </c>
      <c r="D158" s="50" t="n">
        <v>870</v>
      </c>
      <c r="E158" s="51" t="n">
        <f aca="false">SUM(F158:F160)</f>
        <v>0</v>
      </c>
      <c r="F158" s="65" t="n">
        <f aca="false">COUNTIFS(Данные!$B$2:$B$722,87,Данные!$C$2:$C$722,0)</f>
        <v>0</v>
      </c>
      <c r="G158" s="65" t="n">
        <f aca="false">COUNTIFS(Данные!$B$2:$B$722,87,Данные!$C$2:$C$722,0,Данные!$A$2:$A$722,"&gt;="&amp;77232210840,Данные!$A$2:$A$722,"&lt;="&amp;77232216999)</f>
        <v>0</v>
      </c>
      <c r="H158" s="65" t="n">
        <f aca="false">COUNTIFS(Данные!$B$2:$B$722,87,Данные!$C$2:$C$722,0,Данные!$A$2:$A$722,"&gt;="&amp;77232510512,Данные!$A$2:$A$722,"&lt;="&amp;77232519487)</f>
        <v>0</v>
      </c>
      <c r="I158" s="65" t="n">
        <f aca="false">COUNTIFS(Данные!$B$2:$B$722,87,Данные!$C$2:$C$722,0,Данные!$A$2:$A$722,"&gt;="&amp;77232524160,Данные!$A$2:$A$722,"&lt;="&amp;77232529999)</f>
        <v>0</v>
      </c>
      <c r="J158" s="65" t="n">
        <f aca="false">COUNTIFS(Данные!$B$2:$B$722,87,Данные!$C$2:$C$722,0,Данные!$A$2:$A$722,"&gt;="&amp;77232544000,Данные!$A$2:$A$722,"&lt;="&amp;77232544999)</f>
        <v>0</v>
      </c>
      <c r="K158" s="65" t="n">
        <f aca="false">COUNTIFS(Данные!$B$2:$B$722,87,Данные!$C$2:$C$722,0,Данные!$A$2:$A$722,"&gt;="&amp;77232295504,Данные!$A$2:$A$722,"&lt;="&amp;77232296999)</f>
        <v>0</v>
      </c>
      <c r="L158" s="65" t="n">
        <f aca="false">COUNTIFS(Данные!$B$2:$B$722,87,Данные!$C$2:$C$722,0,Данные!$A$2:$A$722,"&gt;="&amp;77232785000,Данные!$A$2:$A$722,"&lt;="&amp;77232789999)</f>
        <v>0</v>
      </c>
      <c r="M158" s="65" t="n">
        <f aca="false">COUNTIFS(Данные!$B$2:$B$722,87,Данные!$C$2:$C$722,0,Данные!$A$2:$A$722,"&gt;="&amp;77233150000,Данные!$A$2:$A$722,"&lt;="&amp;77233155999)</f>
        <v>0</v>
      </c>
      <c r="N158" s="65" t="n">
        <f aca="false">COUNTIFS(Данные!$B$2:$B$722,87,Данные!$C$2:$C$722,0,Данные!$A$2:$A$722,"&gt;="&amp;77233235000,Данные!$A$2:$A$722,"&lt;="&amp;77233235999)</f>
        <v>0</v>
      </c>
      <c r="O158" s="65" t="n">
        <f aca="false">COUNTIFS(Данные!$B$2:$B$722,87,Данные!$C$2:$C$722,0,Данные!$A$2:$A$722,"&gt;="&amp;77233239000,Данные!$A$2:$A$722,"&lt;="&amp;77233239999)</f>
        <v>0</v>
      </c>
      <c r="P158" s="65" t="n">
        <f aca="false">COUNTIFS(Данные!$B$2:$B$722,87,Данные!$C$2:$C$722,0,Данные!$A$2:$A$722,"&gt;="&amp;77233272000,Данные!$A$2:$A$722,"&lt;="&amp;77233272999)</f>
        <v>0</v>
      </c>
      <c r="Q158" s="65" t="n">
        <f aca="false">COUNTIFS(Данные!$B$2:$B$722,87,Данные!$C$2:$C$722,0,Данные!$A$2:$A$722,"&gt;="&amp;77233291100,Данные!$A$2:$A$722,"&lt;="&amp;77233292999)</f>
        <v>0</v>
      </c>
      <c r="R158" s="65" t="n">
        <f aca="false">COUNTIFS(Данные!$B$2:$B$722,87,Данные!$C$2:$C$722,0,Данные!$A$2:$A$722,"&gt;="&amp;77233297000,Данные!$A$2:$A$722,"&lt;="&amp;77233298399)</f>
        <v>0</v>
      </c>
      <c r="S158" s="65" t="n">
        <f aca="false">COUNTIFS(Данные!$B$2:$B$722,87,Данные!$C$2:$C$722,0,Данные!$A$2:$A$722,"&gt;="&amp;77235124000,Данные!$A$2:$A$722,"&lt;="&amp;77235128499)</f>
        <v>0</v>
      </c>
      <c r="T158" s="65" t="n">
        <f aca="false">COUNTIFS(Данные!$B$2:$B$722,87,Данные!$C$2:$C$722,0,Данные!$A$2:$A$722,"&gt;="&amp;77235320000,Данные!$A$2:$A$722,"&lt;="&amp;77235320999)</f>
        <v>0</v>
      </c>
      <c r="U158" s="65" t="n">
        <f aca="false">COUNTIFS(Данные!$B$2:$B$722,87,Данные!$C$2:$C$722,0,Данные!$A$2:$A$722,"&gt;="&amp;77233620000,Данные!$A$2:$A$722,"&lt;="&amp;77233623339)</f>
        <v>0</v>
      </c>
      <c r="V158" s="65" t="n">
        <f aca="false">COUNTIFS(Данные!$B$2:$B$722,87,Данные!$C$2:$C$722,0,Данные!$A$2:$A$722,"&gt;="&amp;77233630000,Данные!$A$2:$A$722,"&lt;="&amp;77233630999)</f>
        <v>0</v>
      </c>
      <c r="W158" s="65" t="n">
        <f aca="false">COUNTIFS(Данные!$B$2:$B$722,87,Данные!$C$2:$C$722,0,Данные!$A$2:$A$722,"&gt;="&amp;77233637000,Данные!$A$2:$A$722,"&lt;="&amp;77233637599)</f>
        <v>0</v>
      </c>
      <c r="X158" s="65" t="n">
        <f aca="false">COUNTIFS(Данные!$B$2:$B$722,87,Данные!$C$2:$C$722,0,Данные!$A$2:$A$722,"&gt;="&amp;77233550000,Данные!$A$2:$A$722,"&lt;="&amp;77233550999)</f>
        <v>0</v>
      </c>
      <c r="Y158" s="65" t="n">
        <f aca="false">COUNTIFS(Данные!$B$2:$B$722,87,Данные!$C$2:$C$722,0,Данные!$A$2:$A$722,"&gt;="&amp;77233554000,Данные!$A$2:$A$722,"&lt;="&amp;77233554999)</f>
        <v>0</v>
      </c>
      <c r="Z158" s="65" t="n">
        <f aca="false">COUNTIFS(Данные!$B$2:$B$722,87,Данные!$C$2:$C$722,0,Данные!$A$2:$A$722,"&gt;="&amp;77233555000,Данные!$A$2:$A$722,"&lt;="&amp;77233556999)</f>
        <v>0</v>
      </c>
      <c r="AA158" s="65" t="n">
        <f aca="false">COUNTIFS(Данные!$B$2:$B$722,87,Данные!$C$2:$C$722,0,Данные!$A$2:$A$722,"&gt;="&amp;77233726000,Данные!$A$2:$A$722,"&lt;="&amp;77233726999)</f>
        <v>0</v>
      </c>
      <c r="AB158" s="65" t="n">
        <f aca="false">COUNTIFS(Данные!$B$2:$B$722,87,Данные!$C$2:$C$722,0,Данные!$A$2:$A$722,"&gt;="&amp;77233820000,Данные!$A$2:$A$722,"&lt;="&amp;77233820999)</f>
        <v>0</v>
      </c>
      <c r="AC158" s="65" t="n">
        <f aca="false">COUNTIFS(Данные!$B$2:$B$722,87,Данные!$C$2:$C$722,0,Данные!$A$2:$A$722,"&gt;="&amp;77233850000,Данные!$A$2:$A$722,"&lt;="&amp;77233850999)</f>
        <v>0</v>
      </c>
      <c r="AD158" s="65" t="n">
        <f aca="false">COUNTIFS(Данные!$B$2:$B$722,87,Данные!$C$2:$C$722,0,Данные!$A$2:$A$722,"&gt;="&amp;77233420000,Данные!$A$2:$A$722,"&lt;="&amp;77233420999)</f>
        <v>0</v>
      </c>
      <c r="AE158" s="65" t="n">
        <f aca="false">COUNTIFS(Данные!$B$2:$B$722,87,Данные!$C$2:$C$722,0,Данные!$A$2:$A$722,"&gt;="&amp;77234740000,Данные!$A$2:$A$722,"&lt;="&amp;77234742999)</f>
        <v>0</v>
      </c>
      <c r="AF158" s="65" t="n">
        <f aca="false">COUNTIFS(Данные!$B$2:$B$722,87,Данные!$C$2:$C$722,0,Данные!$A$2:$A$722,"&gt;="&amp;77234767000,Данные!$A$2:$A$722,"&lt;="&amp;77234767999)</f>
        <v>0</v>
      </c>
      <c r="AG158" s="65" t="n">
        <f aca="false">COUNTIFS(Данные!$B$2:$B$722,87,Данные!$C$2:$C$722,0,Данные!$A$2:$A$722,"&gt;="&amp;77234120000,Данные!$A$2:$A$722,"&lt;="&amp;77234120999)</f>
        <v>0</v>
      </c>
      <c r="AH158" s="65" t="n">
        <f aca="false">COUNTIFS(Данные!$B$2:$B$722,87,Данные!$C$2:$C$722,0,Данные!$A$2:$A$722,"&gt;="&amp;77234127000,Данные!$A$2:$A$722,"&lt;="&amp;77234127999)</f>
        <v>0</v>
      </c>
      <c r="AI158" s="65" t="n">
        <f aca="false">COUNTIFS(Данные!$B$2:$B$722,87,Данные!$C$2:$C$722,0,Данные!$A$2:$A$722,"&gt;="&amp;77234220000,Данные!$A$2:$A$722,"&lt;="&amp;77234220999)</f>
        <v>0</v>
      </c>
      <c r="AJ158" s="65" t="n">
        <f aca="false">COUNTIFS(Данные!$B$2:$B$722,87,Данные!$C$2:$C$722,0,Данные!$A$2:$A$722,"&gt;="&amp;77234250000,Данные!$A$2:$A$722,"&lt;="&amp;77234250999)</f>
        <v>0</v>
      </c>
      <c r="AK158" s="65" t="n">
        <f aca="false">COUNTIFS(Данные!$B$2:$B$722,87,Данные!$C$2:$C$722,0,Данные!$A$2:$A$722,"&gt;="&amp;77233922950,Данные!$A$2:$A$722,"&lt;="&amp;77233924999)</f>
        <v>0</v>
      </c>
      <c r="AL158" s="65" t="n">
        <f aca="false">COUNTIFS(Данные!$B$2:$B$722,87,Данные!$C$2:$C$722,0,Данные!$A$2:$A$722,"&gt;="&amp;77234320000,Данные!$A$2:$A$722,"&lt;="&amp;77234320999)</f>
        <v>0</v>
      </c>
      <c r="AM158" s="65" t="n">
        <f aca="false">COUNTIFS(Данные!$B$2:$B$722,87,Данные!$C$2:$C$722,0,Данные!$A$2:$A$722,"&gt;="&amp;77234350000,Данные!$A$2:$A$722,"&lt;="&amp;77234350999)</f>
        <v>0</v>
      </c>
      <c r="AN158" s="65" t="n">
        <f aca="false">COUNTIFS(Данные!$B$2:$B$722,87,Данные!$C$2:$C$722,0,Данные!$A$2:$A$722,"&gt;="&amp;77234020000,Данные!$A$2:$A$722,"&lt;="&amp;77234020999)</f>
        <v>0</v>
      </c>
      <c r="AO158" s="65" t="n">
        <f aca="false">COUNTIFS(Данные!$B$2:$B$722,87,Данные!$C$2:$C$722,0,Данные!$A$2:$A$722,"&gt;="&amp;77234029000,Данные!$A$2:$A$722,"&lt;="&amp;77234029999)</f>
        <v>0</v>
      </c>
      <c r="AP158" s="65" t="n">
        <f aca="false">COUNTIFS(Данные!$B$2:$B$722,87,Данные!$C$2:$C$722,0,Данные!$A$2:$A$722,"&gt;="&amp;77234050000,Данные!$A$2:$A$722,"&lt;="&amp;77234050999)</f>
        <v>0</v>
      </c>
      <c r="AQ158" s="65" t="n">
        <f aca="false">COUNTIFS(Данные!$B$2:$B$722,87,Данные!$C$2:$C$722,0,Данные!$A$2:$A$722,"&gt;="&amp;77234427000,Данные!$A$2:$A$722,"&lt;="&amp;77234428999)</f>
        <v>0</v>
      </c>
      <c r="AR158" s="65" t="n">
        <f aca="false">COUNTIFS(Данные!$B$2:$B$722,87,Данные!$C$2:$C$722,0,Данные!$A$2:$A$722,"&gt;="&amp;77234450000,Данные!$A$2:$A$722,"&lt;="&amp;77234450999)</f>
        <v>0</v>
      </c>
      <c r="AS158" s="65" t="n">
        <f aca="false">COUNTIFS(Данные!$B$2:$B$722,87,Данные!$C$2:$C$722,0,Данные!$A$2:$A$722,"&gt;="&amp;77234620000,Данные!$A$2:$A$722,"&lt;="&amp;77234620999)</f>
        <v>0</v>
      </c>
      <c r="AT158" s="65" t="n">
        <f aca="false">COUNTIFS(Данные!$B$2:$B$722,87,Данные!$C$2:$C$722,0,Данные!$A$2:$A$722,"&gt;="&amp;77234650000,Данные!$A$2:$A$722,"&lt;="&amp;77234650999)</f>
        <v>0</v>
      </c>
      <c r="AU158" s="65" t="n">
        <f aca="false">COUNTIFS(Данные!$B$2:$B$722,87,Данные!$C$2:$C$722,0,Данные!$A$2:$A$722,"&gt;="&amp;77234820000,Данные!$A$2:$A$722,"&lt;="&amp;77234820999)</f>
        <v>0</v>
      </c>
      <c r="AV158" s="65" t="n">
        <f aca="false">COUNTIFS(Данные!$B$2:$B$722,87,Данные!$C$2:$C$722,0,Данные!$A$2:$A$722,"&gt;="&amp;77234850000,Данные!$A$2:$A$722,"&lt;="&amp;77234850999)</f>
        <v>0</v>
      </c>
      <c r="AW158" s="65" t="n">
        <f aca="false">COUNTIFS(Данные!$B$2:$B$722,87,Данные!$C$2:$C$722,0,Данные!$A$2:$A$722,"&gt;="&amp;77233327000,Данные!$A$2:$A$722,"&lt;="&amp;77233327999)</f>
        <v>0</v>
      </c>
      <c r="AX158" s="65" t="n">
        <f aca="false">COUNTIFS(Данные!$B$2:$B$722,87,Данные!$C$2:$C$722,0,Данные!$A$2:$A$722,"&gt;="&amp;77233350000,Данные!$A$2:$A$722,"&lt;="&amp;77233350599)</f>
        <v>0</v>
      </c>
      <c r="AY158" s="65" t="n">
        <f aca="false">COUNTIFS(Данные!$B$2:$B$722,87,Данные!$C$2:$C$722,0,Данные!$A$2:$A$722,"&gt;="&amp;77233351000,Данные!$A$2:$A$722,"&lt;="&amp;77233351999)</f>
        <v>0</v>
      </c>
      <c r="AZ158" s="66" t="n">
        <f aca="false">COUNTIFS(Данные!$B$2:$B$722,87,Данные!$C$2:$C$722,0,Данные!$A$2:$A$722,"&gt;="&amp;7722440000,Данные!$A$2:$A$722,"&lt;="&amp;7722440999)</f>
        <v>0</v>
      </c>
      <c r="BA158" s="66" t="n">
        <f aca="false">COUNTIFS(Данные!$B$2:$B$722,87,Данные!$C$2:$C$722,0,Данные!$A$2:$A$722,"&gt;="&amp;7722442000,Данные!$A$2:$A$722,"&lt;="&amp;7722445659)</f>
        <v>0</v>
      </c>
      <c r="BB158" s="66" t="n">
        <f aca="false">COUNTIFS(Данные!$B$2:$B$722,87,Данные!$C$2:$C$722,0,Данные!$A$2:$A$722,"&gt;="&amp;7722450000,Данные!$A$2:$A$722,"&lt;="&amp;7722450199)</f>
        <v>0</v>
      </c>
      <c r="BC158" s="66" t="n">
        <f aca="false">COUNTIFS(Данные!$B$2:$B$722,87,Данные!$C$2:$C$722,0,Данные!$A$2:$A$722,"&gt;="&amp;7722451000,Данные!$A$2:$A$722,"&lt;="&amp;7722451374)</f>
        <v>0</v>
      </c>
      <c r="BD158" s="66" t="n">
        <f aca="false">COUNTIFS(Данные!$B$2:$B$722,87,Данные!$C$2:$C$722,0,Данные!$A$2:$A$722,"&gt;="&amp;7722452000,Данные!$A$2:$A$722,"&lt;="&amp;7722452299)</f>
        <v>0</v>
      </c>
      <c r="BE158" s="66" t="n">
        <f aca="false">COUNTIFS(Данные!$B$2:$B$722,87,Данные!$C$2:$C$722,0,Данные!$A$2:$A$722,"&gt;="&amp;7722453000,Данные!$A$2:$A$722,"&lt;="&amp;7722453816)</f>
        <v>0</v>
      </c>
      <c r="BF158" s="66" t="n">
        <f aca="false">COUNTIFS(Данные!$B$2:$B$722,87,Данные!$C$2:$C$722,0,Данные!$A$2:$A$722,"&gt;="&amp;7722454000,Данные!$A$2:$A$722,"&lt;="&amp;7722454099)</f>
        <v>0</v>
      </c>
      <c r="BG158" s="66" t="n">
        <f aca="false">COUNTIFS(Данные!$B$2:$B$722,87,Данные!$C$2:$C$722,0,Данные!$A$2:$A$722,"&gt;="&amp;7722458000,Данные!$A$2:$A$722,"&lt;="&amp;7722458999)</f>
        <v>0</v>
      </c>
      <c r="BH158" s="66" t="n">
        <f aca="false">COUNTIFS(Данные!$B$2:$B$722,87,Данные!$C$2:$C$722,0,Данные!$A$2:$A$722,"&gt;="&amp;7722630000,Данные!$A$2:$A$722,"&lt;="&amp;7722638549)</f>
        <v>0</v>
      </c>
      <c r="BI158" s="66" t="n">
        <f aca="false">COUNTIFS(Данные!$B$2:$B$722,87,Данные!$C$2:$C$722,0,Данные!$A$2:$A$722,"&gt;="&amp;7722639400,Данные!$A$2:$A$722,"&lt;="&amp;7722639899)</f>
        <v>0</v>
      </c>
      <c r="BJ158" s="66" t="n">
        <f aca="false">COUNTIFS(Данные!$B$2:$B$722,87,Данные!$C$2:$C$722,0,Данные!$A$2:$A$722,"&gt;="&amp;7725750000,Данные!$A$2:$A$722,"&lt;="&amp;7725750399)</f>
        <v>0</v>
      </c>
      <c r="BK158" s="66" t="n">
        <f aca="false">COUNTIFS(Данные!$B$2:$B$722,87,Данные!$C$2:$C$722,0,Данные!$A$2:$A$722,"&gt;="&amp;7723620000,Данные!$A$2:$A$722,"&lt;="&amp;7723621299)</f>
        <v>0</v>
      </c>
      <c r="BL158" s="66" t="n">
        <f aca="false">COUNTIFS(Данные!$B$2:$B$722,87,Данные!$C$2:$C$722,0,Данные!$A$2:$A$722,"&gt;="&amp;7723621600,Данные!$A$2:$A$722,"&lt;="&amp;7723623399)</f>
        <v>0</v>
      </c>
      <c r="BM158" s="66" t="n">
        <f aca="false">COUNTIFS(Данные!$B$2:$B$722,87,Данные!$C$2:$C$722,0,Данные!$A$2:$A$722,"&gt;="&amp;7725127000,Данные!$A$2:$A$722,"&lt;="&amp;7725127999)</f>
        <v>0</v>
      </c>
      <c r="BN158" s="66" t="n">
        <f aca="false">COUNTIFS(Данные!$B$2:$B$722,87,Данные!$C$2:$C$722,0,Данные!$A$2:$A$722,"&gt;="&amp;7723772000,Данные!$A$2:$A$722,"&lt;="&amp;7723724999)</f>
        <v>0</v>
      </c>
      <c r="BO158" s="65" t="n">
        <f aca="false">COUNTIFS(Данные!$B$2:$B$722,87,Данные!$C$2:$C$722,0,Данные!$A$2:$A$722,"&gt;="&amp;7723765000,Данные!$A$2:$A$722,"&lt;="&amp;7723765499)</f>
        <v>0</v>
      </c>
      <c r="BP158" s="66" t="n">
        <f aca="false">COUNTIFS(Данные!$B$2:$B$722,87,Данные!$C$2:$C$722,0,Данные!$A$2:$A$722,"&gt;="&amp;7723948000,Данные!$A$2:$A$722,"&lt;="&amp;7723948999)</f>
        <v>0</v>
      </c>
      <c r="BQ158" s="66" t="n">
        <f aca="false">COUNTIFS(Данные!$B$2:$B$722,87,Данные!$C$2:$C$722,0,Данные!$A$2:$A$722,"&gt;="&amp;7723950000,Данные!$A$2:$A$722,"&lt;="&amp;7723951099)</f>
        <v>0</v>
      </c>
      <c r="BR158" s="66" t="n">
        <f aca="false">COUNTIFS(Данные!$B$2:$B$722,87,Данные!$C$2:$C$722,0,Данные!$A$2:$A$722,"&gt;="&amp;7723020000,Данные!$A$2:$A$722,"&lt;="&amp;7723020999)</f>
        <v>0</v>
      </c>
      <c r="BS158" s="66" t="n">
        <f aca="false">COUNTIFS(Данные!$B$2:$B$722,87,Данные!$C$2:$C$722,0,Данные!$A$2:$A$722,"&gt;="&amp;7723029000,Данные!$A$2:$A$722,"&lt;="&amp;7723029999)</f>
        <v>0</v>
      </c>
      <c r="BT158" s="66" t="n">
        <f aca="false">COUNTIFS(Данные!$B$2:$B$722,87,Данные!$C$2:$C$722,0,Данные!$A$2:$A$722,"&gt;="&amp;7723055000,Данные!$A$2:$A$722,"&lt;="&amp;7723056549)</f>
        <v>0</v>
      </c>
      <c r="BU158" s="65" t="n">
        <f aca="false">COUNTIFS(Данные!$B$2:$B$722,87,Данные!$C$2:$C$722,0,Данные!$A$2:$A$722,"&gt;="&amp;7725250000,Данные!$A$2:$A$722,"&lt;="&amp;7725250499)</f>
        <v>0</v>
      </c>
      <c r="BV158" s="66" t="n">
        <f aca="false">COUNTIFS(Данные!$B$2:$B$722,87,Данные!$C$2:$C$722,0,Данные!$A$2:$A$722,"&gt;="&amp;7183841400,Данные!$A$2:$A$722,"&lt;="&amp;7183841499)</f>
        <v>0</v>
      </c>
      <c r="BW158" s="49" t="n">
        <v>300</v>
      </c>
      <c r="BX158" s="67" t="n">
        <f aca="false">F158-BW158</f>
        <v>-300</v>
      </c>
    </row>
    <row r="159" s="15" customFormat="true" ht="12" hidden="false" customHeight="true" outlineLevel="0" collapsed="false">
      <c r="A159" s="47"/>
      <c r="B159" s="48"/>
      <c r="C159" s="50" t="n">
        <v>1</v>
      </c>
      <c r="D159" s="50" t="n">
        <v>871</v>
      </c>
      <c r="E159" s="51"/>
      <c r="F159" s="65" t="n">
        <f aca="false">COUNTIFS(Данные!$B$2:$B$722,87,Данные!$C$2:$C$722,1)</f>
        <v>0</v>
      </c>
      <c r="G159" s="65" t="n">
        <f aca="false">COUNTIFS(Данные!$B$2:$B$722,87,Данные!$C$2:$C$722,1,Данные!$A$2:$A$722,"&gt;="&amp;77232210840,Данные!$A$2:$A$722,"&lt;="&amp;77232216999)</f>
        <v>0</v>
      </c>
      <c r="H159" s="65" t="n">
        <f aca="false">COUNTIFS(Данные!$B$2:$B$722,87,Данные!$C$2:$C$722,1,Данные!$A$2:$A$722,"&gt;="&amp;77232510512,Данные!$A$2:$A$722,"&lt;="&amp;77232519487)</f>
        <v>0</v>
      </c>
      <c r="I159" s="65" t="n">
        <f aca="false">COUNTIFS(Данные!$B$2:$B$722,87,Данные!$C$2:$C$722,1,Данные!$A$2:$A$722,"&gt;="&amp;77232524160,Данные!$A$2:$A$722,"&lt;="&amp;77232529999)</f>
        <v>0</v>
      </c>
      <c r="J159" s="65" t="n">
        <f aca="false">COUNTIFS(Данные!$B$2:$B$722,87,Данные!$C$2:$C$722,1,Данные!$A$2:$A$722,"&gt;="&amp;77232544000,Данные!$A$2:$A$722,"&lt;="&amp;77232544999)</f>
        <v>0</v>
      </c>
      <c r="K159" s="65" t="n">
        <f aca="false">COUNTIFS(Данные!$B$2:$B$722,87,Данные!$C$2:$C$722,1,Данные!$A$2:$A$722,"&gt;="&amp;77232295504,Данные!$A$2:$A$722,"&lt;="&amp;77232296999)</f>
        <v>0</v>
      </c>
      <c r="L159" s="65" t="n">
        <f aca="false">COUNTIFS(Данные!$B$2:$B$722,87,Данные!$C$2:$C$722,1,Данные!$A$2:$A$722,"&gt;="&amp;77232785000,Данные!$A$2:$A$722,"&lt;="&amp;77232789999)</f>
        <v>0</v>
      </c>
      <c r="M159" s="65" t="n">
        <f aca="false">COUNTIFS(Данные!$B$2:$B$722,87,Данные!$C$2:$C$722,1,Данные!$A$2:$A$722,"&gt;="&amp;77233150000,Данные!$A$2:$A$722,"&lt;="&amp;77233155999)</f>
        <v>0</v>
      </c>
      <c r="N159" s="65" t="n">
        <f aca="false">COUNTIFS(Данные!$B$2:$B$722,87,Данные!$C$2:$C$722,1,Данные!$A$2:$A$722,"&gt;="&amp;77233235000,Данные!$A$2:$A$722,"&lt;="&amp;77233235999)</f>
        <v>0</v>
      </c>
      <c r="O159" s="65" t="n">
        <f aca="false">COUNTIFS(Данные!$B$2:$B$722,87,Данные!$C$2:$C$722,1,Данные!$A$2:$A$722,"&gt;="&amp;77233239000,Данные!$A$2:$A$722,"&lt;="&amp;77233239999)</f>
        <v>0</v>
      </c>
      <c r="P159" s="65" t="n">
        <f aca="false">COUNTIFS(Данные!$B$2:$B$722,87,Данные!$C$2:$C$722,1,Данные!$A$2:$A$722,"&gt;="&amp;77233272000,Данные!$A$2:$A$722,"&lt;="&amp;77233272999)</f>
        <v>0</v>
      </c>
      <c r="Q159" s="65" t="n">
        <f aca="false">COUNTIFS(Данные!$B$2:$B$722,87,Данные!$C$2:$C$722,1,Данные!$A$2:$A$722,"&gt;="&amp;77233291100,Данные!$A$2:$A$722,"&lt;="&amp;77233292999)</f>
        <v>0</v>
      </c>
      <c r="R159" s="65" t="n">
        <f aca="false">COUNTIFS(Данные!$B$2:$B$722,87,Данные!$C$2:$C$722,1,Данные!$A$2:$A$722,"&gt;="&amp;77233297000,Данные!$A$2:$A$722,"&lt;="&amp;77233298399)</f>
        <v>0</v>
      </c>
      <c r="S159" s="65" t="n">
        <f aca="false">COUNTIFS(Данные!$B$2:$B$722,87,Данные!$C$2:$C$722,1,Данные!$A$2:$A$722,"&gt;="&amp;77235124000,Данные!$A$2:$A$722,"&lt;="&amp;77235128499)</f>
        <v>0</v>
      </c>
      <c r="T159" s="65" t="n">
        <f aca="false">COUNTIFS(Данные!$B$2:$B$722,87,Данные!$C$2:$C$722,1,Данные!$A$2:$A$722,"&gt;="&amp;77235320000,Данные!$A$2:$A$722,"&lt;="&amp;77235320999)</f>
        <v>0</v>
      </c>
      <c r="U159" s="65" t="n">
        <f aca="false">COUNTIFS(Данные!$B$2:$B$722,87,Данные!$C$2:$C$722,1,Данные!$A$2:$A$722,"&gt;="&amp;77233620000,Данные!$A$2:$A$722,"&lt;="&amp;77233623339)</f>
        <v>0</v>
      </c>
      <c r="V159" s="65" t="n">
        <f aca="false">COUNTIFS(Данные!$B$2:$B$722,87,Данные!$C$2:$C$722,1,Данные!$A$2:$A$722,"&gt;="&amp;77233630000,Данные!$A$2:$A$722,"&lt;="&amp;77233630999)</f>
        <v>0</v>
      </c>
      <c r="W159" s="65" t="n">
        <f aca="false">COUNTIFS(Данные!$B$2:$B$722,87,Данные!$C$2:$C$722,1,Данные!$A$2:$A$722,"&gt;="&amp;77233637000,Данные!$A$2:$A$722,"&lt;="&amp;77233637599)</f>
        <v>0</v>
      </c>
      <c r="X159" s="65" t="n">
        <f aca="false">COUNTIFS(Данные!$B$2:$B$722,87,Данные!$C$2:$C$722,1,Данные!$A$2:$A$722,"&gt;="&amp;77233550000,Данные!$A$2:$A$722,"&lt;="&amp;77233550999)</f>
        <v>0</v>
      </c>
      <c r="Y159" s="65" t="n">
        <f aca="false">COUNTIFS(Данные!$B$2:$B$722,87,Данные!$C$2:$C$722,1,Данные!$A$2:$A$722,"&gt;="&amp;77233554000,Данные!$A$2:$A$722,"&lt;="&amp;77233554999)</f>
        <v>0</v>
      </c>
      <c r="Z159" s="65" t="n">
        <f aca="false">COUNTIFS(Данные!$B$2:$B$722,87,Данные!$C$2:$C$722,1,Данные!$A$2:$A$722,"&gt;="&amp;77233555000,Данные!$A$2:$A$722,"&lt;="&amp;77233556999)</f>
        <v>0</v>
      </c>
      <c r="AA159" s="65" t="n">
        <f aca="false">COUNTIFS(Данные!$B$2:$B$722,87,Данные!$C$2:$C$722,1,Данные!$A$2:$A$722,"&gt;="&amp;77233726000,Данные!$A$2:$A$722,"&lt;="&amp;77233726999)</f>
        <v>0</v>
      </c>
      <c r="AB159" s="65" t="n">
        <f aca="false">COUNTIFS(Данные!$B$2:$B$722,87,Данные!$C$2:$C$722,1,Данные!$A$2:$A$722,"&gt;="&amp;77233820000,Данные!$A$2:$A$722,"&lt;="&amp;77233820999)</f>
        <v>0</v>
      </c>
      <c r="AC159" s="65" t="n">
        <f aca="false">COUNTIFS(Данные!$B$2:$B$722,87,Данные!$C$2:$C$722,1,Данные!$A$2:$A$722,"&gt;="&amp;77233850000,Данные!$A$2:$A$722,"&lt;="&amp;77233850999)</f>
        <v>0</v>
      </c>
      <c r="AD159" s="65" t="n">
        <f aca="false">COUNTIFS(Данные!$B$2:$B$722,87,Данные!$C$2:$C$722,1,Данные!$A$2:$A$722,"&gt;="&amp;77233420000,Данные!$A$2:$A$722,"&lt;="&amp;77233420999)</f>
        <v>0</v>
      </c>
      <c r="AE159" s="65" t="n">
        <f aca="false">COUNTIFS(Данные!$B$2:$B$722,87,Данные!$C$2:$C$722,1,Данные!$A$2:$A$722,"&gt;="&amp;77234740000,Данные!$A$2:$A$722,"&lt;="&amp;77234742999)</f>
        <v>0</v>
      </c>
      <c r="AF159" s="65" t="n">
        <f aca="false">COUNTIFS(Данные!$B$2:$B$722,87,Данные!$C$2:$C$722,1,Данные!$A$2:$A$722,"&gt;="&amp;77234767000,Данные!$A$2:$A$722,"&lt;="&amp;77234767999)</f>
        <v>0</v>
      </c>
      <c r="AG159" s="65" t="n">
        <f aca="false">COUNTIFS(Данные!$B$2:$B$722,87,Данные!$C$2:$C$722,1,Данные!$A$2:$A$722,"&gt;="&amp;77234120000,Данные!$A$2:$A$722,"&lt;="&amp;77234120999)</f>
        <v>0</v>
      </c>
      <c r="AH159" s="65" t="n">
        <f aca="false">COUNTIFS(Данные!$B$2:$B$722,87,Данные!$C$2:$C$722,1,Данные!$A$2:$A$722,"&gt;="&amp;77234127000,Данные!$A$2:$A$722,"&lt;="&amp;77234127999)</f>
        <v>0</v>
      </c>
      <c r="AI159" s="65" t="n">
        <f aca="false">COUNTIFS(Данные!$B$2:$B$722,87,Данные!$C$2:$C$722,1,Данные!$A$2:$A$722,"&gt;="&amp;77234220000,Данные!$A$2:$A$722,"&lt;="&amp;77234220999)</f>
        <v>0</v>
      </c>
      <c r="AJ159" s="65" t="n">
        <f aca="false">COUNTIFS(Данные!$B$2:$B$722,87,Данные!$C$2:$C$722,1,Данные!$A$2:$A$722,"&gt;="&amp;77234250000,Данные!$A$2:$A$722,"&lt;="&amp;77234250999)</f>
        <v>0</v>
      </c>
      <c r="AK159" s="65" t="n">
        <f aca="false">COUNTIFS(Данные!$B$2:$B$722,87,Данные!$C$2:$C$722,1,Данные!$A$2:$A$722,"&gt;="&amp;77233922950,Данные!$A$2:$A$722,"&lt;="&amp;77233924999)</f>
        <v>0</v>
      </c>
      <c r="AL159" s="65" t="n">
        <f aca="false">COUNTIFS(Данные!$B$2:$B$722,87,Данные!$C$2:$C$722,1,Данные!$A$2:$A$722,"&gt;="&amp;77234320000,Данные!$A$2:$A$722,"&lt;="&amp;77234320999)</f>
        <v>0</v>
      </c>
      <c r="AM159" s="65" t="n">
        <f aca="false">COUNTIFS(Данные!$B$2:$B$722,87,Данные!$C$2:$C$722,1,Данные!$A$2:$A$722,"&gt;="&amp;77234350000,Данные!$A$2:$A$722,"&lt;="&amp;77234350999)</f>
        <v>0</v>
      </c>
      <c r="AN159" s="65" t="n">
        <f aca="false">COUNTIFS(Данные!$B$2:$B$722,87,Данные!$C$2:$C$722,1,Данные!$A$2:$A$722,"&gt;="&amp;77234020000,Данные!$A$2:$A$722,"&lt;="&amp;77234020999)</f>
        <v>0</v>
      </c>
      <c r="AO159" s="65" t="n">
        <f aca="false">COUNTIFS(Данные!$B$2:$B$722,87,Данные!$C$2:$C$722,1,Данные!$A$2:$A$722,"&gt;="&amp;77234029000,Данные!$A$2:$A$722,"&lt;="&amp;77234029999)</f>
        <v>0</v>
      </c>
      <c r="AP159" s="65" t="n">
        <f aca="false">COUNTIFS(Данные!$B$2:$B$722,87,Данные!$C$2:$C$722,1,Данные!$A$2:$A$722,"&gt;="&amp;77234050000,Данные!$A$2:$A$722,"&lt;="&amp;77234050999)</f>
        <v>0</v>
      </c>
      <c r="AQ159" s="65" t="n">
        <f aca="false">COUNTIFS(Данные!$B$2:$B$722,87,Данные!$C$2:$C$722,1,Данные!$A$2:$A$722,"&gt;="&amp;77234427000,Данные!$A$2:$A$722,"&lt;="&amp;77234428999)</f>
        <v>0</v>
      </c>
      <c r="AR159" s="65" t="n">
        <f aca="false">COUNTIFS(Данные!$B$2:$B$722,87,Данные!$C$2:$C$722,1,Данные!$A$2:$A$722,"&gt;="&amp;77234450000,Данные!$A$2:$A$722,"&lt;="&amp;77234450999)</f>
        <v>0</v>
      </c>
      <c r="AS159" s="65" t="n">
        <f aca="false">COUNTIFS(Данные!$B$2:$B$722,87,Данные!$C$2:$C$722,1,Данные!$A$2:$A$722,"&gt;="&amp;77234620000,Данные!$A$2:$A$722,"&lt;="&amp;77234620999)</f>
        <v>0</v>
      </c>
      <c r="AT159" s="65" t="n">
        <f aca="false">COUNTIFS(Данные!$B$2:$B$722,87,Данные!$C$2:$C$722,1,Данные!$A$2:$A$722,"&gt;="&amp;77234650000,Данные!$A$2:$A$722,"&lt;="&amp;77234650999)</f>
        <v>0</v>
      </c>
      <c r="AU159" s="65" t="n">
        <f aca="false">COUNTIFS(Данные!$B$2:$B$722,87,Данные!$C$2:$C$722,1,Данные!$A$2:$A$722,"&gt;="&amp;77234820000,Данные!$A$2:$A$722,"&lt;="&amp;77234820999)</f>
        <v>0</v>
      </c>
      <c r="AV159" s="65" t="n">
        <f aca="false">COUNTIFS(Данные!$B$2:$B$722,87,Данные!$C$2:$C$722,1,Данные!$A$2:$A$722,"&gt;="&amp;77234850000,Данные!$A$2:$A$722,"&lt;="&amp;77234850999)</f>
        <v>0</v>
      </c>
      <c r="AW159" s="65" t="n">
        <f aca="false">COUNTIFS(Данные!$B$2:$B$722,87,Данные!$C$2:$C$722,1,Данные!$A$2:$A$722,"&gt;="&amp;77233327000,Данные!$A$2:$A$722,"&lt;="&amp;77233327999)</f>
        <v>0</v>
      </c>
      <c r="AX159" s="65" t="n">
        <f aca="false">COUNTIFS(Данные!$B$2:$B$722,87,Данные!$C$2:$C$722,1,Данные!$A$2:$A$722,"&gt;="&amp;77233350000,Данные!$A$2:$A$722,"&lt;="&amp;77233350599)</f>
        <v>0</v>
      </c>
      <c r="AY159" s="65" t="n">
        <f aca="false">COUNTIFS(Данные!$B$2:$B$722,87,Данные!$C$2:$C$722,1,Данные!$A$2:$A$722,"&gt;="&amp;77233351000,Данные!$A$2:$A$722,"&lt;="&amp;77233351999)</f>
        <v>0</v>
      </c>
      <c r="AZ159" s="66" t="n">
        <f aca="false">COUNTIFS(Данные!$B$2:$B$722,87,Данные!$C$2:$C$722,1,Данные!$A$2:$A$722,"&gt;="&amp;7722440000,Данные!$A$2:$A$722,"&lt;="&amp;7722440999)</f>
        <v>0</v>
      </c>
      <c r="BA159" s="66" t="n">
        <f aca="false">COUNTIFS(Данные!$B$2:$B$722,87,Данные!$C$2:$C$722,1,Данные!$A$2:$A$722,"&gt;="&amp;7722442000,Данные!$A$2:$A$722,"&lt;="&amp;7722445659)</f>
        <v>0</v>
      </c>
      <c r="BB159" s="66" t="n">
        <f aca="false">COUNTIFS(Данные!$B$2:$B$722,87,Данные!$C$2:$C$722,1,Данные!$A$2:$A$722,"&gt;="&amp;7722450000,Данные!$A$2:$A$722,"&lt;="&amp;7722450199)</f>
        <v>0</v>
      </c>
      <c r="BC159" s="66" t="n">
        <f aca="false">COUNTIFS(Данные!$B$2:$B$722,87,Данные!$C$2:$C$722,1,Данные!$A$2:$A$722,"&gt;="&amp;7722451000,Данные!$A$2:$A$722,"&lt;="&amp;7722451374)</f>
        <v>0</v>
      </c>
      <c r="BD159" s="66" t="n">
        <f aca="false">COUNTIFS(Данные!$B$2:$B$722,87,Данные!$C$2:$C$722,1,Данные!$A$2:$A$722,"&gt;="&amp;7722452000,Данные!$A$2:$A$722,"&lt;="&amp;7722452299)</f>
        <v>0</v>
      </c>
      <c r="BE159" s="66" t="n">
        <f aca="false">COUNTIFS(Данные!$B$2:$B$722,87,Данные!$C$2:$C$722,1,Данные!$A$2:$A$722,"&gt;="&amp;7722453000,Данные!$A$2:$A$722,"&lt;="&amp;7722453816)</f>
        <v>0</v>
      </c>
      <c r="BF159" s="66" t="n">
        <f aca="false">COUNTIFS(Данные!$B$2:$B$722,87,Данные!$C$2:$C$722,1,Данные!$A$2:$A$722,"&gt;="&amp;7722454000,Данные!$A$2:$A$722,"&lt;="&amp;7722454099)</f>
        <v>0</v>
      </c>
      <c r="BG159" s="66" t="n">
        <f aca="false">COUNTIFS(Данные!$B$2:$B$722,87,Данные!$C$2:$C$722,1,Данные!$A$2:$A$722,"&gt;="&amp;7722458000,Данные!$A$2:$A$722,"&lt;="&amp;7722458999)</f>
        <v>0</v>
      </c>
      <c r="BH159" s="66" t="n">
        <f aca="false">COUNTIFS(Данные!$B$2:$B$722,87,Данные!$C$2:$C$722,1,Данные!$A$2:$A$722,"&gt;="&amp;7722630000,Данные!$A$2:$A$722,"&lt;="&amp;7722638549)</f>
        <v>0</v>
      </c>
      <c r="BI159" s="66" t="n">
        <f aca="false">COUNTIFS(Данные!$B$2:$B$722,87,Данные!$C$2:$C$722,1,Данные!$A$2:$A$722,"&gt;="&amp;7722639400,Данные!$A$2:$A$722,"&lt;="&amp;7722639899)</f>
        <v>0</v>
      </c>
      <c r="BJ159" s="66" t="n">
        <f aca="false">COUNTIFS(Данные!$B$2:$B$722,87,Данные!$C$2:$C$722,1,Данные!$A$2:$A$722,"&gt;="&amp;7725750000,Данные!$A$2:$A$722,"&lt;="&amp;7725750399)</f>
        <v>0</v>
      </c>
      <c r="BK159" s="66" t="n">
        <f aca="false">COUNTIFS(Данные!$B$2:$B$722,87,Данные!$C$2:$C$722,1,Данные!$A$2:$A$722,"&gt;="&amp;7723620000,Данные!$A$2:$A$722,"&lt;="&amp;7723621299)</f>
        <v>0</v>
      </c>
      <c r="BL159" s="66" t="n">
        <f aca="false">COUNTIFS(Данные!$B$2:$B$722,87,Данные!$C$2:$C$722,1,Данные!$A$2:$A$722,"&gt;="&amp;7723621600,Данные!$A$2:$A$722,"&lt;="&amp;7723623399)</f>
        <v>0</v>
      </c>
      <c r="BM159" s="66" t="n">
        <f aca="false">COUNTIFS(Данные!$B$2:$B$722,87,Данные!$C$2:$C$722,1,Данные!$A$2:$A$722,"&gt;="&amp;7725127000,Данные!$A$2:$A$722,"&lt;="&amp;7725127999)</f>
        <v>0</v>
      </c>
      <c r="BN159" s="66" t="n">
        <f aca="false">COUNTIFS(Данные!$B$2:$B$722,87,Данные!$C$2:$C$722,1,Данные!$A$2:$A$722,"&gt;="&amp;7723772000,Данные!$A$2:$A$722,"&lt;="&amp;7723724999)</f>
        <v>0</v>
      </c>
      <c r="BO159" s="65" t="n">
        <f aca="false">COUNTIFS(Данные!$B$2:$B$722,87,Данные!$C$2:$C$722,1,Данные!$A$2:$A$722,"&gt;="&amp;7723765000,Данные!$A$2:$A$722,"&lt;="&amp;7723765499)</f>
        <v>0</v>
      </c>
      <c r="BP159" s="66" t="n">
        <f aca="false">COUNTIFS(Данные!$B$2:$B$722,87,Данные!$C$2:$C$722,1,Данные!$A$2:$A$722,"&gt;="&amp;7723948000,Данные!$A$2:$A$722,"&lt;="&amp;7723948999)</f>
        <v>0</v>
      </c>
      <c r="BQ159" s="66" t="n">
        <f aca="false">COUNTIFS(Данные!$B$2:$B$722,87,Данные!$C$2:$C$722,1,Данные!$A$2:$A$722,"&gt;="&amp;7723950000,Данные!$A$2:$A$722,"&lt;="&amp;7723951099)</f>
        <v>0</v>
      </c>
      <c r="BR159" s="66" t="n">
        <f aca="false">COUNTIFS(Данные!$B$2:$B$722,87,Данные!$C$2:$C$722,1,Данные!$A$2:$A$722,"&gt;="&amp;7723020000,Данные!$A$2:$A$722,"&lt;="&amp;7723020999)</f>
        <v>0</v>
      </c>
      <c r="BS159" s="66" t="n">
        <f aca="false">COUNTIFS(Данные!$B$2:$B$722,87,Данные!$C$2:$C$722,1,Данные!$A$2:$A$722,"&gt;="&amp;7723029000,Данные!$A$2:$A$722,"&lt;="&amp;7723029999)</f>
        <v>0</v>
      </c>
      <c r="BT159" s="66" t="n">
        <f aca="false">COUNTIFS(Данные!$B$2:$B$722,87,Данные!$C$2:$C$722,1,Данные!$A$2:$A$722,"&gt;="&amp;7723055000,Данные!$A$2:$A$722,"&lt;="&amp;7723056549)</f>
        <v>0</v>
      </c>
      <c r="BU159" s="65" t="n">
        <f aca="false">COUNTIFS(Данные!$B$2:$B$722,87,Данные!$C$2:$C$722,1,Данные!$A$2:$A$722,"&gt;="&amp;7725250000,Данные!$A$2:$A$722,"&lt;="&amp;7725250499)</f>
        <v>0</v>
      </c>
      <c r="BV159" s="66" t="n">
        <f aca="false">COUNTIFS(Данные!$B$2:$B$722,87,Данные!$C$2:$C$722,1,Данные!$A$2:$A$722,"&gt;="&amp;7183841400,Данные!$A$2:$A$722,"&lt;="&amp;7183841499)</f>
        <v>0</v>
      </c>
      <c r="BW159" s="49" t="n">
        <v>300</v>
      </c>
      <c r="BX159" s="67" t="n">
        <f aca="false">F159-BW159</f>
        <v>-300</v>
      </c>
    </row>
    <row r="160" s="15" customFormat="true" ht="12" hidden="false" customHeight="true" outlineLevel="0" collapsed="false">
      <c r="A160" s="47"/>
      <c r="B160" s="48"/>
      <c r="C160" s="50" t="n">
        <v>2</v>
      </c>
      <c r="D160" s="50" t="n">
        <v>872</v>
      </c>
      <c r="E160" s="51"/>
      <c r="F160" s="65" t="n">
        <f aca="false">COUNTIFS(Данные!$B$2:$B$722,87,Данные!$C$2:$C$722,2)</f>
        <v>0</v>
      </c>
      <c r="G160" s="65" t="n">
        <f aca="false">COUNTIFS(Данные!$B$2:$B$722,87,Данные!$C$2:$C$722,2,Данные!$A$2:$A$722,"&gt;="&amp;77232210840,Данные!$A$2:$A$722,"&lt;="&amp;77232216999)</f>
        <v>0</v>
      </c>
      <c r="H160" s="65" t="n">
        <f aca="false">COUNTIFS(Данные!$B$2:$B$722,87,Данные!$C$2:$C$722,2,Данные!$A$2:$A$722,"&gt;="&amp;77232510512,Данные!$A$2:$A$722,"&lt;="&amp;77232519487)</f>
        <v>0</v>
      </c>
      <c r="I160" s="65" t="n">
        <f aca="false">COUNTIFS(Данные!$B$2:$B$722,87,Данные!$C$2:$C$722,2,Данные!$A$2:$A$722,"&gt;="&amp;77232524160,Данные!$A$2:$A$722,"&lt;="&amp;77232529999)</f>
        <v>0</v>
      </c>
      <c r="J160" s="65" t="n">
        <f aca="false">COUNTIFS(Данные!$B$2:$B$722,87,Данные!$C$2:$C$722,2,Данные!$A$2:$A$722,"&gt;="&amp;77232544000,Данные!$A$2:$A$722,"&lt;="&amp;77232544999)</f>
        <v>0</v>
      </c>
      <c r="K160" s="65" t="n">
        <f aca="false">COUNTIFS(Данные!$B$2:$B$722,87,Данные!$C$2:$C$722,2,Данные!$A$2:$A$722,"&gt;="&amp;77232295504,Данные!$A$2:$A$722,"&lt;="&amp;77232296999)</f>
        <v>0</v>
      </c>
      <c r="L160" s="65" t="n">
        <f aca="false">COUNTIFS(Данные!$B$2:$B$722,87,Данные!$C$2:$C$722,2,Данные!$A$2:$A$722,"&gt;="&amp;77232785000,Данные!$A$2:$A$722,"&lt;="&amp;77232789999)</f>
        <v>0</v>
      </c>
      <c r="M160" s="65" t="n">
        <f aca="false">COUNTIFS(Данные!$B$2:$B$722,87,Данные!$C$2:$C$722,2,Данные!$A$2:$A$722,"&gt;="&amp;77233150000,Данные!$A$2:$A$722,"&lt;="&amp;77233155999)</f>
        <v>0</v>
      </c>
      <c r="N160" s="65" t="n">
        <f aca="false">COUNTIFS(Данные!$B$2:$B$722,87,Данные!$C$2:$C$722,2,Данные!$A$2:$A$722,"&gt;="&amp;77233235000,Данные!$A$2:$A$722,"&lt;="&amp;77233235999)</f>
        <v>0</v>
      </c>
      <c r="O160" s="65" t="n">
        <f aca="false">COUNTIFS(Данные!$B$2:$B$722,87,Данные!$C$2:$C$722,2,Данные!$A$2:$A$722,"&gt;="&amp;77233239000,Данные!$A$2:$A$722,"&lt;="&amp;77233239999)</f>
        <v>0</v>
      </c>
      <c r="P160" s="65" t="n">
        <f aca="false">COUNTIFS(Данные!$B$2:$B$722,87,Данные!$C$2:$C$722,2,Данные!$A$2:$A$722,"&gt;="&amp;77233272000,Данные!$A$2:$A$722,"&lt;="&amp;77233272999)</f>
        <v>0</v>
      </c>
      <c r="Q160" s="65" t="n">
        <f aca="false">COUNTIFS(Данные!$B$2:$B$722,87,Данные!$C$2:$C$722,2,Данные!$A$2:$A$722,"&gt;="&amp;77233291100,Данные!$A$2:$A$722,"&lt;="&amp;77233292999)</f>
        <v>0</v>
      </c>
      <c r="R160" s="65" t="n">
        <f aca="false">COUNTIFS(Данные!$B$2:$B$722,87,Данные!$C$2:$C$722,2,Данные!$A$2:$A$722,"&gt;="&amp;77233297000,Данные!$A$2:$A$722,"&lt;="&amp;77233298399)</f>
        <v>0</v>
      </c>
      <c r="S160" s="65" t="n">
        <f aca="false">COUNTIFS(Данные!$B$2:$B$722,87,Данные!$C$2:$C$722,2,Данные!$A$2:$A$722,"&gt;="&amp;77235124000,Данные!$A$2:$A$722,"&lt;="&amp;77235128499)</f>
        <v>0</v>
      </c>
      <c r="T160" s="65" t="n">
        <f aca="false">COUNTIFS(Данные!$B$2:$B$722,87,Данные!$C$2:$C$722,2,Данные!$A$2:$A$722,"&gt;="&amp;77235320000,Данные!$A$2:$A$722,"&lt;="&amp;77235320999)</f>
        <v>0</v>
      </c>
      <c r="U160" s="65" t="n">
        <f aca="false">COUNTIFS(Данные!$B$2:$B$722,87,Данные!$C$2:$C$722,2,Данные!$A$2:$A$722,"&gt;="&amp;77233620000,Данные!$A$2:$A$722,"&lt;="&amp;77233623339)</f>
        <v>0</v>
      </c>
      <c r="V160" s="65" t="n">
        <f aca="false">COUNTIFS(Данные!$B$2:$B$722,87,Данные!$C$2:$C$722,2,Данные!$A$2:$A$722,"&gt;="&amp;77233630000,Данные!$A$2:$A$722,"&lt;="&amp;77233630999)</f>
        <v>0</v>
      </c>
      <c r="W160" s="65" t="n">
        <f aca="false">COUNTIFS(Данные!$B$2:$B$722,87,Данные!$C$2:$C$722,2,Данные!$A$2:$A$722,"&gt;="&amp;77233637000,Данные!$A$2:$A$722,"&lt;="&amp;77233637599)</f>
        <v>0</v>
      </c>
      <c r="X160" s="65" t="n">
        <f aca="false">COUNTIFS(Данные!$B$2:$B$722,87,Данные!$C$2:$C$722,2,Данные!$A$2:$A$722,"&gt;="&amp;77233550000,Данные!$A$2:$A$722,"&lt;="&amp;77233550999)</f>
        <v>0</v>
      </c>
      <c r="Y160" s="65" t="n">
        <f aca="false">COUNTIFS(Данные!$B$2:$B$722,87,Данные!$C$2:$C$722,2,Данные!$A$2:$A$722,"&gt;="&amp;77233554000,Данные!$A$2:$A$722,"&lt;="&amp;77233554999)</f>
        <v>0</v>
      </c>
      <c r="Z160" s="65" t="n">
        <f aca="false">COUNTIFS(Данные!$B$2:$B$722,87,Данные!$C$2:$C$722,2,Данные!$A$2:$A$722,"&gt;="&amp;77233555000,Данные!$A$2:$A$722,"&lt;="&amp;77233556999)</f>
        <v>0</v>
      </c>
      <c r="AA160" s="65" t="n">
        <f aca="false">COUNTIFS(Данные!$B$2:$B$722,87,Данные!$C$2:$C$722,2,Данные!$A$2:$A$722,"&gt;="&amp;77233726000,Данные!$A$2:$A$722,"&lt;="&amp;77233726999)</f>
        <v>0</v>
      </c>
      <c r="AB160" s="65" t="n">
        <f aca="false">COUNTIFS(Данные!$B$2:$B$722,87,Данные!$C$2:$C$722,2,Данные!$A$2:$A$722,"&gt;="&amp;77233820000,Данные!$A$2:$A$722,"&lt;="&amp;77233820999)</f>
        <v>0</v>
      </c>
      <c r="AC160" s="65" t="n">
        <f aca="false">COUNTIFS(Данные!$B$2:$B$722,87,Данные!$C$2:$C$722,2,Данные!$A$2:$A$722,"&gt;="&amp;77233850000,Данные!$A$2:$A$722,"&lt;="&amp;77233850999)</f>
        <v>0</v>
      </c>
      <c r="AD160" s="65" t="n">
        <f aca="false">COUNTIFS(Данные!$B$2:$B$722,87,Данные!$C$2:$C$722,2,Данные!$A$2:$A$722,"&gt;="&amp;77233420000,Данные!$A$2:$A$722,"&lt;="&amp;77233420999)</f>
        <v>0</v>
      </c>
      <c r="AE160" s="65" t="n">
        <f aca="false">COUNTIFS(Данные!$B$2:$B$722,87,Данные!$C$2:$C$722,2,Данные!$A$2:$A$722,"&gt;="&amp;77234740000,Данные!$A$2:$A$722,"&lt;="&amp;77234742999)</f>
        <v>0</v>
      </c>
      <c r="AF160" s="65" t="n">
        <f aca="false">COUNTIFS(Данные!$B$2:$B$722,87,Данные!$C$2:$C$722,2,Данные!$A$2:$A$722,"&gt;="&amp;77234767000,Данные!$A$2:$A$722,"&lt;="&amp;77234767999)</f>
        <v>0</v>
      </c>
      <c r="AG160" s="65" t="n">
        <f aca="false">COUNTIFS(Данные!$B$2:$B$722,87,Данные!$C$2:$C$722,2,Данные!$A$2:$A$722,"&gt;="&amp;77234120000,Данные!$A$2:$A$722,"&lt;="&amp;77234120999)</f>
        <v>0</v>
      </c>
      <c r="AH160" s="65" t="n">
        <f aca="false">COUNTIFS(Данные!$B$2:$B$722,87,Данные!$C$2:$C$722,2,Данные!$A$2:$A$722,"&gt;="&amp;77234127000,Данные!$A$2:$A$722,"&lt;="&amp;77234127999)</f>
        <v>0</v>
      </c>
      <c r="AI160" s="65" t="n">
        <f aca="false">COUNTIFS(Данные!$B$2:$B$722,87,Данные!$C$2:$C$722,2,Данные!$A$2:$A$722,"&gt;="&amp;77234220000,Данные!$A$2:$A$722,"&lt;="&amp;77234220999)</f>
        <v>0</v>
      </c>
      <c r="AJ160" s="65" t="n">
        <f aca="false">COUNTIFS(Данные!$B$2:$B$722,87,Данные!$C$2:$C$722,2,Данные!$A$2:$A$722,"&gt;="&amp;77234250000,Данные!$A$2:$A$722,"&lt;="&amp;77234250999)</f>
        <v>0</v>
      </c>
      <c r="AK160" s="65" t="n">
        <f aca="false">COUNTIFS(Данные!$B$2:$B$722,87,Данные!$C$2:$C$722,2,Данные!$A$2:$A$722,"&gt;="&amp;77233922950,Данные!$A$2:$A$722,"&lt;="&amp;77233924999)</f>
        <v>0</v>
      </c>
      <c r="AL160" s="65" t="n">
        <f aca="false">COUNTIFS(Данные!$B$2:$B$722,87,Данные!$C$2:$C$722,2,Данные!$A$2:$A$722,"&gt;="&amp;77234320000,Данные!$A$2:$A$722,"&lt;="&amp;77234320999)</f>
        <v>0</v>
      </c>
      <c r="AM160" s="65" t="n">
        <f aca="false">COUNTIFS(Данные!$B$2:$B$722,87,Данные!$C$2:$C$722,2,Данные!$A$2:$A$722,"&gt;="&amp;77234350000,Данные!$A$2:$A$722,"&lt;="&amp;77234350999)</f>
        <v>0</v>
      </c>
      <c r="AN160" s="65" t="n">
        <f aca="false">COUNTIFS(Данные!$B$2:$B$722,87,Данные!$C$2:$C$722,2,Данные!$A$2:$A$722,"&gt;="&amp;77234020000,Данные!$A$2:$A$722,"&lt;="&amp;77234020999)</f>
        <v>0</v>
      </c>
      <c r="AO160" s="65" t="n">
        <f aca="false">COUNTIFS(Данные!$B$2:$B$722,87,Данные!$C$2:$C$722,2,Данные!$A$2:$A$722,"&gt;="&amp;77234029000,Данные!$A$2:$A$722,"&lt;="&amp;77234029999)</f>
        <v>0</v>
      </c>
      <c r="AP160" s="65" t="n">
        <f aca="false">COUNTIFS(Данные!$B$2:$B$722,87,Данные!$C$2:$C$722,2,Данные!$A$2:$A$722,"&gt;="&amp;77234050000,Данные!$A$2:$A$722,"&lt;="&amp;77234050999)</f>
        <v>0</v>
      </c>
      <c r="AQ160" s="65" t="n">
        <f aca="false">COUNTIFS(Данные!$B$2:$B$722,87,Данные!$C$2:$C$722,2,Данные!$A$2:$A$722,"&gt;="&amp;77234427000,Данные!$A$2:$A$722,"&lt;="&amp;77234428999)</f>
        <v>0</v>
      </c>
      <c r="AR160" s="65" t="n">
        <f aca="false">COUNTIFS(Данные!$B$2:$B$722,87,Данные!$C$2:$C$722,2,Данные!$A$2:$A$722,"&gt;="&amp;77234450000,Данные!$A$2:$A$722,"&lt;="&amp;77234450999)</f>
        <v>0</v>
      </c>
      <c r="AS160" s="65" t="n">
        <f aca="false">COUNTIFS(Данные!$B$2:$B$722,87,Данные!$C$2:$C$722,2,Данные!$A$2:$A$722,"&gt;="&amp;77234620000,Данные!$A$2:$A$722,"&lt;="&amp;77234620999)</f>
        <v>0</v>
      </c>
      <c r="AT160" s="65" t="n">
        <f aca="false">COUNTIFS(Данные!$B$2:$B$722,87,Данные!$C$2:$C$722,2,Данные!$A$2:$A$722,"&gt;="&amp;77234650000,Данные!$A$2:$A$722,"&lt;="&amp;77234650999)</f>
        <v>0</v>
      </c>
      <c r="AU160" s="65" t="n">
        <f aca="false">COUNTIFS(Данные!$B$2:$B$722,87,Данные!$C$2:$C$722,2,Данные!$A$2:$A$722,"&gt;="&amp;77234820000,Данные!$A$2:$A$722,"&lt;="&amp;77234820999)</f>
        <v>0</v>
      </c>
      <c r="AV160" s="65" t="n">
        <f aca="false">COUNTIFS(Данные!$B$2:$B$722,87,Данные!$C$2:$C$722,2,Данные!$A$2:$A$722,"&gt;="&amp;77234850000,Данные!$A$2:$A$722,"&lt;="&amp;77234850999)</f>
        <v>0</v>
      </c>
      <c r="AW160" s="65" t="n">
        <f aca="false">COUNTIFS(Данные!$B$2:$B$722,87,Данные!$C$2:$C$722,2,Данные!$A$2:$A$722,"&gt;="&amp;77233327000,Данные!$A$2:$A$722,"&lt;="&amp;77233327999)</f>
        <v>0</v>
      </c>
      <c r="AX160" s="65" t="n">
        <f aca="false">COUNTIFS(Данные!$B$2:$B$722,87,Данные!$C$2:$C$722,2,Данные!$A$2:$A$722,"&gt;="&amp;77233350000,Данные!$A$2:$A$722,"&lt;="&amp;77233350599)</f>
        <v>0</v>
      </c>
      <c r="AY160" s="65" t="n">
        <f aca="false">COUNTIFS(Данные!$B$2:$B$722,87,Данные!$C$2:$C$722,2,Данные!$A$2:$A$722,"&gt;="&amp;77233351000,Данные!$A$2:$A$722,"&lt;="&amp;77233351999)</f>
        <v>0</v>
      </c>
      <c r="AZ160" s="66" t="n">
        <f aca="false">COUNTIFS(Данные!$B$2:$B$722,87,Данные!$C$2:$C$722,2,Данные!$A$2:$A$722,"&gt;="&amp;7722440000,Данные!$A$2:$A$722,"&lt;="&amp;7722440999)</f>
        <v>0</v>
      </c>
      <c r="BA160" s="66" t="n">
        <f aca="false">COUNTIFS(Данные!$B$2:$B$722,87,Данные!$C$2:$C$722,2,Данные!$A$2:$A$722,"&gt;="&amp;7722442000,Данные!$A$2:$A$722,"&lt;="&amp;7722445659)</f>
        <v>0</v>
      </c>
      <c r="BB160" s="66" t="n">
        <f aca="false">COUNTIFS(Данные!$B$2:$B$722,87,Данные!$C$2:$C$722,2,Данные!$A$2:$A$722,"&gt;="&amp;7722450000,Данные!$A$2:$A$722,"&lt;="&amp;7722450199)</f>
        <v>0</v>
      </c>
      <c r="BC160" s="66" t="n">
        <f aca="false">COUNTIFS(Данные!$B$2:$B$722,87,Данные!$C$2:$C$722,2,Данные!$A$2:$A$722,"&gt;="&amp;7722451000,Данные!$A$2:$A$722,"&lt;="&amp;7722451374)</f>
        <v>0</v>
      </c>
      <c r="BD160" s="66" t="n">
        <f aca="false">COUNTIFS(Данные!$B$2:$B$722,87,Данные!$C$2:$C$722,2,Данные!$A$2:$A$722,"&gt;="&amp;7722452000,Данные!$A$2:$A$722,"&lt;="&amp;7722452299)</f>
        <v>0</v>
      </c>
      <c r="BE160" s="66" t="n">
        <f aca="false">COUNTIFS(Данные!$B$2:$B$722,87,Данные!$C$2:$C$722,2,Данные!$A$2:$A$722,"&gt;="&amp;7722453000,Данные!$A$2:$A$722,"&lt;="&amp;7722453816)</f>
        <v>0</v>
      </c>
      <c r="BF160" s="66" t="n">
        <f aca="false">COUNTIFS(Данные!$B$2:$B$722,87,Данные!$C$2:$C$722,2,Данные!$A$2:$A$722,"&gt;="&amp;7722454000,Данные!$A$2:$A$722,"&lt;="&amp;7722454099)</f>
        <v>0</v>
      </c>
      <c r="BG160" s="66" t="n">
        <f aca="false">COUNTIFS(Данные!$B$2:$B$722,87,Данные!$C$2:$C$722,2,Данные!$A$2:$A$722,"&gt;="&amp;7722458000,Данные!$A$2:$A$722,"&lt;="&amp;7722458999)</f>
        <v>0</v>
      </c>
      <c r="BH160" s="66" t="n">
        <f aca="false">COUNTIFS(Данные!$B$2:$B$722,87,Данные!$C$2:$C$722,2,Данные!$A$2:$A$722,"&gt;="&amp;7722630000,Данные!$A$2:$A$722,"&lt;="&amp;7722638549)</f>
        <v>0</v>
      </c>
      <c r="BI160" s="66" t="n">
        <f aca="false">COUNTIFS(Данные!$B$2:$B$722,87,Данные!$C$2:$C$722,2,Данные!$A$2:$A$722,"&gt;="&amp;7722639400,Данные!$A$2:$A$722,"&lt;="&amp;7722639899)</f>
        <v>0</v>
      </c>
      <c r="BJ160" s="66" t="n">
        <f aca="false">COUNTIFS(Данные!$B$2:$B$722,87,Данные!$C$2:$C$722,2,Данные!$A$2:$A$722,"&gt;="&amp;7725750000,Данные!$A$2:$A$722,"&lt;="&amp;7725750399)</f>
        <v>0</v>
      </c>
      <c r="BK160" s="66" t="n">
        <f aca="false">COUNTIFS(Данные!$B$2:$B$722,87,Данные!$C$2:$C$722,2,Данные!$A$2:$A$722,"&gt;="&amp;7723620000,Данные!$A$2:$A$722,"&lt;="&amp;7723621299)</f>
        <v>0</v>
      </c>
      <c r="BL160" s="66" t="n">
        <f aca="false">COUNTIFS(Данные!$B$2:$B$722,87,Данные!$C$2:$C$722,2,Данные!$A$2:$A$722,"&gt;="&amp;7723621600,Данные!$A$2:$A$722,"&lt;="&amp;7723623399)</f>
        <v>0</v>
      </c>
      <c r="BM160" s="66" t="n">
        <f aca="false">COUNTIFS(Данные!$B$2:$B$722,87,Данные!$C$2:$C$722,2,Данные!$A$2:$A$722,"&gt;="&amp;7725127000,Данные!$A$2:$A$722,"&lt;="&amp;7725127999)</f>
        <v>0</v>
      </c>
      <c r="BN160" s="66" t="n">
        <f aca="false">COUNTIFS(Данные!$B$2:$B$722,87,Данные!$C$2:$C$722,2,Данные!$A$2:$A$722,"&gt;="&amp;7723772000,Данные!$A$2:$A$722,"&lt;="&amp;7723724999)</f>
        <v>0</v>
      </c>
      <c r="BO160" s="65" t="n">
        <f aca="false">COUNTIFS(Данные!$B$2:$B$722,87,Данные!$C$2:$C$722,2,Данные!$A$2:$A$722,"&gt;="&amp;7723765000,Данные!$A$2:$A$722,"&lt;="&amp;7723765499)</f>
        <v>0</v>
      </c>
      <c r="BP160" s="66" t="n">
        <f aca="false">COUNTIFS(Данные!$B$2:$B$722,87,Данные!$C$2:$C$722,2,Данные!$A$2:$A$722,"&gt;="&amp;7723948000,Данные!$A$2:$A$722,"&lt;="&amp;7723948999)</f>
        <v>0</v>
      </c>
      <c r="BQ160" s="66" t="n">
        <f aca="false">COUNTIFS(Данные!$B$2:$B$722,87,Данные!$C$2:$C$722,2,Данные!$A$2:$A$722,"&gt;="&amp;7723950000,Данные!$A$2:$A$722,"&lt;="&amp;7723951099)</f>
        <v>0</v>
      </c>
      <c r="BR160" s="66" t="n">
        <f aca="false">COUNTIFS(Данные!$B$2:$B$722,87,Данные!$C$2:$C$722,2,Данные!$A$2:$A$722,"&gt;="&amp;7723020000,Данные!$A$2:$A$722,"&lt;="&amp;7723020999)</f>
        <v>0</v>
      </c>
      <c r="BS160" s="66" t="n">
        <f aca="false">COUNTIFS(Данные!$B$2:$B$722,87,Данные!$C$2:$C$722,2,Данные!$A$2:$A$722,"&gt;="&amp;7723029000,Данные!$A$2:$A$722,"&lt;="&amp;7723029999)</f>
        <v>0</v>
      </c>
      <c r="BT160" s="66" t="n">
        <f aca="false">COUNTIFS(Данные!$B$2:$B$722,87,Данные!$C$2:$C$722,2,Данные!$A$2:$A$722,"&gt;="&amp;7723055000,Данные!$A$2:$A$722,"&lt;="&amp;7723056549)</f>
        <v>0</v>
      </c>
      <c r="BU160" s="65" t="n">
        <f aca="false">COUNTIFS(Данные!$B$2:$B$722,87,Данные!$C$2:$C$722,2,Данные!$A$2:$A$722,"&gt;="&amp;7725250000,Данные!$A$2:$A$722,"&lt;="&amp;7725250499)</f>
        <v>0</v>
      </c>
      <c r="BV160" s="66" t="n">
        <f aca="false">COUNTIFS(Данные!$B$2:$B$722,87,Данные!$C$2:$C$722,2,Данные!$A$2:$A$722,"&gt;="&amp;7183841400,Данные!$A$2:$A$722,"&lt;="&amp;7183841499)</f>
        <v>0</v>
      </c>
      <c r="BW160" s="49" t="n">
        <v>300</v>
      </c>
      <c r="BX160" s="67" t="n">
        <f aca="false">F160-BW160</f>
        <v>-300</v>
      </c>
    </row>
    <row r="161" s="15" customFormat="true" ht="12" hidden="false" customHeight="true" outlineLevel="0" collapsed="false">
      <c r="A161" s="38" t="n">
        <v>88</v>
      </c>
      <c r="B161" s="39" t="s">
        <v>113</v>
      </c>
      <c r="C161" s="41" t="n">
        <v>0</v>
      </c>
      <c r="D161" s="41" t="n">
        <v>880</v>
      </c>
      <c r="E161" s="42" t="n">
        <f aca="false">SUM(F161:F163)</f>
        <v>0</v>
      </c>
      <c r="F161" s="62" t="n">
        <f aca="false">COUNTIFS(Данные!$B$2:$B$722,88,Данные!$C$2:$C$722,0)</f>
        <v>0</v>
      </c>
      <c r="G161" s="62" t="n">
        <f aca="false">COUNTIFS(Данные!$B$2:$B$722,88,Данные!$C$2:$C$722,0,Данные!$A$2:$A$722,"&gt;="&amp;77232210840,Данные!$A$2:$A$722,"&lt;="&amp;77232216999)</f>
        <v>0</v>
      </c>
      <c r="H161" s="62" t="n">
        <f aca="false">COUNTIFS(Данные!$B$2:$B$722,88,Данные!$C$2:$C$722,0,Данные!$A$2:$A$722,"&gt;="&amp;77232510512,Данные!$A$2:$A$722,"&lt;="&amp;77232519487)</f>
        <v>0</v>
      </c>
      <c r="I161" s="62" t="n">
        <f aca="false">COUNTIFS(Данные!$B$2:$B$722,88,Данные!$C$2:$C$722,0,Данные!$A$2:$A$722,"&gt;="&amp;77232524160,Данные!$A$2:$A$722,"&lt;="&amp;77232529999)</f>
        <v>0</v>
      </c>
      <c r="J161" s="62" t="n">
        <f aca="false">COUNTIFS(Данные!$B$2:$B$722,88,Данные!$C$2:$C$722,0,Данные!$A$2:$A$722,"&gt;="&amp;77232544000,Данные!$A$2:$A$722,"&lt;="&amp;77232544999)</f>
        <v>0</v>
      </c>
      <c r="K161" s="62" t="n">
        <f aca="false">COUNTIFS(Данные!$B$2:$B$722,88,Данные!$C$2:$C$722,0,Данные!$A$2:$A$722,"&gt;="&amp;77232295504,Данные!$A$2:$A$722,"&lt;="&amp;77232296999)</f>
        <v>0</v>
      </c>
      <c r="L161" s="62" t="n">
        <f aca="false">COUNTIFS(Данные!$B$2:$B$722,88,Данные!$C$2:$C$722,0,Данные!$A$2:$A$722,"&gt;="&amp;77232785000,Данные!$A$2:$A$722,"&lt;="&amp;77232789999)</f>
        <v>0</v>
      </c>
      <c r="M161" s="62" t="n">
        <f aca="false">COUNTIFS(Данные!$B$2:$B$722,88,Данные!$C$2:$C$722,0,Данные!$A$2:$A$722,"&gt;="&amp;77233150000,Данные!$A$2:$A$722,"&lt;="&amp;77233155999)</f>
        <v>0</v>
      </c>
      <c r="N161" s="62" t="n">
        <f aca="false">COUNTIFS(Данные!$B$2:$B$722,88,Данные!$C$2:$C$722,0,Данные!$A$2:$A$722,"&gt;="&amp;77233235000,Данные!$A$2:$A$722,"&lt;="&amp;77233235999)</f>
        <v>0</v>
      </c>
      <c r="O161" s="62" t="n">
        <f aca="false">COUNTIFS(Данные!$B$2:$B$722,88,Данные!$C$2:$C$722,0,Данные!$A$2:$A$722,"&gt;="&amp;77233239000,Данные!$A$2:$A$722,"&lt;="&amp;77233239999)</f>
        <v>0</v>
      </c>
      <c r="P161" s="62" t="n">
        <f aca="false">COUNTIFS(Данные!$B$2:$B$722,88,Данные!$C$2:$C$722,0,Данные!$A$2:$A$722,"&gt;="&amp;77233272000,Данные!$A$2:$A$722,"&lt;="&amp;77233272999)</f>
        <v>0</v>
      </c>
      <c r="Q161" s="62" t="n">
        <f aca="false">COUNTIFS(Данные!$B$2:$B$722,88,Данные!$C$2:$C$722,0,Данные!$A$2:$A$722,"&gt;="&amp;77233291100,Данные!$A$2:$A$722,"&lt;="&amp;77233292999)</f>
        <v>0</v>
      </c>
      <c r="R161" s="62" t="n">
        <f aca="false">COUNTIFS(Данные!$B$2:$B$722,88,Данные!$C$2:$C$722,0,Данные!$A$2:$A$722,"&gt;="&amp;77233297000,Данные!$A$2:$A$722,"&lt;="&amp;77233298399)</f>
        <v>0</v>
      </c>
      <c r="S161" s="62" t="n">
        <f aca="false">COUNTIFS(Данные!$B$2:$B$722,88,Данные!$C$2:$C$722,0,Данные!$A$2:$A$722,"&gt;="&amp;77235124000,Данные!$A$2:$A$722,"&lt;="&amp;77235128499)</f>
        <v>0</v>
      </c>
      <c r="T161" s="62" t="n">
        <f aca="false">COUNTIFS(Данные!$B$2:$B$722,88,Данные!$C$2:$C$722,0,Данные!$A$2:$A$722,"&gt;="&amp;77235320000,Данные!$A$2:$A$722,"&lt;="&amp;77235320999)</f>
        <v>0</v>
      </c>
      <c r="U161" s="62" t="n">
        <f aca="false">COUNTIFS(Данные!$B$2:$B$722,88,Данные!$C$2:$C$722,0,Данные!$A$2:$A$722,"&gt;="&amp;77233620000,Данные!$A$2:$A$722,"&lt;="&amp;77233623339)</f>
        <v>0</v>
      </c>
      <c r="V161" s="62" t="n">
        <f aca="false">COUNTIFS(Данные!$B$2:$B$722,88,Данные!$C$2:$C$722,0,Данные!$A$2:$A$722,"&gt;="&amp;77233630000,Данные!$A$2:$A$722,"&lt;="&amp;77233630999)</f>
        <v>0</v>
      </c>
      <c r="W161" s="62" t="n">
        <f aca="false">COUNTIFS(Данные!$B$2:$B$722,88,Данные!$C$2:$C$722,0,Данные!$A$2:$A$722,"&gt;="&amp;77233637000,Данные!$A$2:$A$722,"&lt;="&amp;77233637599)</f>
        <v>0</v>
      </c>
      <c r="X161" s="62" t="n">
        <f aca="false">COUNTIFS(Данные!$B$2:$B$722,88,Данные!$C$2:$C$722,0,Данные!$A$2:$A$722,"&gt;="&amp;77233550000,Данные!$A$2:$A$722,"&lt;="&amp;77233550999)</f>
        <v>0</v>
      </c>
      <c r="Y161" s="62" t="n">
        <f aca="false">COUNTIFS(Данные!$B$2:$B$722,88,Данные!$C$2:$C$722,0,Данные!$A$2:$A$722,"&gt;="&amp;77233554000,Данные!$A$2:$A$722,"&lt;="&amp;77233554999)</f>
        <v>0</v>
      </c>
      <c r="Z161" s="62" t="n">
        <f aca="false">COUNTIFS(Данные!$B$2:$B$722,88,Данные!$C$2:$C$722,0,Данные!$A$2:$A$722,"&gt;="&amp;77233555000,Данные!$A$2:$A$722,"&lt;="&amp;77233556999)</f>
        <v>0</v>
      </c>
      <c r="AA161" s="62" t="n">
        <f aca="false">COUNTIFS(Данные!$B$2:$B$722,88,Данные!$C$2:$C$722,0,Данные!$A$2:$A$722,"&gt;="&amp;77233726000,Данные!$A$2:$A$722,"&lt;="&amp;77233726999)</f>
        <v>0</v>
      </c>
      <c r="AB161" s="62" t="n">
        <f aca="false">COUNTIFS(Данные!$B$2:$B$722,88,Данные!$C$2:$C$722,0,Данные!$A$2:$A$722,"&gt;="&amp;77233820000,Данные!$A$2:$A$722,"&lt;="&amp;77233820999)</f>
        <v>0</v>
      </c>
      <c r="AC161" s="62" t="n">
        <f aca="false">COUNTIFS(Данные!$B$2:$B$722,88,Данные!$C$2:$C$722,0,Данные!$A$2:$A$722,"&gt;="&amp;77233850000,Данные!$A$2:$A$722,"&lt;="&amp;77233850999)</f>
        <v>0</v>
      </c>
      <c r="AD161" s="62" t="n">
        <f aca="false">COUNTIFS(Данные!$B$2:$B$722,88,Данные!$C$2:$C$722,0,Данные!$A$2:$A$722,"&gt;="&amp;77233420000,Данные!$A$2:$A$722,"&lt;="&amp;77233420999)</f>
        <v>0</v>
      </c>
      <c r="AE161" s="62" t="n">
        <f aca="false">COUNTIFS(Данные!$B$2:$B$722,88,Данные!$C$2:$C$722,0,Данные!$A$2:$A$722,"&gt;="&amp;77234740000,Данные!$A$2:$A$722,"&lt;="&amp;77234742999)</f>
        <v>0</v>
      </c>
      <c r="AF161" s="62" t="n">
        <f aca="false">COUNTIFS(Данные!$B$2:$B$722,88,Данные!$C$2:$C$722,0,Данные!$A$2:$A$722,"&gt;="&amp;77234767000,Данные!$A$2:$A$722,"&lt;="&amp;77234767999)</f>
        <v>0</v>
      </c>
      <c r="AG161" s="62" t="n">
        <f aca="false">COUNTIFS(Данные!$B$2:$B$722,88,Данные!$C$2:$C$722,0,Данные!$A$2:$A$722,"&gt;="&amp;77234120000,Данные!$A$2:$A$722,"&lt;="&amp;77234120999)</f>
        <v>0</v>
      </c>
      <c r="AH161" s="62" t="n">
        <f aca="false">COUNTIFS(Данные!$B$2:$B$722,88,Данные!$C$2:$C$722,0,Данные!$A$2:$A$722,"&gt;="&amp;77234127000,Данные!$A$2:$A$722,"&lt;="&amp;77234127999)</f>
        <v>0</v>
      </c>
      <c r="AI161" s="62" t="n">
        <f aca="false">COUNTIFS(Данные!$B$2:$B$722,88,Данные!$C$2:$C$722,0,Данные!$A$2:$A$722,"&gt;="&amp;77234220000,Данные!$A$2:$A$722,"&lt;="&amp;77234220999)</f>
        <v>0</v>
      </c>
      <c r="AJ161" s="62" t="n">
        <f aca="false">COUNTIFS(Данные!$B$2:$B$722,88,Данные!$C$2:$C$722,0,Данные!$A$2:$A$722,"&gt;="&amp;77234250000,Данные!$A$2:$A$722,"&lt;="&amp;77234250999)</f>
        <v>0</v>
      </c>
      <c r="AK161" s="62" t="n">
        <f aca="false">COUNTIFS(Данные!$B$2:$B$722,88,Данные!$C$2:$C$722,0,Данные!$A$2:$A$722,"&gt;="&amp;77233922950,Данные!$A$2:$A$722,"&lt;="&amp;77233924999)</f>
        <v>0</v>
      </c>
      <c r="AL161" s="62" t="n">
        <f aca="false">COUNTIFS(Данные!$B$2:$B$722,88,Данные!$C$2:$C$722,0,Данные!$A$2:$A$722,"&gt;="&amp;77234320000,Данные!$A$2:$A$722,"&lt;="&amp;77234320999)</f>
        <v>0</v>
      </c>
      <c r="AM161" s="62" t="n">
        <f aca="false">COUNTIFS(Данные!$B$2:$B$722,88,Данные!$C$2:$C$722,0,Данные!$A$2:$A$722,"&gt;="&amp;77234350000,Данные!$A$2:$A$722,"&lt;="&amp;77234350999)</f>
        <v>0</v>
      </c>
      <c r="AN161" s="62" t="n">
        <f aca="false">COUNTIFS(Данные!$B$2:$B$722,88,Данные!$C$2:$C$722,0,Данные!$A$2:$A$722,"&gt;="&amp;77234020000,Данные!$A$2:$A$722,"&lt;="&amp;77234020999)</f>
        <v>0</v>
      </c>
      <c r="AO161" s="62" t="n">
        <f aca="false">COUNTIFS(Данные!$B$2:$B$722,88,Данные!$C$2:$C$722,0,Данные!$A$2:$A$722,"&gt;="&amp;77234029000,Данные!$A$2:$A$722,"&lt;="&amp;77234029999)</f>
        <v>0</v>
      </c>
      <c r="AP161" s="62" t="n">
        <f aca="false">COUNTIFS(Данные!$B$2:$B$722,88,Данные!$C$2:$C$722,0,Данные!$A$2:$A$722,"&gt;="&amp;77234050000,Данные!$A$2:$A$722,"&lt;="&amp;77234050999)</f>
        <v>0</v>
      </c>
      <c r="AQ161" s="62" t="n">
        <f aca="false">COUNTIFS(Данные!$B$2:$B$722,88,Данные!$C$2:$C$722,0,Данные!$A$2:$A$722,"&gt;="&amp;77234427000,Данные!$A$2:$A$722,"&lt;="&amp;77234428999)</f>
        <v>0</v>
      </c>
      <c r="AR161" s="62" t="n">
        <f aca="false">COUNTIFS(Данные!$B$2:$B$722,88,Данные!$C$2:$C$722,0,Данные!$A$2:$A$722,"&gt;="&amp;77234450000,Данные!$A$2:$A$722,"&lt;="&amp;77234450999)</f>
        <v>0</v>
      </c>
      <c r="AS161" s="62" t="n">
        <f aca="false">COUNTIFS(Данные!$B$2:$B$722,88,Данные!$C$2:$C$722,0,Данные!$A$2:$A$722,"&gt;="&amp;77234620000,Данные!$A$2:$A$722,"&lt;="&amp;77234620999)</f>
        <v>0</v>
      </c>
      <c r="AT161" s="62" t="n">
        <f aca="false">COUNTIFS(Данные!$B$2:$B$722,88,Данные!$C$2:$C$722,0,Данные!$A$2:$A$722,"&gt;="&amp;77234650000,Данные!$A$2:$A$722,"&lt;="&amp;77234650999)</f>
        <v>0</v>
      </c>
      <c r="AU161" s="62" t="n">
        <f aca="false">COUNTIFS(Данные!$B$2:$B$722,88,Данные!$C$2:$C$722,0,Данные!$A$2:$A$722,"&gt;="&amp;77234820000,Данные!$A$2:$A$722,"&lt;="&amp;77234820999)</f>
        <v>0</v>
      </c>
      <c r="AV161" s="62" t="n">
        <f aca="false">COUNTIFS(Данные!$B$2:$B$722,88,Данные!$C$2:$C$722,0,Данные!$A$2:$A$722,"&gt;="&amp;77234850000,Данные!$A$2:$A$722,"&lt;="&amp;77234850999)</f>
        <v>0</v>
      </c>
      <c r="AW161" s="62" t="n">
        <f aca="false">COUNTIFS(Данные!$B$2:$B$722,88,Данные!$C$2:$C$722,0,Данные!$A$2:$A$722,"&gt;="&amp;77233327000,Данные!$A$2:$A$722,"&lt;="&amp;77233327999)</f>
        <v>0</v>
      </c>
      <c r="AX161" s="62" t="n">
        <f aca="false">COUNTIFS(Данные!$B$2:$B$722,88,Данные!$C$2:$C$722,0,Данные!$A$2:$A$722,"&gt;="&amp;77233350000,Данные!$A$2:$A$722,"&lt;="&amp;77233350599)</f>
        <v>0</v>
      </c>
      <c r="AY161" s="62" t="n">
        <f aca="false">COUNTIFS(Данные!$B$2:$B$722,88,Данные!$C$2:$C$722,0,Данные!$A$2:$A$722,"&gt;="&amp;77233351000,Данные!$A$2:$A$722,"&lt;="&amp;77233351999)</f>
        <v>0</v>
      </c>
      <c r="AZ161" s="62" t="n">
        <f aca="false">COUNTIFS(Данные!$B$2:$B$722,88,Данные!$C$2:$C$722,0,Данные!$A$2:$A$722,"&gt;="&amp;7722440000,Данные!$A$2:$A$722,"&lt;="&amp;7722440999)</f>
        <v>0</v>
      </c>
      <c r="BA161" s="63" t="n">
        <f aca="false">COUNTIFS(Данные!$B$2:$B$722,88,Данные!$C$2:$C$722,0,Данные!$A$2:$A$722,"&gt;="&amp;7722442000,Данные!$A$2:$A$722,"&lt;="&amp;7722445659)</f>
        <v>0</v>
      </c>
      <c r="BB161" s="63" t="n">
        <f aca="false">COUNTIFS(Данные!$B$2:$B$722,88,Данные!$C$2:$C$722,0,Данные!$A$2:$A$722,"&gt;="&amp;7722450000,Данные!$A$2:$A$722,"&lt;="&amp;7722450199)</f>
        <v>0</v>
      </c>
      <c r="BC161" s="63" t="n">
        <f aca="false">COUNTIFS(Данные!$B$2:$B$722,88,Данные!$C$2:$C$722,0,Данные!$A$2:$A$722,"&gt;="&amp;7722451000,Данные!$A$2:$A$722,"&lt;="&amp;7722451374)</f>
        <v>0</v>
      </c>
      <c r="BD161" s="63" t="n">
        <f aca="false">COUNTIFS(Данные!$B$2:$B$722,88,Данные!$C$2:$C$722,0,Данные!$A$2:$A$722,"&gt;="&amp;7722452000,Данные!$A$2:$A$722,"&lt;="&amp;7722452299)</f>
        <v>0</v>
      </c>
      <c r="BE161" s="63" t="n">
        <f aca="false">COUNTIFS(Данные!$B$2:$B$722,88,Данные!$C$2:$C$722,0,Данные!$A$2:$A$722,"&gt;="&amp;7722453000,Данные!$A$2:$A$722,"&lt;="&amp;7722453816)</f>
        <v>0</v>
      </c>
      <c r="BF161" s="63" t="n">
        <f aca="false">COUNTIFS(Данные!$B$2:$B$722,88,Данные!$C$2:$C$722,0,Данные!$A$2:$A$722,"&gt;="&amp;7722454000,Данные!$A$2:$A$722,"&lt;="&amp;7722454099)</f>
        <v>0</v>
      </c>
      <c r="BG161" s="63" t="n">
        <f aca="false">COUNTIFS(Данные!$B$2:$B$722,88,Данные!$C$2:$C$722,0,Данные!$A$2:$A$722,"&gt;="&amp;7722458000,Данные!$A$2:$A$722,"&lt;="&amp;7722458999)</f>
        <v>0</v>
      </c>
      <c r="BH161" s="63" t="n">
        <f aca="false">COUNTIFS(Данные!$B$2:$B$722,88,Данные!$C$2:$C$722,0,Данные!$A$2:$A$722,"&gt;="&amp;7722630000,Данные!$A$2:$A$722,"&lt;="&amp;7722638549)</f>
        <v>0</v>
      </c>
      <c r="BI161" s="63" t="n">
        <f aca="false">COUNTIFS(Данные!$B$2:$B$722,88,Данные!$C$2:$C$722,0,Данные!$A$2:$A$722,"&gt;="&amp;7722639400,Данные!$A$2:$A$722,"&lt;="&amp;7722639899)</f>
        <v>0</v>
      </c>
      <c r="BJ161" s="63" t="n">
        <f aca="false">COUNTIFS(Данные!$B$2:$B$722,88,Данные!$C$2:$C$722,0,Данные!$A$2:$A$722,"&gt;="&amp;7725750000,Данные!$A$2:$A$722,"&lt;="&amp;7725750399)</f>
        <v>0</v>
      </c>
      <c r="BK161" s="63" t="n">
        <f aca="false">COUNTIFS(Данные!$B$2:$B$722,88,Данные!$C$2:$C$722,0,Данные!$A$2:$A$722,"&gt;="&amp;7723620000,Данные!$A$2:$A$722,"&lt;="&amp;7723621299)</f>
        <v>0</v>
      </c>
      <c r="BL161" s="63" t="n">
        <f aca="false">COUNTIFS(Данные!$B$2:$B$722,88,Данные!$C$2:$C$722,0,Данные!$A$2:$A$722,"&gt;="&amp;7723621600,Данные!$A$2:$A$722,"&lt;="&amp;7723623399)</f>
        <v>0</v>
      </c>
      <c r="BM161" s="63" t="n">
        <f aca="false">COUNTIFS(Данные!$B$2:$B$722,88,Данные!$C$2:$C$722,0,Данные!$A$2:$A$722,"&gt;="&amp;7725127000,Данные!$A$2:$A$722,"&lt;="&amp;7725127999)</f>
        <v>0</v>
      </c>
      <c r="BN161" s="63" t="n">
        <f aca="false">COUNTIFS(Данные!$B$2:$B$722,88,Данные!$C$2:$C$722,0,Данные!$A$2:$A$722,"&gt;="&amp;7723772000,Данные!$A$2:$A$722,"&lt;="&amp;7723724999)</f>
        <v>0</v>
      </c>
      <c r="BO161" s="62" t="n">
        <f aca="false">COUNTIFS(Данные!$B$2:$B$722,88,Данные!$C$2:$C$722,0,Данные!$A$2:$A$722,"&gt;="&amp;7723765000,Данные!$A$2:$A$722,"&lt;="&amp;7723765499)</f>
        <v>0</v>
      </c>
      <c r="BP161" s="63" t="n">
        <f aca="false">COUNTIFS(Данные!$B$2:$B$722,88,Данные!$C$2:$C$722,0,Данные!$A$2:$A$722,"&gt;="&amp;7723948000,Данные!$A$2:$A$722,"&lt;="&amp;7723948999)</f>
        <v>0</v>
      </c>
      <c r="BQ161" s="63" t="n">
        <f aca="false">COUNTIFS(Данные!$B$2:$B$722,88,Данные!$C$2:$C$722,0,Данные!$A$2:$A$722,"&gt;="&amp;7723950000,Данные!$A$2:$A$722,"&lt;="&amp;7723951099)</f>
        <v>0</v>
      </c>
      <c r="BR161" s="63" t="n">
        <f aca="false">COUNTIFS(Данные!$B$2:$B$722,88,Данные!$C$2:$C$722,0,Данные!$A$2:$A$722,"&gt;="&amp;7723020000,Данные!$A$2:$A$722,"&lt;="&amp;7723020999)</f>
        <v>0</v>
      </c>
      <c r="BS161" s="63" t="n">
        <f aca="false">COUNTIFS(Данные!$B$2:$B$722,88,Данные!$C$2:$C$722,0,Данные!$A$2:$A$722,"&gt;="&amp;7723029000,Данные!$A$2:$A$722,"&lt;="&amp;7723029999)</f>
        <v>0</v>
      </c>
      <c r="BT161" s="63" t="n">
        <f aca="false">COUNTIFS(Данные!$B$2:$B$722,88,Данные!$C$2:$C$722,0,Данные!$A$2:$A$722,"&gt;="&amp;7723055000,Данные!$A$2:$A$722,"&lt;="&amp;7723056549)</f>
        <v>0</v>
      </c>
      <c r="BU161" s="62" t="n">
        <f aca="false">COUNTIFS(Данные!$B$2:$B$722,88,Данные!$C$2:$C$722,0,Данные!$A$2:$A$722,"&gt;="&amp;7725250000,Данные!$A$2:$A$722,"&lt;="&amp;7725250499)</f>
        <v>0</v>
      </c>
      <c r="BV161" s="63" t="n">
        <f aca="false">COUNTIFS(Данные!$B$2:$B$722,88,Данные!$C$2:$C$722,0,Данные!$A$2:$A$722,"&gt;="&amp;7183841400,Данные!$A$2:$A$722,"&lt;="&amp;7183841499)</f>
        <v>0</v>
      </c>
      <c r="BW161" s="40" t="n">
        <v>300</v>
      </c>
      <c r="BX161" s="64" t="n">
        <f aca="false">F161-BW161</f>
        <v>-300</v>
      </c>
    </row>
    <row r="162" s="15" customFormat="true" ht="12" hidden="false" customHeight="true" outlineLevel="0" collapsed="false">
      <c r="A162" s="38"/>
      <c r="B162" s="39"/>
      <c r="C162" s="41" t="n">
        <v>1</v>
      </c>
      <c r="D162" s="41" t="n">
        <v>881</v>
      </c>
      <c r="E162" s="42"/>
      <c r="F162" s="62" t="n">
        <f aca="false">COUNTIFS(Данные!$B$2:$B$722,88,Данные!$C$2:$C$722,1)</f>
        <v>0</v>
      </c>
      <c r="G162" s="62" t="n">
        <f aca="false">COUNTIFS(Данные!$B$2:$B$722,88,Данные!$C$2:$C$722,1,Данные!$A$2:$A$722,"&gt;="&amp;77232210840,Данные!$A$2:$A$722,"&lt;="&amp;77232216999)</f>
        <v>0</v>
      </c>
      <c r="H162" s="62" t="n">
        <f aca="false">COUNTIFS(Данные!$B$2:$B$722,88,Данные!$C$2:$C$722,1,Данные!$A$2:$A$722,"&gt;="&amp;77232510512,Данные!$A$2:$A$722,"&lt;="&amp;77232519487)</f>
        <v>0</v>
      </c>
      <c r="I162" s="62" t="n">
        <f aca="false">COUNTIFS(Данные!$B$2:$B$722,88,Данные!$C$2:$C$722,1,Данные!$A$2:$A$722,"&gt;="&amp;77232524160,Данные!$A$2:$A$722,"&lt;="&amp;77232529999)</f>
        <v>0</v>
      </c>
      <c r="J162" s="62" t="n">
        <f aca="false">COUNTIFS(Данные!$B$2:$B$722,88,Данные!$C$2:$C$722,1,Данные!$A$2:$A$722,"&gt;="&amp;77232544000,Данные!$A$2:$A$722,"&lt;="&amp;77232544999)</f>
        <v>0</v>
      </c>
      <c r="K162" s="62" t="n">
        <f aca="false">COUNTIFS(Данные!$B$2:$B$722,88,Данные!$C$2:$C$722,1,Данные!$A$2:$A$722,"&gt;="&amp;77232295504,Данные!$A$2:$A$722,"&lt;="&amp;77232296999)</f>
        <v>0</v>
      </c>
      <c r="L162" s="62" t="n">
        <f aca="false">COUNTIFS(Данные!$B$2:$B$722,88,Данные!$C$2:$C$722,1,Данные!$A$2:$A$722,"&gt;="&amp;77232785000,Данные!$A$2:$A$722,"&lt;="&amp;77232789999)</f>
        <v>0</v>
      </c>
      <c r="M162" s="62" t="n">
        <f aca="false">COUNTIFS(Данные!$B$2:$B$722,88,Данные!$C$2:$C$722,1,Данные!$A$2:$A$722,"&gt;="&amp;77233150000,Данные!$A$2:$A$722,"&lt;="&amp;77233155999)</f>
        <v>0</v>
      </c>
      <c r="N162" s="62" t="n">
        <f aca="false">COUNTIFS(Данные!$B$2:$B$722,88,Данные!$C$2:$C$722,1,Данные!$A$2:$A$722,"&gt;="&amp;77233235000,Данные!$A$2:$A$722,"&lt;="&amp;77233235999)</f>
        <v>0</v>
      </c>
      <c r="O162" s="62" t="n">
        <f aca="false">COUNTIFS(Данные!$B$2:$B$722,88,Данные!$C$2:$C$722,1,Данные!$A$2:$A$722,"&gt;="&amp;77233239000,Данные!$A$2:$A$722,"&lt;="&amp;77233239999)</f>
        <v>0</v>
      </c>
      <c r="P162" s="62" t="n">
        <f aca="false">COUNTIFS(Данные!$B$2:$B$722,88,Данные!$C$2:$C$722,1,Данные!$A$2:$A$722,"&gt;="&amp;77233272000,Данные!$A$2:$A$722,"&lt;="&amp;77233272999)</f>
        <v>0</v>
      </c>
      <c r="Q162" s="62" t="n">
        <f aca="false">COUNTIFS(Данные!$B$2:$B$722,88,Данные!$C$2:$C$722,1,Данные!$A$2:$A$722,"&gt;="&amp;77233291100,Данные!$A$2:$A$722,"&lt;="&amp;77233292999)</f>
        <v>0</v>
      </c>
      <c r="R162" s="62" t="n">
        <f aca="false">COUNTIFS(Данные!$B$2:$B$722,88,Данные!$C$2:$C$722,1,Данные!$A$2:$A$722,"&gt;="&amp;77233297000,Данные!$A$2:$A$722,"&lt;="&amp;77233298399)</f>
        <v>0</v>
      </c>
      <c r="S162" s="62" t="n">
        <f aca="false">COUNTIFS(Данные!$B$2:$B$722,88,Данные!$C$2:$C$722,1,Данные!$A$2:$A$722,"&gt;="&amp;77235124000,Данные!$A$2:$A$722,"&lt;="&amp;77235128499)</f>
        <v>0</v>
      </c>
      <c r="T162" s="62" t="n">
        <f aca="false">COUNTIFS(Данные!$B$2:$B$722,88,Данные!$C$2:$C$722,1,Данные!$A$2:$A$722,"&gt;="&amp;77235320000,Данные!$A$2:$A$722,"&lt;="&amp;77235320999)</f>
        <v>0</v>
      </c>
      <c r="U162" s="62" t="n">
        <f aca="false">COUNTIFS(Данные!$B$2:$B$722,88,Данные!$C$2:$C$722,1,Данные!$A$2:$A$722,"&gt;="&amp;77233620000,Данные!$A$2:$A$722,"&lt;="&amp;77233623339)</f>
        <v>0</v>
      </c>
      <c r="V162" s="62" t="n">
        <f aca="false">COUNTIFS(Данные!$B$2:$B$722,88,Данные!$C$2:$C$722,1,Данные!$A$2:$A$722,"&gt;="&amp;77233630000,Данные!$A$2:$A$722,"&lt;="&amp;77233630999)</f>
        <v>0</v>
      </c>
      <c r="W162" s="62" t="n">
        <f aca="false">COUNTIFS(Данные!$B$2:$B$722,88,Данные!$C$2:$C$722,1,Данные!$A$2:$A$722,"&gt;="&amp;77233637000,Данные!$A$2:$A$722,"&lt;="&amp;77233637599)</f>
        <v>0</v>
      </c>
      <c r="X162" s="62" t="n">
        <f aca="false">COUNTIFS(Данные!$B$2:$B$722,88,Данные!$C$2:$C$722,1,Данные!$A$2:$A$722,"&gt;="&amp;77233550000,Данные!$A$2:$A$722,"&lt;="&amp;77233550999)</f>
        <v>0</v>
      </c>
      <c r="Y162" s="62" t="n">
        <f aca="false">COUNTIFS(Данные!$B$2:$B$722,88,Данные!$C$2:$C$722,1,Данные!$A$2:$A$722,"&gt;="&amp;77233554000,Данные!$A$2:$A$722,"&lt;="&amp;77233554999)</f>
        <v>0</v>
      </c>
      <c r="Z162" s="62" t="n">
        <f aca="false">COUNTIFS(Данные!$B$2:$B$722,88,Данные!$C$2:$C$722,1,Данные!$A$2:$A$722,"&gt;="&amp;77233555000,Данные!$A$2:$A$722,"&lt;="&amp;77233556999)</f>
        <v>0</v>
      </c>
      <c r="AA162" s="62" t="n">
        <f aca="false">COUNTIFS(Данные!$B$2:$B$722,88,Данные!$C$2:$C$722,1,Данные!$A$2:$A$722,"&gt;="&amp;77233726000,Данные!$A$2:$A$722,"&lt;="&amp;77233726999)</f>
        <v>0</v>
      </c>
      <c r="AB162" s="62" t="n">
        <f aca="false">COUNTIFS(Данные!$B$2:$B$722,88,Данные!$C$2:$C$722,1,Данные!$A$2:$A$722,"&gt;="&amp;77233820000,Данные!$A$2:$A$722,"&lt;="&amp;77233820999)</f>
        <v>0</v>
      </c>
      <c r="AC162" s="62" t="n">
        <f aca="false">COUNTIFS(Данные!$B$2:$B$722,88,Данные!$C$2:$C$722,1,Данные!$A$2:$A$722,"&gt;="&amp;77233850000,Данные!$A$2:$A$722,"&lt;="&amp;77233850999)</f>
        <v>0</v>
      </c>
      <c r="AD162" s="62" t="n">
        <f aca="false">COUNTIFS(Данные!$B$2:$B$722,88,Данные!$C$2:$C$722,1,Данные!$A$2:$A$722,"&gt;="&amp;77233420000,Данные!$A$2:$A$722,"&lt;="&amp;77233420999)</f>
        <v>0</v>
      </c>
      <c r="AE162" s="62" t="n">
        <f aca="false">COUNTIFS(Данные!$B$2:$B$722,88,Данные!$C$2:$C$722,1,Данные!$A$2:$A$722,"&gt;="&amp;77234740000,Данные!$A$2:$A$722,"&lt;="&amp;77234742999)</f>
        <v>0</v>
      </c>
      <c r="AF162" s="62" t="n">
        <f aca="false">COUNTIFS(Данные!$B$2:$B$722,88,Данные!$C$2:$C$722,1,Данные!$A$2:$A$722,"&gt;="&amp;77234767000,Данные!$A$2:$A$722,"&lt;="&amp;77234767999)</f>
        <v>0</v>
      </c>
      <c r="AG162" s="62" t="n">
        <f aca="false">COUNTIFS(Данные!$B$2:$B$722,88,Данные!$C$2:$C$722,1,Данные!$A$2:$A$722,"&gt;="&amp;77234120000,Данные!$A$2:$A$722,"&lt;="&amp;77234120999)</f>
        <v>0</v>
      </c>
      <c r="AH162" s="62" t="n">
        <f aca="false">COUNTIFS(Данные!$B$2:$B$722,88,Данные!$C$2:$C$722,1,Данные!$A$2:$A$722,"&gt;="&amp;77234127000,Данные!$A$2:$A$722,"&lt;="&amp;77234127999)</f>
        <v>0</v>
      </c>
      <c r="AI162" s="62" t="n">
        <f aca="false">COUNTIFS(Данные!$B$2:$B$722,88,Данные!$C$2:$C$722,1,Данные!$A$2:$A$722,"&gt;="&amp;77234220000,Данные!$A$2:$A$722,"&lt;="&amp;77234220999)</f>
        <v>0</v>
      </c>
      <c r="AJ162" s="62" t="n">
        <f aca="false">COUNTIFS(Данные!$B$2:$B$722,88,Данные!$C$2:$C$722,1,Данные!$A$2:$A$722,"&gt;="&amp;77234250000,Данные!$A$2:$A$722,"&lt;="&amp;77234250999)</f>
        <v>0</v>
      </c>
      <c r="AK162" s="62" t="n">
        <f aca="false">COUNTIFS(Данные!$B$2:$B$722,88,Данные!$C$2:$C$722,1,Данные!$A$2:$A$722,"&gt;="&amp;77233922950,Данные!$A$2:$A$722,"&lt;="&amp;77233924999)</f>
        <v>0</v>
      </c>
      <c r="AL162" s="62" t="n">
        <f aca="false">COUNTIFS(Данные!$B$2:$B$722,88,Данные!$C$2:$C$722,1,Данные!$A$2:$A$722,"&gt;="&amp;77234320000,Данные!$A$2:$A$722,"&lt;="&amp;77234320999)</f>
        <v>0</v>
      </c>
      <c r="AM162" s="62" t="n">
        <f aca="false">COUNTIFS(Данные!$B$2:$B$722,88,Данные!$C$2:$C$722,1,Данные!$A$2:$A$722,"&gt;="&amp;77234350000,Данные!$A$2:$A$722,"&lt;="&amp;77234350999)</f>
        <v>0</v>
      </c>
      <c r="AN162" s="62" t="n">
        <f aca="false">COUNTIFS(Данные!$B$2:$B$722,88,Данные!$C$2:$C$722,1,Данные!$A$2:$A$722,"&gt;="&amp;77234020000,Данные!$A$2:$A$722,"&lt;="&amp;77234020999)</f>
        <v>0</v>
      </c>
      <c r="AO162" s="62" t="n">
        <f aca="false">COUNTIFS(Данные!$B$2:$B$722,88,Данные!$C$2:$C$722,1,Данные!$A$2:$A$722,"&gt;="&amp;77234029000,Данные!$A$2:$A$722,"&lt;="&amp;77234029999)</f>
        <v>0</v>
      </c>
      <c r="AP162" s="62" t="n">
        <f aca="false">COUNTIFS(Данные!$B$2:$B$722,88,Данные!$C$2:$C$722,1,Данные!$A$2:$A$722,"&gt;="&amp;77234050000,Данные!$A$2:$A$722,"&lt;="&amp;77234050999)</f>
        <v>0</v>
      </c>
      <c r="AQ162" s="62" t="n">
        <f aca="false">COUNTIFS(Данные!$B$2:$B$722,88,Данные!$C$2:$C$722,1,Данные!$A$2:$A$722,"&gt;="&amp;77234427000,Данные!$A$2:$A$722,"&lt;="&amp;77234428999)</f>
        <v>0</v>
      </c>
      <c r="AR162" s="62" t="n">
        <f aca="false">COUNTIFS(Данные!$B$2:$B$722,88,Данные!$C$2:$C$722,1,Данные!$A$2:$A$722,"&gt;="&amp;77234450000,Данные!$A$2:$A$722,"&lt;="&amp;77234450999)</f>
        <v>0</v>
      </c>
      <c r="AS162" s="62" t="n">
        <f aca="false">COUNTIFS(Данные!$B$2:$B$722,88,Данные!$C$2:$C$722,1,Данные!$A$2:$A$722,"&gt;="&amp;77234620000,Данные!$A$2:$A$722,"&lt;="&amp;77234620999)</f>
        <v>0</v>
      </c>
      <c r="AT162" s="62" t="n">
        <f aca="false">COUNTIFS(Данные!$B$2:$B$722,88,Данные!$C$2:$C$722,1,Данные!$A$2:$A$722,"&gt;="&amp;77234650000,Данные!$A$2:$A$722,"&lt;="&amp;77234650999)</f>
        <v>0</v>
      </c>
      <c r="AU162" s="62" t="n">
        <f aca="false">COUNTIFS(Данные!$B$2:$B$722,88,Данные!$C$2:$C$722,1,Данные!$A$2:$A$722,"&gt;="&amp;77234820000,Данные!$A$2:$A$722,"&lt;="&amp;77234820999)</f>
        <v>0</v>
      </c>
      <c r="AV162" s="62" t="n">
        <f aca="false">COUNTIFS(Данные!$B$2:$B$722,88,Данные!$C$2:$C$722,1,Данные!$A$2:$A$722,"&gt;="&amp;77234850000,Данные!$A$2:$A$722,"&lt;="&amp;77234850999)</f>
        <v>0</v>
      </c>
      <c r="AW162" s="62" t="n">
        <f aca="false">COUNTIFS(Данные!$B$2:$B$722,88,Данные!$C$2:$C$722,1,Данные!$A$2:$A$722,"&gt;="&amp;77233327000,Данные!$A$2:$A$722,"&lt;="&amp;77233327999)</f>
        <v>0</v>
      </c>
      <c r="AX162" s="62" t="n">
        <f aca="false">COUNTIFS(Данные!$B$2:$B$722,88,Данные!$C$2:$C$722,1,Данные!$A$2:$A$722,"&gt;="&amp;77233350000,Данные!$A$2:$A$722,"&lt;="&amp;77233350599)</f>
        <v>0</v>
      </c>
      <c r="AY162" s="62" t="n">
        <f aca="false">COUNTIFS(Данные!$B$2:$B$722,88,Данные!$C$2:$C$722,1,Данные!$A$2:$A$722,"&gt;="&amp;77233351000,Данные!$A$2:$A$722,"&lt;="&amp;77233351999)</f>
        <v>0</v>
      </c>
      <c r="AZ162" s="63" t="n">
        <f aca="false">COUNTIFS(Данные!$B$2:$B$722,88,Данные!$C$2:$C$722,1,Данные!$A$2:$A$722,"&gt;="&amp;7722440000,Данные!$A$2:$A$722,"&lt;="&amp;7722440999)</f>
        <v>0</v>
      </c>
      <c r="BA162" s="63" t="n">
        <f aca="false">COUNTIFS(Данные!$B$2:$B$722,88,Данные!$C$2:$C$722,1,Данные!$A$2:$A$722,"&gt;="&amp;7722442000,Данные!$A$2:$A$722,"&lt;="&amp;7722445659)</f>
        <v>0</v>
      </c>
      <c r="BB162" s="63" t="n">
        <f aca="false">COUNTIFS(Данные!$B$2:$B$722,88,Данные!$C$2:$C$722,1,Данные!$A$2:$A$722,"&gt;="&amp;7722450000,Данные!$A$2:$A$722,"&lt;="&amp;7722450199)</f>
        <v>0</v>
      </c>
      <c r="BC162" s="63" t="n">
        <f aca="false">COUNTIFS(Данные!$B$2:$B$722,88,Данные!$C$2:$C$722,1,Данные!$A$2:$A$722,"&gt;="&amp;7722451000,Данные!$A$2:$A$722,"&lt;="&amp;7722451374)</f>
        <v>0</v>
      </c>
      <c r="BD162" s="63" t="n">
        <f aca="false">COUNTIFS(Данные!$B$2:$B$722,88,Данные!$C$2:$C$722,1,Данные!$A$2:$A$722,"&gt;="&amp;7722452000,Данные!$A$2:$A$722,"&lt;="&amp;7722452299)</f>
        <v>0</v>
      </c>
      <c r="BE162" s="63" t="n">
        <f aca="false">COUNTIFS(Данные!$B$2:$B$722,88,Данные!$C$2:$C$722,1,Данные!$A$2:$A$722,"&gt;="&amp;7722453000,Данные!$A$2:$A$722,"&lt;="&amp;7722453816)</f>
        <v>0</v>
      </c>
      <c r="BF162" s="63" t="n">
        <f aca="false">COUNTIFS(Данные!$B$2:$B$722,88,Данные!$C$2:$C$722,1,Данные!$A$2:$A$722,"&gt;="&amp;7722454000,Данные!$A$2:$A$722,"&lt;="&amp;7722454099)</f>
        <v>0</v>
      </c>
      <c r="BG162" s="63" t="n">
        <f aca="false">COUNTIFS(Данные!$B$2:$B$722,88,Данные!$C$2:$C$722,1,Данные!$A$2:$A$722,"&gt;="&amp;7722458000,Данные!$A$2:$A$722,"&lt;="&amp;7722458999)</f>
        <v>0</v>
      </c>
      <c r="BH162" s="63" t="n">
        <f aca="false">COUNTIFS(Данные!$B$2:$B$722,88,Данные!$C$2:$C$722,1,Данные!$A$2:$A$722,"&gt;="&amp;7722630000,Данные!$A$2:$A$722,"&lt;="&amp;7722638549)</f>
        <v>0</v>
      </c>
      <c r="BI162" s="63" t="n">
        <f aca="false">COUNTIFS(Данные!$B$2:$B$722,88,Данные!$C$2:$C$722,1,Данные!$A$2:$A$722,"&gt;="&amp;7722639400,Данные!$A$2:$A$722,"&lt;="&amp;7722639899)</f>
        <v>0</v>
      </c>
      <c r="BJ162" s="63" t="n">
        <f aca="false">COUNTIFS(Данные!$B$2:$B$722,88,Данные!$C$2:$C$722,1,Данные!$A$2:$A$722,"&gt;="&amp;7725750000,Данные!$A$2:$A$722,"&lt;="&amp;7725750399)</f>
        <v>0</v>
      </c>
      <c r="BK162" s="63" t="n">
        <f aca="false">COUNTIFS(Данные!$B$2:$B$722,88,Данные!$C$2:$C$722,1,Данные!$A$2:$A$722,"&gt;="&amp;7723620000,Данные!$A$2:$A$722,"&lt;="&amp;7723621299)</f>
        <v>0</v>
      </c>
      <c r="BL162" s="63" t="n">
        <f aca="false">COUNTIFS(Данные!$B$2:$B$722,88,Данные!$C$2:$C$722,1,Данные!$A$2:$A$722,"&gt;="&amp;7723621600,Данные!$A$2:$A$722,"&lt;="&amp;7723623399)</f>
        <v>0</v>
      </c>
      <c r="BM162" s="63" t="n">
        <f aca="false">COUNTIFS(Данные!$B$2:$B$722,88,Данные!$C$2:$C$722,1,Данные!$A$2:$A$722,"&gt;="&amp;7725127000,Данные!$A$2:$A$722,"&lt;="&amp;7725127999)</f>
        <v>0</v>
      </c>
      <c r="BN162" s="63" t="n">
        <f aca="false">COUNTIFS(Данные!$B$2:$B$722,88,Данные!$C$2:$C$722,1,Данные!$A$2:$A$722,"&gt;="&amp;7723772000,Данные!$A$2:$A$722,"&lt;="&amp;7723724999)</f>
        <v>0</v>
      </c>
      <c r="BO162" s="62" t="n">
        <f aca="false">COUNTIFS(Данные!$B$2:$B$722,88,Данные!$C$2:$C$722,1,Данные!$A$2:$A$722,"&gt;="&amp;7723765000,Данные!$A$2:$A$722,"&lt;="&amp;7723765499)</f>
        <v>0</v>
      </c>
      <c r="BP162" s="63" t="n">
        <f aca="false">COUNTIFS(Данные!$B$2:$B$722,88,Данные!$C$2:$C$722,1,Данные!$A$2:$A$722,"&gt;="&amp;7723948000,Данные!$A$2:$A$722,"&lt;="&amp;7723948999)</f>
        <v>0</v>
      </c>
      <c r="BQ162" s="63" t="n">
        <f aca="false">COUNTIFS(Данные!$B$2:$B$722,88,Данные!$C$2:$C$722,1,Данные!$A$2:$A$722,"&gt;="&amp;7723950000,Данные!$A$2:$A$722,"&lt;="&amp;7723951099)</f>
        <v>0</v>
      </c>
      <c r="BR162" s="63" t="n">
        <f aca="false">COUNTIFS(Данные!$B$2:$B$722,88,Данные!$C$2:$C$722,1,Данные!$A$2:$A$722,"&gt;="&amp;7723020000,Данные!$A$2:$A$722,"&lt;="&amp;7723020999)</f>
        <v>0</v>
      </c>
      <c r="BS162" s="63" t="n">
        <f aca="false">COUNTIFS(Данные!$B$2:$B$722,88,Данные!$C$2:$C$722,1,Данные!$A$2:$A$722,"&gt;="&amp;7723029000,Данные!$A$2:$A$722,"&lt;="&amp;7723029999)</f>
        <v>0</v>
      </c>
      <c r="BT162" s="63" t="n">
        <f aca="false">COUNTIFS(Данные!$B$2:$B$722,88,Данные!$C$2:$C$722,1,Данные!$A$2:$A$722,"&gt;="&amp;7723055000,Данные!$A$2:$A$722,"&lt;="&amp;7723056549)</f>
        <v>0</v>
      </c>
      <c r="BU162" s="62" t="n">
        <f aca="false">COUNTIFS(Данные!$B$2:$B$722,88,Данные!$C$2:$C$722,1,Данные!$A$2:$A$722,"&gt;="&amp;7725250000,Данные!$A$2:$A$722,"&lt;="&amp;7725250499)</f>
        <v>0</v>
      </c>
      <c r="BV162" s="63" t="n">
        <f aca="false">COUNTIFS(Данные!$B$2:$B$722,88,Данные!$C$2:$C$722,1,Данные!$A$2:$A$722,"&gt;="&amp;7183841400,Данные!$A$2:$A$722,"&lt;="&amp;7183841499)</f>
        <v>0</v>
      </c>
      <c r="BW162" s="40" t="n">
        <v>300</v>
      </c>
      <c r="BX162" s="64" t="n">
        <f aca="false">F162-BW162</f>
        <v>-300</v>
      </c>
    </row>
    <row r="163" s="15" customFormat="true" ht="12" hidden="false" customHeight="true" outlineLevel="0" collapsed="false">
      <c r="A163" s="38"/>
      <c r="B163" s="39"/>
      <c r="C163" s="41" t="n">
        <v>2</v>
      </c>
      <c r="D163" s="41" t="n">
        <v>882</v>
      </c>
      <c r="E163" s="42"/>
      <c r="F163" s="62" t="n">
        <f aca="false">COUNTIFS(Данные!$B$2:$B$722,88,Данные!$C$2:$C$722,2)</f>
        <v>0</v>
      </c>
      <c r="G163" s="62" t="n">
        <f aca="false">COUNTIFS(Данные!$B$2:$B$722,88,Данные!$C$2:$C$722,2,Данные!$A$2:$A$722,"&gt;="&amp;77232210840,Данные!$A$2:$A$722,"&lt;="&amp;77232216999)</f>
        <v>0</v>
      </c>
      <c r="H163" s="62" t="n">
        <f aca="false">COUNTIFS(Данные!$B$2:$B$722,88,Данные!$C$2:$C$722,2,Данные!$A$2:$A$722,"&gt;="&amp;77232510512,Данные!$A$2:$A$722,"&lt;="&amp;77232519487)</f>
        <v>0</v>
      </c>
      <c r="I163" s="62" t="n">
        <f aca="false">COUNTIFS(Данные!$B$2:$B$722,88,Данные!$C$2:$C$722,2,Данные!$A$2:$A$722,"&gt;="&amp;77232524160,Данные!$A$2:$A$722,"&lt;="&amp;77232529999)</f>
        <v>0</v>
      </c>
      <c r="J163" s="62" t="n">
        <f aca="false">COUNTIFS(Данные!$B$2:$B$722,88,Данные!$C$2:$C$722,2,Данные!$A$2:$A$722,"&gt;="&amp;77232544000,Данные!$A$2:$A$722,"&lt;="&amp;77232544999)</f>
        <v>0</v>
      </c>
      <c r="K163" s="62" t="n">
        <f aca="false">COUNTIFS(Данные!$B$2:$B$722,88,Данные!$C$2:$C$722,2,Данные!$A$2:$A$722,"&gt;="&amp;77232295504,Данные!$A$2:$A$722,"&lt;="&amp;77232296999)</f>
        <v>0</v>
      </c>
      <c r="L163" s="62" t="n">
        <f aca="false">COUNTIFS(Данные!$B$2:$B$722,88,Данные!$C$2:$C$722,2,Данные!$A$2:$A$722,"&gt;="&amp;77232785000,Данные!$A$2:$A$722,"&lt;="&amp;77232789999)</f>
        <v>0</v>
      </c>
      <c r="M163" s="62" t="n">
        <f aca="false">COUNTIFS(Данные!$B$2:$B$722,88,Данные!$C$2:$C$722,2,Данные!$A$2:$A$722,"&gt;="&amp;77233150000,Данные!$A$2:$A$722,"&lt;="&amp;77233155999)</f>
        <v>0</v>
      </c>
      <c r="N163" s="62" t="n">
        <f aca="false">COUNTIFS(Данные!$B$2:$B$722,88,Данные!$C$2:$C$722,2,Данные!$A$2:$A$722,"&gt;="&amp;77233235000,Данные!$A$2:$A$722,"&lt;="&amp;77233235999)</f>
        <v>0</v>
      </c>
      <c r="O163" s="62" t="n">
        <f aca="false">COUNTIFS(Данные!$B$2:$B$722,88,Данные!$C$2:$C$722,2,Данные!$A$2:$A$722,"&gt;="&amp;77233239000,Данные!$A$2:$A$722,"&lt;="&amp;77233239999)</f>
        <v>0</v>
      </c>
      <c r="P163" s="62" t="n">
        <f aca="false">COUNTIFS(Данные!$B$2:$B$722,88,Данные!$C$2:$C$722,2,Данные!$A$2:$A$722,"&gt;="&amp;77233272000,Данные!$A$2:$A$722,"&lt;="&amp;77233272999)</f>
        <v>0</v>
      </c>
      <c r="Q163" s="62" t="n">
        <f aca="false">COUNTIFS(Данные!$B$2:$B$722,88,Данные!$C$2:$C$722,2,Данные!$A$2:$A$722,"&gt;="&amp;77233291100,Данные!$A$2:$A$722,"&lt;="&amp;77233292999)</f>
        <v>0</v>
      </c>
      <c r="R163" s="62" t="n">
        <f aca="false">COUNTIFS(Данные!$B$2:$B$722,88,Данные!$C$2:$C$722,2,Данные!$A$2:$A$722,"&gt;="&amp;77233297000,Данные!$A$2:$A$722,"&lt;="&amp;77233298399)</f>
        <v>0</v>
      </c>
      <c r="S163" s="62" t="n">
        <f aca="false">COUNTIFS(Данные!$B$2:$B$722,88,Данные!$C$2:$C$722,2,Данные!$A$2:$A$722,"&gt;="&amp;77235124000,Данные!$A$2:$A$722,"&lt;="&amp;77235128499)</f>
        <v>0</v>
      </c>
      <c r="T163" s="62" t="n">
        <f aca="false">COUNTIFS(Данные!$B$2:$B$722,88,Данные!$C$2:$C$722,2,Данные!$A$2:$A$722,"&gt;="&amp;77235320000,Данные!$A$2:$A$722,"&lt;="&amp;77235320999)</f>
        <v>0</v>
      </c>
      <c r="U163" s="62" t="n">
        <f aca="false">COUNTIFS(Данные!$B$2:$B$722,88,Данные!$C$2:$C$722,2,Данные!$A$2:$A$722,"&gt;="&amp;77233620000,Данные!$A$2:$A$722,"&lt;="&amp;77233623339)</f>
        <v>0</v>
      </c>
      <c r="V163" s="62" t="n">
        <f aca="false">COUNTIFS(Данные!$B$2:$B$722,88,Данные!$C$2:$C$722,2,Данные!$A$2:$A$722,"&gt;="&amp;77233630000,Данные!$A$2:$A$722,"&lt;="&amp;77233630999)</f>
        <v>0</v>
      </c>
      <c r="W163" s="62" t="n">
        <f aca="false">COUNTIFS(Данные!$B$2:$B$722,88,Данные!$C$2:$C$722,2,Данные!$A$2:$A$722,"&gt;="&amp;77233637000,Данные!$A$2:$A$722,"&lt;="&amp;77233637599)</f>
        <v>0</v>
      </c>
      <c r="X163" s="62" t="n">
        <f aca="false">COUNTIFS(Данные!$B$2:$B$722,88,Данные!$C$2:$C$722,2,Данные!$A$2:$A$722,"&gt;="&amp;77233550000,Данные!$A$2:$A$722,"&lt;="&amp;77233550999)</f>
        <v>0</v>
      </c>
      <c r="Y163" s="62" t="n">
        <f aca="false">COUNTIFS(Данные!$B$2:$B$722,88,Данные!$C$2:$C$722,2,Данные!$A$2:$A$722,"&gt;="&amp;77233554000,Данные!$A$2:$A$722,"&lt;="&amp;77233554999)</f>
        <v>0</v>
      </c>
      <c r="Z163" s="62" t="n">
        <f aca="false">COUNTIFS(Данные!$B$2:$B$722,88,Данные!$C$2:$C$722,2,Данные!$A$2:$A$722,"&gt;="&amp;77233555000,Данные!$A$2:$A$722,"&lt;="&amp;77233556999)</f>
        <v>0</v>
      </c>
      <c r="AA163" s="62" t="n">
        <f aca="false">COUNTIFS(Данные!$B$2:$B$722,88,Данные!$C$2:$C$722,2,Данные!$A$2:$A$722,"&gt;="&amp;77233726000,Данные!$A$2:$A$722,"&lt;="&amp;77233726999)</f>
        <v>0</v>
      </c>
      <c r="AB163" s="62" t="n">
        <f aca="false">COUNTIFS(Данные!$B$2:$B$722,88,Данные!$C$2:$C$722,2,Данные!$A$2:$A$722,"&gt;="&amp;77233820000,Данные!$A$2:$A$722,"&lt;="&amp;77233820999)</f>
        <v>0</v>
      </c>
      <c r="AC163" s="62" t="n">
        <f aca="false">COUNTIFS(Данные!$B$2:$B$722,88,Данные!$C$2:$C$722,2,Данные!$A$2:$A$722,"&gt;="&amp;77233850000,Данные!$A$2:$A$722,"&lt;="&amp;77233850999)</f>
        <v>0</v>
      </c>
      <c r="AD163" s="62" t="n">
        <f aca="false">COUNTIFS(Данные!$B$2:$B$722,88,Данные!$C$2:$C$722,2,Данные!$A$2:$A$722,"&gt;="&amp;77233420000,Данные!$A$2:$A$722,"&lt;="&amp;77233420999)</f>
        <v>0</v>
      </c>
      <c r="AE163" s="62" t="n">
        <f aca="false">COUNTIFS(Данные!$B$2:$B$722,88,Данные!$C$2:$C$722,2,Данные!$A$2:$A$722,"&gt;="&amp;77234740000,Данные!$A$2:$A$722,"&lt;="&amp;77234742999)</f>
        <v>0</v>
      </c>
      <c r="AF163" s="62" t="n">
        <f aca="false">COUNTIFS(Данные!$B$2:$B$722,88,Данные!$C$2:$C$722,2,Данные!$A$2:$A$722,"&gt;="&amp;77234767000,Данные!$A$2:$A$722,"&lt;="&amp;77234767999)</f>
        <v>0</v>
      </c>
      <c r="AG163" s="62" t="n">
        <f aca="false">COUNTIFS(Данные!$B$2:$B$722,88,Данные!$C$2:$C$722,2,Данные!$A$2:$A$722,"&gt;="&amp;77234120000,Данные!$A$2:$A$722,"&lt;="&amp;77234120999)</f>
        <v>0</v>
      </c>
      <c r="AH163" s="62" t="n">
        <f aca="false">COUNTIFS(Данные!$B$2:$B$722,88,Данные!$C$2:$C$722,2,Данные!$A$2:$A$722,"&gt;="&amp;77234127000,Данные!$A$2:$A$722,"&lt;="&amp;77234127999)</f>
        <v>0</v>
      </c>
      <c r="AI163" s="62" t="n">
        <f aca="false">COUNTIFS(Данные!$B$2:$B$722,88,Данные!$C$2:$C$722,2,Данные!$A$2:$A$722,"&gt;="&amp;77234220000,Данные!$A$2:$A$722,"&lt;="&amp;77234220999)</f>
        <v>0</v>
      </c>
      <c r="AJ163" s="62" t="n">
        <f aca="false">COUNTIFS(Данные!$B$2:$B$722,88,Данные!$C$2:$C$722,2,Данные!$A$2:$A$722,"&gt;="&amp;77234250000,Данные!$A$2:$A$722,"&lt;="&amp;77234250999)</f>
        <v>0</v>
      </c>
      <c r="AK163" s="62" t="n">
        <f aca="false">COUNTIFS(Данные!$B$2:$B$722,88,Данные!$C$2:$C$722,2,Данные!$A$2:$A$722,"&gt;="&amp;77233922950,Данные!$A$2:$A$722,"&lt;="&amp;77233924999)</f>
        <v>0</v>
      </c>
      <c r="AL163" s="62" t="n">
        <f aca="false">COUNTIFS(Данные!$B$2:$B$722,88,Данные!$C$2:$C$722,2,Данные!$A$2:$A$722,"&gt;="&amp;77234320000,Данные!$A$2:$A$722,"&lt;="&amp;77234320999)</f>
        <v>0</v>
      </c>
      <c r="AM163" s="62" t="n">
        <f aca="false">COUNTIFS(Данные!$B$2:$B$722,88,Данные!$C$2:$C$722,2,Данные!$A$2:$A$722,"&gt;="&amp;77234350000,Данные!$A$2:$A$722,"&lt;="&amp;77234350999)</f>
        <v>0</v>
      </c>
      <c r="AN163" s="62" t="n">
        <f aca="false">COUNTIFS(Данные!$B$2:$B$722,88,Данные!$C$2:$C$722,2,Данные!$A$2:$A$722,"&gt;="&amp;77234020000,Данные!$A$2:$A$722,"&lt;="&amp;77234020999)</f>
        <v>0</v>
      </c>
      <c r="AO163" s="62" t="n">
        <f aca="false">COUNTIFS(Данные!$B$2:$B$722,88,Данные!$C$2:$C$722,2,Данные!$A$2:$A$722,"&gt;="&amp;77234029000,Данные!$A$2:$A$722,"&lt;="&amp;77234029999)</f>
        <v>0</v>
      </c>
      <c r="AP163" s="62" t="n">
        <f aca="false">COUNTIFS(Данные!$B$2:$B$722,88,Данные!$C$2:$C$722,2,Данные!$A$2:$A$722,"&gt;="&amp;77234050000,Данные!$A$2:$A$722,"&lt;="&amp;77234050999)</f>
        <v>0</v>
      </c>
      <c r="AQ163" s="62" t="n">
        <f aca="false">COUNTIFS(Данные!$B$2:$B$722,88,Данные!$C$2:$C$722,2,Данные!$A$2:$A$722,"&gt;="&amp;77234427000,Данные!$A$2:$A$722,"&lt;="&amp;77234428999)</f>
        <v>0</v>
      </c>
      <c r="AR163" s="62" t="n">
        <f aca="false">COUNTIFS(Данные!$B$2:$B$722,88,Данные!$C$2:$C$722,2,Данные!$A$2:$A$722,"&gt;="&amp;77234450000,Данные!$A$2:$A$722,"&lt;="&amp;77234450999)</f>
        <v>0</v>
      </c>
      <c r="AS163" s="62" t="n">
        <f aca="false">COUNTIFS(Данные!$B$2:$B$722,88,Данные!$C$2:$C$722,2,Данные!$A$2:$A$722,"&gt;="&amp;77234620000,Данные!$A$2:$A$722,"&lt;="&amp;77234620999)</f>
        <v>0</v>
      </c>
      <c r="AT163" s="62" t="n">
        <f aca="false">COUNTIFS(Данные!$B$2:$B$722,88,Данные!$C$2:$C$722,2,Данные!$A$2:$A$722,"&gt;="&amp;77234650000,Данные!$A$2:$A$722,"&lt;="&amp;77234650999)</f>
        <v>0</v>
      </c>
      <c r="AU163" s="62" t="n">
        <f aca="false">COUNTIFS(Данные!$B$2:$B$722,88,Данные!$C$2:$C$722,2,Данные!$A$2:$A$722,"&gt;="&amp;77234820000,Данные!$A$2:$A$722,"&lt;="&amp;77234820999)</f>
        <v>0</v>
      </c>
      <c r="AV163" s="62" t="n">
        <f aca="false">COUNTIFS(Данные!$B$2:$B$722,88,Данные!$C$2:$C$722,2,Данные!$A$2:$A$722,"&gt;="&amp;77234850000,Данные!$A$2:$A$722,"&lt;="&amp;77234850999)</f>
        <v>0</v>
      </c>
      <c r="AW163" s="62" t="n">
        <f aca="false">COUNTIFS(Данные!$B$2:$B$722,88,Данные!$C$2:$C$722,2,Данные!$A$2:$A$722,"&gt;="&amp;77233327000,Данные!$A$2:$A$722,"&lt;="&amp;77233327999)</f>
        <v>0</v>
      </c>
      <c r="AX163" s="62" t="n">
        <f aca="false">COUNTIFS(Данные!$B$2:$B$722,88,Данные!$C$2:$C$722,2,Данные!$A$2:$A$722,"&gt;="&amp;77233350000,Данные!$A$2:$A$722,"&lt;="&amp;77233350599)</f>
        <v>0</v>
      </c>
      <c r="AY163" s="62" t="n">
        <f aca="false">COUNTIFS(Данные!$B$2:$B$722,88,Данные!$C$2:$C$722,2,Данные!$A$2:$A$722,"&gt;="&amp;77233351000,Данные!$A$2:$A$722,"&lt;="&amp;77233351999)</f>
        <v>0</v>
      </c>
      <c r="AZ163" s="63" t="n">
        <f aca="false">COUNTIFS(Данные!$B$2:$B$722,88,Данные!$C$2:$C$722,2,Данные!$A$2:$A$722,"&gt;="&amp;7722440000,Данные!$A$2:$A$722,"&lt;="&amp;7722440999)</f>
        <v>0</v>
      </c>
      <c r="BA163" s="63" t="n">
        <f aca="false">COUNTIFS(Данные!$B$2:$B$722,88,Данные!$C$2:$C$722,2,Данные!$A$2:$A$722,"&gt;="&amp;7722442000,Данные!$A$2:$A$722,"&lt;="&amp;7722445659)</f>
        <v>0</v>
      </c>
      <c r="BB163" s="63" t="n">
        <f aca="false">COUNTIFS(Данные!$B$2:$B$722,88,Данные!$C$2:$C$722,2,Данные!$A$2:$A$722,"&gt;="&amp;7722450000,Данные!$A$2:$A$722,"&lt;="&amp;7722450199)</f>
        <v>0</v>
      </c>
      <c r="BC163" s="63" t="n">
        <f aca="false">COUNTIFS(Данные!$B$2:$B$722,88,Данные!$C$2:$C$722,2,Данные!$A$2:$A$722,"&gt;="&amp;7722451000,Данные!$A$2:$A$722,"&lt;="&amp;7722451374)</f>
        <v>0</v>
      </c>
      <c r="BD163" s="63" t="n">
        <f aca="false">COUNTIFS(Данные!$B$2:$B$722,88,Данные!$C$2:$C$722,2,Данные!$A$2:$A$722,"&gt;="&amp;7722452000,Данные!$A$2:$A$722,"&lt;="&amp;7722452299)</f>
        <v>0</v>
      </c>
      <c r="BE163" s="63" t="n">
        <f aca="false">COUNTIFS(Данные!$B$2:$B$722,88,Данные!$C$2:$C$722,2,Данные!$A$2:$A$722,"&gt;="&amp;7722453000,Данные!$A$2:$A$722,"&lt;="&amp;7722453816)</f>
        <v>0</v>
      </c>
      <c r="BF163" s="63" t="n">
        <f aca="false">COUNTIFS(Данные!$B$2:$B$722,88,Данные!$C$2:$C$722,2,Данные!$A$2:$A$722,"&gt;="&amp;7722454000,Данные!$A$2:$A$722,"&lt;="&amp;7722454099)</f>
        <v>0</v>
      </c>
      <c r="BG163" s="63" t="n">
        <f aca="false">COUNTIFS(Данные!$B$2:$B$722,88,Данные!$C$2:$C$722,2,Данные!$A$2:$A$722,"&gt;="&amp;7722458000,Данные!$A$2:$A$722,"&lt;="&amp;7722458999)</f>
        <v>0</v>
      </c>
      <c r="BH163" s="63" t="n">
        <f aca="false">COUNTIFS(Данные!$B$2:$B$722,88,Данные!$C$2:$C$722,2,Данные!$A$2:$A$722,"&gt;="&amp;7722630000,Данные!$A$2:$A$722,"&lt;="&amp;7722638549)</f>
        <v>0</v>
      </c>
      <c r="BI163" s="63" t="n">
        <f aca="false">COUNTIFS(Данные!$B$2:$B$722,88,Данные!$C$2:$C$722,2,Данные!$A$2:$A$722,"&gt;="&amp;7722639400,Данные!$A$2:$A$722,"&lt;="&amp;7722639899)</f>
        <v>0</v>
      </c>
      <c r="BJ163" s="63" t="n">
        <f aca="false">COUNTIFS(Данные!$B$2:$B$722,88,Данные!$C$2:$C$722,2,Данные!$A$2:$A$722,"&gt;="&amp;7725750000,Данные!$A$2:$A$722,"&lt;="&amp;7725750399)</f>
        <v>0</v>
      </c>
      <c r="BK163" s="63" t="n">
        <f aca="false">COUNTIFS(Данные!$B$2:$B$722,88,Данные!$C$2:$C$722,2,Данные!$A$2:$A$722,"&gt;="&amp;7723620000,Данные!$A$2:$A$722,"&lt;="&amp;7723621299)</f>
        <v>0</v>
      </c>
      <c r="BL163" s="63" t="n">
        <f aca="false">COUNTIFS(Данные!$B$2:$B$722,88,Данные!$C$2:$C$722,2,Данные!$A$2:$A$722,"&gt;="&amp;7723621600,Данные!$A$2:$A$722,"&lt;="&amp;7723623399)</f>
        <v>0</v>
      </c>
      <c r="BM163" s="63" t="n">
        <f aca="false">COUNTIFS(Данные!$B$2:$B$722,88,Данные!$C$2:$C$722,2,Данные!$A$2:$A$722,"&gt;="&amp;7725127000,Данные!$A$2:$A$722,"&lt;="&amp;7725127999)</f>
        <v>0</v>
      </c>
      <c r="BN163" s="63" t="n">
        <f aca="false">COUNTIFS(Данные!$B$2:$B$722,88,Данные!$C$2:$C$722,2,Данные!$A$2:$A$722,"&gt;="&amp;7723772000,Данные!$A$2:$A$722,"&lt;="&amp;7723724999)</f>
        <v>0</v>
      </c>
      <c r="BO163" s="62" t="n">
        <f aca="false">COUNTIFS(Данные!$B$2:$B$722,88,Данные!$C$2:$C$722,2,Данные!$A$2:$A$722,"&gt;="&amp;7723765000,Данные!$A$2:$A$722,"&lt;="&amp;7723765499)</f>
        <v>0</v>
      </c>
      <c r="BP163" s="63" t="n">
        <f aca="false">COUNTIFS(Данные!$B$2:$B$722,88,Данные!$C$2:$C$722,2,Данные!$A$2:$A$722,"&gt;="&amp;7723948000,Данные!$A$2:$A$722,"&lt;="&amp;7723948999)</f>
        <v>0</v>
      </c>
      <c r="BQ163" s="63" t="n">
        <f aca="false">COUNTIFS(Данные!$B$2:$B$722,88,Данные!$C$2:$C$722,2,Данные!$A$2:$A$722,"&gt;="&amp;7723950000,Данные!$A$2:$A$722,"&lt;="&amp;7723951099)</f>
        <v>0</v>
      </c>
      <c r="BR163" s="63" t="n">
        <f aca="false">COUNTIFS(Данные!$B$2:$B$722,88,Данные!$C$2:$C$722,2,Данные!$A$2:$A$722,"&gt;="&amp;7723020000,Данные!$A$2:$A$722,"&lt;="&amp;7723020999)</f>
        <v>0</v>
      </c>
      <c r="BS163" s="63" t="n">
        <f aca="false">COUNTIFS(Данные!$B$2:$B$722,88,Данные!$C$2:$C$722,2,Данные!$A$2:$A$722,"&gt;="&amp;7723029000,Данные!$A$2:$A$722,"&lt;="&amp;7723029999)</f>
        <v>0</v>
      </c>
      <c r="BT163" s="63" t="n">
        <f aca="false">COUNTIFS(Данные!$B$2:$B$722,88,Данные!$C$2:$C$722,2,Данные!$A$2:$A$722,"&gt;="&amp;7723055000,Данные!$A$2:$A$722,"&lt;="&amp;7723056549)</f>
        <v>0</v>
      </c>
      <c r="BU163" s="62" t="n">
        <f aca="false">COUNTIFS(Данные!$B$2:$B$722,88,Данные!$C$2:$C$722,2,Данные!$A$2:$A$722,"&gt;="&amp;7725250000,Данные!$A$2:$A$722,"&lt;="&amp;7725250499)</f>
        <v>0</v>
      </c>
      <c r="BV163" s="63" t="n">
        <f aca="false">COUNTIFS(Данные!$B$2:$B$722,88,Данные!$C$2:$C$722,2,Данные!$A$2:$A$722,"&gt;="&amp;7183841400,Данные!$A$2:$A$722,"&lt;="&amp;7183841499)</f>
        <v>0</v>
      </c>
      <c r="BW163" s="40" t="n">
        <v>300</v>
      </c>
      <c r="BX163" s="64" t="n">
        <f aca="false">F163-BW163</f>
        <v>-300</v>
      </c>
    </row>
    <row r="164" s="15" customFormat="true" ht="12" hidden="false" customHeight="true" outlineLevel="0" collapsed="false">
      <c r="A164" s="47" t="n">
        <v>89</v>
      </c>
      <c r="B164" s="48" t="s">
        <v>114</v>
      </c>
      <c r="C164" s="50" t="n">
        <v>0</v>
      </c>
      <c r="D164" s="50" t="n">
        <v>890</v>
      </c>
      <c r="E164" s="51" t="n">
        <f aca="false">SUM(F164:F166)</f>
        <v>0</v>
      </c>
      <c r="F164" s="65" t="n">
        <f aca="false">COUNTIFS(Данные!$B$2:$B$722,89,Данные!$C$2:$C$722,0)</f>
        <v>0</v>
      </c>
      <c r="G164" s="65" t="n">
        <f aca="false">COUNTIFS(Данные!$B$2:$B$722,89,Данные!$C$2:$C$722,0,Данные!$A$2:$A$722,"&gt;="&amp;77232210840,Данные!$A$2:$A$722,"&lt;="&amp;77232216999)</f>
        <v>0</v>
      </c>
      <c r="H164" s="65" t="n">
        <f aca="false">COUNTIFS(Данные!$B$2:$B$722,89,Данные!$C$2:$C$722,0,Данные!$A$2:$A$722,"&gt;="&amp;77232510512,Данные!$A$2:$A$722,"&lt;="&amp;77232519487)</f>
        <v>0</v>
      </c>
      <c r="I164" s="65" t="n">
        <f aca="false">COUNTIFS(Данные!$B$2:$B$722,89,Данные!$C$2:$C$722,0,Данные!$A$2:$A$722,"&gt;="&amp;77232524160,Данные!$A$2:$A$722,"&lt;="&amp;77232529999)</f>
        <v>0</v>
      </c>
      <c r="J164" s="65" t="n">
        <f aca="false">COUNTIFS(Данные!$B$2:$B$722,89,Данные!$C$2:$C$722,0,Данные!$A$2:$A$722,"&gt;="&amp;77232544000,Данные!$A$2:$A$722,"&lt;="&amp;77232544999)</f>
        <v>0</v>
      </c>
      <c r="K164" s="65" t="n">
        <f aca="false">COUNTIFS(Данные!$B$2:$B$722,89,Данные!$C$2:$C$722,0,Данные!$A$2:$A$722,"&gt;="&amp;77232295504,Данные!$A$2:$A$722,"&lt;="&amp;77232296999)</f>
        <v>0</v>
      </c>
      <c r="L164" s="65" t="n">
        <f aca="false">COUNTIFS(Данные!$B$2:$B$722,89,Данные!$C$2:$C$722,0,Данные!$A$2:$A$722,"&gt;="&amp;77232785000,Данные!$A$2:$A$722,"&lt;="&amp;77232789999)</f>
        <v>0</v>
      </c>
      <c r="M164" s="65" t="n">
        <f aca="false">COUNTIFS(Данные!$B$2:$B$722,89,Данные!$C$2:$C$722,0,Данные!$A$2:$A$722,"&gt;="&amp;77233150000,Данные!$A$2:$A$722,"&lt;="&amp;77233155999)</f>
        <v>0</v>
      </c>
      <c r="N164" s="65" t="n">
        <f aca="false">COUNTIFS(Данные!$B$2:$B$722,89,Данные!$C$2:$C$722,0,Данные!$A$2:$A$722,"&gt;="&amp;77233235000,Данные!$A$2:$A$722,"&lt;="&amp;77233235999)</f>
        <v>0</v>
      </c>
      <c r="O164" s="65" t="n">
        <f aca="false">COUNTIFS(Данные!$B$2:$B$722,89,Данные!$C$2:$C$722,0,Данные!$A$2:$A$722,"&gt;="&amp;77233239000,Данные!$A$2:$A$722,"&lt;="&amp;77233239999)</f>
        <v>0</v>
      </c>
      <c r="P164" s="65" t="n">
        <f aca="false">COUNTIFS(Данные!$B$2:$B$722,89,Данные!$C$2:$C$722,0,Данные!$A$2:$A$722,"&gt;="&amp;77233272000,Данные!$A$2:$A$722,"&lt;="&amp;77233272999)</f>
        <v>0</v>
      </c>
      <c r="Q164" s="65" t="n">
        <f aca="false">COUNTIFS(Данные!$B$2:$B$722,89,Данные!$C$2:$C$722,0,Данные!$A$2:$A$722,"&gt;="&amp;77233291100,Данные!$A$2:$A$722,"&lt;="&amp;77233292999)</f>
        <v>0</v>
      </c>
      <c r="R164" s="65" t="n">
        <f aca="false">COUNTIFS(Данные!$B$2:$B$722,89,Данные!$C$2:$C$722,0,Данные!$A$2:$A$722,"&gt;="&amp;77233297000,Данные!$A$2:$A$722,"&lt;="&amp;77233298399)</f>
        <v>0</v>
      </c>
      <c r="S164" s="65" t="n">
        <f aca="false">COUNTIFS(Данные!$B$2:$B$722,89,Данные!$C$2:$C$722,0,Данные!$A$2:$A$722,"&gt;="&amp;77235124000,Данные!$A$2:$A$722,"&lt;="&amp;77235128499)</f>
        <v>0</v>
      </c>
      <c r="T164" s="65" t="n">
        <f aca="false">COUNTIFS(Данные!$B$2:$B$722,89,Данные!$C$2:$C$722,0,Данные!$A$2:$A$722,"&gt;="&amp;77235320000,Данные!$A$2:$A$722,"&lt;="&amp;77235320999)</f>
        <v>0</v>
      </c>
      <c r="U164" s="65" t="n">
        <f aca="false">COUNTIFS(Данные!$B$2:$B$722,89,Данные!$C$2:$C$722,0,Данные!$A$2:$A$722,"&gt;="&amp;77233620000,Данные!$A$2:$A$722,"&lt;="&amp;77233623339)</f>
        <v>0</v>
      </c>
      <c r="V164" s="65" t="n">
        <f aca="false">COUNTIFS(Данные!$B$2:$B$722,89,Данные!$C$2:$C$722,0,Данные!$A$2:$A$722,"&gt;="&amp;77233630000,Данные!$A$2:$A$722,"&lt;="&amp;77233630999)</f>
        <v>0</v>
      </c>
      <c r="W164" s="65" t="n">
        <f aca="false">COUNTIFS(Данные!$B$2:$B$722,89,Данные!$C$2:$C$722,0,Данные!$A$2:$A$722,"&gt;="&amp;77233637000,Данные!$A$2:$A$722,"&lt;="&amp;77233637599)</f>
        <v>0</v>
      </c>
      <c r="X164" s="65" t="n">
        <f aca="false">COUNTIFS(Данные!$B$2:$B$722,89,Данные!$C$2:$C$722,0,Данные!$A$2:$A$722,"&gt;="&amp;77233550000,Данные!$A$2:$A$722,"&lt;="&amp;77233550999)</f>
        <v>0</v>
      </c>
      <c r="Y164" s="65" t="n">
        <f aca="false">COUNTIFS(Данные!$B$2:$B$722,89,Данные!$C$2:$C$722,0,Данные!$A$2:$A$722,"&gt;="&amp;77233554000,Данные!$A$2:$A$722,"&lt;="&amp;77233554999)</f>
        <v>0</v>
      </c>
      <c r="Z164" s="65" t="n">
        <f aca="false">COUNTIFS(Данные!$B$2:$B$722,89,Данные!$C$2:$C$722,0,Данные!$A$2:$A$722,"&gt;="&amp;77233555000,Данные!$A$2:$A$722,"&lt;="&amp;77233556999)</f>
        <v>0</v>
      </c>
      <c r="AA164" s="65" t="n">
        <f aca="false">COUNTIFS(Данные!$B$2:$B$722,89,Данные!$C$2:$C$722,0,Данные!$A$2:$A$722,"&gt;="&amp;77233726000,Данные!$A$2:$A$722,"&lt;="&amp;77233726999)</f>
        <v>0</v>
      </c>
      <c r="AB164" s="65" t="n">
        <f aca="false">COUNTIFS(Данные!$B$2:$B$722,89,Данные!$C$2:$C$722,0,Данные!$A$2:$A$722,"&gt;="&amp;77233820000,Данные!$A$2:$A$722,"&lt;="&amp;77233820999)</f>
        <v>0</v>
      </c>
      <c r="AC164" s="65" t="n">
        <f aca="false">COUNTIFS(Данные!$B$2:$B$722,89,Данные!$C$2:$C$722,0,Данные!$A$2:$A$722,"&gt;="&amp;77233850000,Данные!$A$2:$A$722,"&lt;="&amp;77233850999)</f>
        <v>0</v>
      </c>
      <c r="AD164" s="65" t="n">
        <f aca="false">COUNTIFS(Данные!$B$2:$B$722,89,Данные!$C$2:$C$722,0,Данные!$A$2:$A$722,"&gt;="&amp;77233420000,Данные!$A$2:$A$722,"&lt;="&amp;77233420999)</f>
        <v>0</v>
      </c>
      <c r="AE164" s="65" t="n">
        <f aca="false">COUNTIFS(Данные!$B$2:$B$722,89,Данные!$C$2:$C$722,0,Данные!$A$2:$A$722,"&gt;="&amp;77234740000,Данные!$A$2:$A$722,"&lt;="&amp;77234742999)</f>
        <v>0</v>
      </c>
      <c r="AF164" s="65" t="n">
        <f aca="false">COUNTIFS(Данные!$B$2:$B$722,89,Данные!$C$2:$C$722,0,Данные!$A$2:$A$722,"&gt;="&amp;77234767000,Данные!$A$2:$A$722,"&lt;="&amp;77234767999)</f>
        <v>0</v>
      </c>
      <c r="AG164" s="65" t="n">
        <f aca="false">COUNTIFS(Данные!$B$2:$B$722,89,Данные!$C$2:$C$722,0,Данные!$A$2:$A$722,"&gt;="&amp;77234120000,Данные!$A$2:$A$722,"&lt;="&amp;77234120999)</f>
        <v>0</v>
      </c>
      <c r="AH164" s="65" t="n">
        <f aca="false">COUNTIFS(Данные!$B$2:$B$722,89,Данные!$C$2:$C$722,0,Данные!$A$2:$A$722,"&gt;="&amp;77234127000,Данные!$A$2:$A$722,"&lt;="&amp;77234127999)</f>
        <v>0</v>
      </c>
      <c r="AI164" s="65" t="n">
        <f aca="false">COUNTIFS(Данные!$B$2:$B$722,89,Данные!$C$2:$C$722,0,Данные!$A$2:$A$722,"&gt;="&amp;77234220000,Данные!$A$2:$A$722,"&lt;="&amp;77234220999)</f>
        <v>0</v>
      </c>
      <c r="AJ164" s="65" t="n">
        <f aca="false">COUNTIFS(Данные!$B$2:$B$722,89,Данные!$C$2:$C$722,0,Данные!$A$2:$A$722,"&gt;="&amp;77234250000,Данные!$A$2:$A$722,"&lt;="&amp;77234250999)</f>
        <v>0</v>
      </c>
      <c r="AK164" s="65" t="n">
        <f aca="false">COUNTIFS(Данные!$B$2:$B$722,89,Данные!$C$2:$C$722,0,Данные!$A$2:$A$722,"&gt;="&amp;77233922950,Данные!$A$2:$A$722,"&lt;="&amp;77233924999)</f>
        <v>0</v>
      </c>
      <c r="AL164" s="65" t="n">
        <f aca="false">COUNTIFS(Данные!$B$2:$B$722,89,Данные!$C$2:$C$722,0,Данные!$A$2:$A$722,"&gt;="&amp;77234320000,Данные!$A$2:$A$722,"&lt;="&amp;77234320999)</f>
        <v>0</v>
      </c>
      <c r="AM164" s="65" t="n">
        <f aca="false">COUNTIFS(Данные!$B$2:$B$722,89,Данные!$C$2:$C$722,0,Данные!$A$2:$A$722,"&gt;="&amp;77234350000,Данные!$A$2:$A$722,"&lt;="&amp;77234350999)</f>
        <v>0</v>
      </c>
      <c r="AN164" s="65" t="n">
        <f aca="false">COUNTIFS(Данные!$B$2:$B$722,89,Данные!$C$2:$C$722,0,Данные!$A$2:$A$722,"&gt;="&amp;77234020000,Данные!$A$2:$A$722,"&lt;="&amp;77234020999)</f>
        <v>0</v>
      </c>
      <c r="AO164" s="65" t="n">
        <f aca="false">COUNTIFS(Данные!$B$2:$B$722,89,Данные!$C$2:$C$722,0,Данные!$A$2:$A$722,"&gt;="&amp;77234029000,Данные!$A$2:$A$722,"&lt;="&amp;77234029999)</f>
        <v>0</v>
      </c>
      <c r="AP164" s="65" t="n">
        <f aca="false">COUNTIFS(Данные!$B$2:$B$722,89,Данные!$C$2:$C$722,0,Данные!$A$2:$A$722,"&gt;="&amp;77234050000,Данные!$A$2:$A$722,"&lt;="&amp;77234050999)</f>
        <v>0</v>
      </c>
      <c r="AQ164" s="65" t="n">
        <f aca="false">COUNTIFS(Данные!$B$2:$B$722,89,Данные!$C$2:$C$722,0,Данные!$A$2:$A$722,"&gt;="&amp;77234427000,Данные!$A$2:$A$722,"&lt;="&amp;77234428999)</f>
        <v>0</v>
      </c>
      <c r="AR164" s="65" t="n">
        <f aca="false">COUNTIFS(Данные!$B$2:$B$722,89,Данные!$C$2:$C$722,0,Данные!$A$2:$A$722,"&gt;="&amp;77234450000,Данные!$A$2:$A$722,"&lt;="&amp;77234450999)</f>
        <v>0</v>
      </c>
      <c r="AS164" s="65" t="n">
        <f aca="false">COUNTIFS(Данные!$B$2:$B$722,89,Данные!$C$2:$C$722,0,Данные!$A$2:$A$722,"&gt;="&amp;77234620000,Данные!$A$2:$A$722,"&lt;="&amp;77234620999)</f>
        <v>0</v>
      </c>
      <c r="AT164" s="65" t="n">
        <f aca="false">COUNTIFS(Данные!$B$2:$B$722,89,Данные!$C$2:$C$722,0,Данные!$A$2:$A$722,"&gt;="&amp;77234650000,Данные!$A$2:$A$722,"&lt;="&amp;77234650999)</f>
        <v>0</v>
      </c>
      <c r="AU164" s="65" t="n">
        <f aca="false">COUNTIFS(Данные!$B$2:$B$722,89,Данные!$C$2:$C$722,0,Данные!$A$2:$A$722,"&gt;="&amp;77234820000,Данные!$A$2:$A$722,"&lt;="&amp;77234820999)</f>
        <v>0</v>
      </c>
      <c r="AV164" s="65" t="n">
        <f aca="false">COUNTIFS(Данные!$B$2:$B$722,89,Данные!$C$2:$C$722,0,Данные!$A$2:$A$722,"&gt;="&amp;77234850000,Данные!$A$2:$A$722,"&lt;="&amp;77234850999)</f>
        <v>0</v>
      </c>
      <c r="AW164" s="65" t="n">
        <f aca="false">COUNTIFS(Данные!$B$2:$B$722,89,Данные!$C$2:$C$722,0,Данные!$A$2:$A$722,"&gt;="&amp;77233327000,Данные!$A$2:$A$722,"&lt;="&amp;77233327999)</f>
        <v>0</v>
      </c>
      <c r="AX164" s="65" t="n">
        <f aca="false">COUNTIFS(Данные!$B$2:$B$722,89,Данные!$C$2:$C$722,0,Данные!$A$2:$A$722,"&gt;="&amp;77233350000,Данные!$A$2:$A$722,"&lt;="&amp;77233350599)</f>
        <v>0</v>
      </c>
      <c r="AY164" s="65" t="n">
        <f aca="false">COUNTIFS(Данные!$B$2:$B$722,89,Данные!$C$2:$C$722,0,Данные!$A$2:$A$722,"&gt;="&amp;77233351000,Данные!$A$2:$A$722,"&lt;="&amp;77233351999)</f>
        <v>0</v>
      </c>
      <c r="AZ164" s="66" t="n">
        <f aca="false">COUNTIFS(Данные!$B$2:$B$722,89,Данные!$C$2:$C$722,0,Данные!$A$2:$A$722,"&gt;="&amp;7722440000,Данные!$A$2:$A$722,"&lt;="&amp;7722440999)</f>
        <v>0</v>
      </c>
      <c r="BA164" s="66" t="n">
        <f aca="false">COUNTIFS(Данные!$B$2:$B$722,89,Данные!$C$2:$C$722,0,Данные!$A$2:$A$722,"&gt;="&amp;7722442000,Данные!$A$2:$A$722,"&lt;="&amp;7722445659)</f>
        <v>0</v>
      </c>
      <c r="BB164" s="66" t="n">
        <f aca="false">COUNTIFS(Данные!$B$2:$B$722,89,Данные!$C$2:$C$722,0,Данные!$A$2:$A$722,"&gt;="&amp;7722450000,Данные!$A$2:$A$722,"&lt;="&amp;7722450199)</f>
        <v>0</v>
      </c>
      <c r="BC164" s="66" t="n">
        <f aca="false">COUNTIFS(Данные!$B$2:$B$722,89,Данные!$C$2:$C$722,0,Данные!$A$2:$A$722,"&gt;="&amp;7722451000,Данные!$A$2:$A$722,"&lt;="&amp;7722451374)</f>
        <v>0</v>
      </c>
      <c r="BD164" s="66" t="n">
        <f aca="false">COUNTIFS(Данные!$B$2:$B$722,89,Данные!$C$2:$C$722,0,Данные!$A$2:$A$722,"&gt;="&amp;7722452000,Данные!$A$2:$A$722,"&lt;="&amp;7722452299)</f>
        <v>0</v>
      </c>
      <c r="BE164" s="66" t="n">
        <f aca="false">COUNTIFS(Данные!$B$2:$B$722,89,Данные!$C$2:$C$722,0,Данные!$A$2:$A$722,"&gt;="&amp;7722453000,Данные!$A$2:$A$722,"&lt;="&amp;7722453816)</f>
        <v>0</v>
      </c>
      <c r="BF164" s="66" t="n">
        <f aca="false">COUNTIFS(Данные!$B$2:$B$722,89,Данные!$C$2:$C$722,0,Данные!$A$2:$A$722,"&gt;="&amp;7722454000,Данные!$A$2:$A$722,"&lt;="&amp;7722454099)</f>
        <v>0</v>
      </c>
      <c r="BG164" s="66" t="n">
        <f aca="false">COUNTIFS(Данные!$B$2:$B$722,89,Данные!$C$2:$C$722,0,Данные!$A$2:$A$722,"&gt;="&amp;7722458000,Данные!$A$2:$A$722,"&lt;="&amp;7722458999)</f>
        <v>0</v>
      </c>
      <c r="BH164" s="66" t="n">
        <f aca="false">COUNTIFS(Данные!$B$2:$B$722,89,Данные!$C$2:$C$722,0,Данные!$A$2:$A$722,"&gt;="&amp;7722630000,Данные!$A$2:$A$722,"&lt;="&amp;7722638549)</f>
        <v>0</v>
      </c>
      <c r="BI164" s="66" t="n">
        <f aca="false">COUNTIFS(Данные!$B$2:$B$722,89,Данные!$C$2:$C$722,0,Данные!$A$2:$A$722,"&gt;="&amp;7722639400,Данные!$A$2:$A$722,"&lt;="&amp;7722639899)</f>
        <v>0</v>
      </c>
      <c r="BJ164" s="66" t="n">
        <f aca="false">COUNTIFS(Данные!$B$2:$B$722,89,Данные!$C$2:$C$722,0,Данные!$A$2:$A$722,"&gt;="&amp;7725750000,Данные!$A$2:$A$722,"&lt;="&amp;7725750399)</f>
        <v>0</v>
      </c>
      <c r="BK164" s="66" t="n">
        <f aca="false">COUNTIFS(Данные!$B$2:$B$722,89,Данные!$C$2:$C$722,0,Данные!$A$2:$A$722,"&gt;="&amp;7723620000,Данные!$A$2:$A$722,"&lt;="&amp;7723621299)</f>
        <v>0</v>
      </c>
      <c r="BL164" s="66" t="n">
        <f aca="false">COUNTIFS(Данные!$B$2:$B$722,89,Данные!$C$2:$C$722,0,Данные!$A$2:$A$722,"&gt;="&amp;7723621600,Данные!$A$2:$A$722,"&lt;="&amp;7723623399)</f>
        <v>0</v>
      </c>
      <c r="BM164" s="66" t="n">
        <f aca="false">COUNTIFS(Данные!$B$2:$B$722,89,Данные!$C$2:$C$722,0,Данные!$A$2:$A$722,"&gt;="&amp;7725127000,Данные!$A$2:$A$722,"&lt;="&amp;7725127999)</f>
        <v>0</v>
      </c>
      <c r="BN164" s="66" t="n">
        <f aca="false">COUNTIFS(Данные!$B$2:$B$722,89,Данные!$C$2:$C$722,0,Данные!$A$2:$A$722,"&gt;="&amp;7723772000,Данные!$A$2:$A$722,"&lt;="&amp;7723724999)</f>
        <v>0</v>
      </c>
      <c r="BO164" s="65" t="n">
        <f aca="false">COUNTIFS(Данные!$B$2:$B$722,89,Данные!$C$2:$C$722,0,Данные!$A$2:$A$722,"&gt;="&amp;7723765000,Данные!$A$2:$A$722,"&lt;="&amp;7723765499)</f>
        <v>0</v>
      </c>
      <c r="BP164" s="66" t="n">
        <f aca="false">COUNTIFS(Данные!$B$2:$B$722,89,Данные!$C$2:$C$722,0,Данные!$A$2:$A$722,"&gt;="&amp;7723948000,Данные!$A$2:$A$722,"&lt;="&amp;7723948999)</f>
        <v>0</v>
      </c>
      <c r="BQ164" s="66" t="n">
        <f aca="false">COUNTIFS(Данные!$B$2:$B$722,89,Данные!$C$2:$C$722,0,Данные!$A$2:$A$722,"&gt;="&amp;7723950000,Данные!$A$2:$A$722,"&lt;="&amp;7723951099)</f>
        <v>0</v>
      </c>
      <c r="BR164" s="66" t="n">
        <f aca="false">COUNTIFS(Данные!$B$2:$B$722,89,Данные!$C$2:$C$722,0,Данные!$A$2:$A$722,"&gt;="&amp;7723020000,Данные!$A$2:$A$722,"&lt;="&amp;7723020999)</f>
        <v>0</v>
      </c>
      <c r="BS164" s="66" t="n">
        <f aca="false">COUNTIFS(Данные!$B$2:$B$722,89,Данные!$C$2:$C$722,0,Данные!$A$2:$A$722,"&gt;="&amp;7723029000,Данные!$A$2:$A$722,"&lt;="&amp;7723029999)</f>
        <v>0</v>
      </c>
      <c r="BT164" s="66" t="n">
        <f aca="false">COUNTIFS(Данные!$B$2:$B$722,89,Данные!$C$2:$C$722,0,Данные!$A$2:$A$722,"&gt;="&amp;7723055000,Данные!$A$2:$A$722,"&lt;="&amp;7723056549)</f>
        <v>0</v>
      </c>
      <c r="BU164" s="65" t="n">
        <f aca="false">COUNTIFS(Данные!$B$2:$B$722,89,Данные!$C$2:$C$722,0,Данные!$A$2:$A$722,"&gt;="&amp;7725250000,Данные!$A$2:$A$722,"&lt;="&amp;7725250499)</f>
        <v>0</v>
      </c>
      <c r="BV164" s="66" t="n">
        <f aca="false">COUNTIFS(Данные!$B$2:$B$722,89,Данные!$C$2:$C$722,0,Данные!$A$2:$A$722,"&gt;="&amp;7183841400,Данные!$A$2:$A$722,"&lt;="&amp;7183841499)</f>
        <v>0</v>
      </c>
      <c r="BW164" s="49" t="n">
        <v>300</v>
      </c>
      <c r="BX164" s="67" t="n">
        <f aca="false">F164-BW164</f>
        <v>-300</v>
      </c>
    </row>
    <row r="165" s="15" customFormat="true" ht="12" hidden="false" customHeight="true" outlineLevel="0" collapsed="false">
      <c r="A165" s="47"/>
      <c r="B165" s="48"/>
      <c r="C165" s="50" t="n">
        <v>1</v>
      </c>
      <c r="D165" s="50" t="n">
        <v>891</v>
      </c>
      <c r="E165" s="51"/>
      <c r="F165" s="65" t="n">
        <f aca="false">COUNTIFS(Данные!$B$2:$B$722,89,Данные!$C$2:$C$722,1)</f>
        <v>0</v>
      </c>
      <c r="G165" s="65" t="n">
        <f aca="false">COUNTIFS(Данные!$B$2:$B$722,89,Данные!$C$2:$C$722,1,Данные!$A$2:$A$722,"&gt;="&amp;77232210840,Данные!$A$2:$A$722,"&lt;="&amp;77232216999)</f>
        <v>0</v>
      </c>
      <c r="H165" s="65" t="n">
        <f aca="false">COUNTIFS(Данные!$B$2:$B$722,89,Данные!$C$2:$C$722,1,Данные!$A$2:$A$722,"&gt;="&amp;77232510512,Данные!$A$2:$A$722,"&lt;="&amp;77232519487)</f>
        <v>0</v>
      </c>
      <c r="I165" s="65" t="n">
        <f aca="false">COUNTIFS(Данные!$B$2:$B$722,89,Данные!$C$2:$C$722,1,Данные!$A$2:$A$722,"&gt;="&amp;77232524160,Данные!$A$2:$A$722,"&lt;="&amp;77232529999)</f>
        <v>0</v>
      </c>
      <c r="J165" s="65" t="n">
        <f aca="false">COUNTIFS(Данные!$B$2:$B$722,89,Данные!$C$2:$C$722,1,Данные!$A$2:$A$722,"&gt;="&amp;77232544000,Данные!$A$2:$A$722,"&lt;="&amp;77232544999)</f>
        <v>0</v>
      </c>
      <c r="K165" s="65" t="n">
        <f aca="false">COUNTIFS(Данные!$B$2:$B$722,89,Данные!$C$2:$C$722,1,Данные!$A$2:$A$722,"&gt;="&amp;77232295504,Данные!$A$2:$A$722,"&lt;="&amp;77232296999)</f>
        <v>0</v>
      </c>
      <c r="L165" s="65" t="n">
        <f aca="false">COUNTIFS(Данные!$B$2:$B$722,89,Данные!$C$2:$C$722,1,Данные!$A$2:$A$722,"&gt;="&amp;77232785000,Данные!$A$2:$A$722,"&lt;="&amp;77232789999)</f>
        <v>0</v>
      </c>
      <c r="M165" s="65" t="n">
        <f aca="false">COUNTIFS(Данные!$B$2:$B$722,89,Данные!$C$2:$C$722,1,Данные!$A$2:$A$722,"&gt;="&amp;77233150000,Данные!$A$2:$A$722,"&lt;="&amp;77233155999)</f>
        <v>0</v>
      </c>
      <c r="N165" s="65" t="n">
        <f aca="false">COUNTIFS(Данные!$B$2:$B$722,89,Данные!$C$2:$C$722,1,Данные!$A$2:$A$722,"&gt;="&amp;77233235000,Данные!$A$2:$A$722,"&lt;="&amp;77233235999)</f>
        <v>0</v>
      </c>
      <c r="O165" s="65" t="n">
        <f aca="false">COUNTIFS(Данные!$B$2:$B$722,89,Данные!$C$2:$C$722,1,Данные!$A$2:$A$722,"&gt;="&amp;77233239000,Данные!$A$2:$A$722,"&lt;="&amp;77233239999)</f>
        <v>0</v>
      </c>
      <c r="P165" s="65" t="n">
        <f aca="false">COUNTIFS(Данные!$B$2:$B$722,89,Данные!$C$2:$C$722,1,Данные!$A$2:$A$722,"&gt;="&amp;77233272000,Данные!$A$2:$A$722,"&lt;="&amp;77233272999)</f>
        <v>0</v>
      </c>
      <c r="Q165" s="65" t="n">
        <f aca="false">COUNTIFS(Данные!$B$2:$B$722,89,Данные!$C$2:$C$722,1,Данные!$A$2:$A$722,"&gt;="&amp;77233291100,Данные!$A$2:$A$722,"&lt;="&amp;77233292999)</f>
        <v>0</v>
      </c>
      <c r="R165" s="65" t="n">
        <f aca="false">COUNTIFS(Данные!$B$2:$B$722,89,Данные!$C$2:$C$722,1,Данные!$A$2:$A$722,"&gt;="&amp;77233297000,Данные!$A$2:$A$722,"&lt;="&amp;77233298399)</f>
        <v>0</v>
      </c>
      <c r="S165" s="65" t="n">
        <f aca="false">COUNTIFS(Данные!$B$2:$B$722,89,Данные!$C$2:$C$722,1,Данные!$A$2:$A$722,"&gt;="&amp;77235124000,Данные!$A$2:$A$722,"&lt;="&amp;77235128499)</f>
        <v>0</v>
      </c>
      <c r="T165" s="65" t="n">
        <f aca="false">COUNTIFS(Данные!$B$2:$B$722,89,Данные!$C$2:$C$722,1,Данные!$A$2:$A$722,"&gt;="&amp;77235320000,Данные!$A$2:$A$722,"&lt;="&amp;77235320999)</f>
        <v>0</v>
      </c>
      <c r="U165" s="65" t="n">
        <f aca="false">COUNTIFS(Данные!$B$2:$B$722,89,Данные!$C$2:$C$722,1,Данные!$A$2:$A$722,"&gt;="&amp;77233620000,Данные!$A$2:$A$722,"&lt;="&amp;77233623339)</f>
        <v>0</v>
      </c>
      <c r="V165" s="65" t="n">
        <f aca="false">COUNTIFS(Данные!$B$2:$B$722,89,Данные!$C$2:$C$722,1,Данные!$A$2:$A$722,"&gt;="&amp;77233630000,Данные!$A$2:$A$722,"&lt;="&amp;77233630999)</f>
        <v>0</v>
      </c>
      <c r="W165" s="65" t="n">
        <f aca="false">COUNTIFS(Данные!$B$2:$B$722,89,Данные!$C$2:$C$722,1,Данные!$A$2:$A$722,"&gt;="&amp;77233637000,Данные!$A$2:$A$722,"&lt;="&amp;77233637599)</f>
        <v>0</v>
      </c>
      <c r="X165" s="65" t="n">
        <f aca="false">COUNTIFS(Данные!$B$2:$B$722,89,Данные!$C$2:$C$722,1,Данные!$A$2:$A$722,"&gt;="&amp;77233550000,Данные!$A$2:$A$722,"&lt;="&amp;77233550999)</f>
        <v>0</v>
      </c>
      <c r="Y165" s="65" t="n">
        <f aca="false">COUNTIFS(Данные!$B$2:$B$722,89,Данные!$C$2:$C$722,1,Данные!$A$2:$A$722,"&gt;="&amp;77233554000,Данные!$A$2:$A$722,"&lt;="&amp;77233554999)</f>
        <v>0</v>
      </c>
      <c r="Z165" s="65" t="n">
        <f aca="false">COUNTIFS(Данные!$B$2:$B$722,89,Данные!$C$2:$C$722,1,Данные!$A$2:$A$722,"&gt;="&amp;77233555000,Данные!$A$2:$A$722,"&lt;="&amp;77233556999)</f>
        <v>0</v>
      </c>
      <c r="AA165" s="65" t="n">
        <f aca="false">COUNTIFS(Данные!$B$2:$B$722,89,Данные!$C$2:$C$722,1,Данные!$A$2:$A$722,"&gt;="&amp;77233726000,Данные!$A$2:$A$722,"&lt;="&amp;77233726999)</f>
        <v>0</v>
      </c>
      <c r="AB165" s="65" t="n">
        <f aca="false">COUNTIFS(Данные!$B$2:$B$722,89,Данные!$C$2:$C$722,1,Данные!$A$2:$A$722,"&gt;="&amp;77233820000,Данные!$A$2:$A$722,"&lt;="&amp;77233820999)</f>
        <v>0</v>
      </c>
      <c r="AC165" s="65" t="n">
        <f aca="false">COUNTIFS(Данные!$B$2:$B$722,89,Данные!$C$2:$C$722,1,Данные!$A$2:$A$722,"&gt;="&amp;77233850000,Данные!$A$2:$A$722,"&lt;="&amp;77233850999)</f>
        <v>0</v>
      </c>
      <c r="AD165" s="65" t="n">
        <f aca="false">COUNTIFS(Данные!$B$2:$B$722,89,Данные!$C$2:$C$722,1,Данные!$A$2:$A$722,"&gt;="&amp;77233420000,Данные!$A$2:$A$722,"&lt;="&amp;77233420999)</f>
        <v>0</v>
      </c>
      <c r="AE165" s="65" t="n">
        <f aca="false">COUNTIFS(Данные!$B$2:$B$722,89,Данные!$C$2:$C$722,1,Данные!$A$2:$A$722,"&gt;="&amp;77234740000,Данные!$A$2:$A$722,"&lt;="&amp;77234742999)</f>
        <v>0</v>
      </c>
      <c r="AF165" s="65" t="n">
        <f aca="false">COUNTIFS(Данные!$B$2:$B$722,89,Данные!$C$2:$C$722,1,Данные!$A$2:$A$722,"&gt;="&amp;77234767000,Данные!$A$2:$A$722,"&lt;="&amp;77234767999)</f>
        <v>0</v>
      </c>
      <c r="AG165" s="65" t="n">
        <f aca="false">COUNTIFS(Данные!$B$2:$B$722,89,Данные!$C$2:$C$722,1,Данные!$A$2:$A$722,"&gt;="&amp;77234120000,Данные!$A$2:$A$722,"&lt;="&amp;77234120999)</f>
        <v>0</v>
      </c>
      <c r="AH165" s="65" t="n">
        <f aca="false">COUNTIFS(Данные!$B$2:$B$722,89,Данные!$C$2:$C$722,1,Данные!$A$2:$A$722,"&gt;="&amp;77234127000,Данные!$A$2:$A$722,"&lt;="&amp;77234127999)</f>
        <v>0</v>
      </c>
      <c r="AI165" s="65" t="n">
        <f aca="false">COUNTIFS(Данные!$B$2:$B$722,89,Данные!$C$2:$C$722,1,Данные!$A$2:$A$722,"&gt;="&amp;77234220000,Данные!$A$2:$A$722,"&lt;="&amp;77234220999)</f>
        <v>0</v>
      </c>
      <c r="AJ165" s="65" t="n">
        <f aca="false">COUNTIFS(Данные!$B$2:$B$722,89,Данные!$C$2:$C$722,1,Данные!$A$2:$A$722,"&gt;="&amp;77234250000,Данные!$A$2:$A$722,"&lt;="&amp;77234250999)</f>
        <v>0</v>
      </c>
      <c r="AK165" s="65" t="n">
        <f aca="false">COUNTIFS(Данные!$B$2:$B$722,89,Данные!$C$2:$C$722,1,Данные!$A$2:$A$722,"&gt;="&amp;77233922950,Данные!$A$2:$A$722,"&lt;="&amp;77233924999)</f>
        <v>0</v>
      </c>
      <c r="AL165" s="65" t="n">
        <f aca="false">COUNTIFS(Данные!$B$2:$B$722,89,Данные!$C$2:$C$722,1,Данные!$A$2:$A$722,"&gt;="&amp;77234320000,Данные!$A$2:$A$722,"&lt;="&amp;77234320999)</f>
        <v>0</v>
      </c>
      <c r="AM165" s="65" t="n">
        <f aca="false">COUNTIFS(Данные!$B$2:$B$722,89,Данные!$C$2:$C$722,1,Данные!$A$2:$A$722,"&gt;="&amp;77234350000,Данные!$A$2:$A$722,"&lt;="&amp;77234350999)</f>
        <v>0</v>
      </c>
      <c r="AN165" s="65" t="n">
        <f aca="false">COUNTIFS(Данные!$B$2:$B$722,89,Данные!$C$2:$C$722,1,Данные!$A$2:$A$722,"&gt;="&amp;77234020000,Данные!$A$2:$A$722,"&lt;="&amp;77234020999)</f>
        <v>0</v>
      </c>
      <c r="AO165" s="65" t="n">
        <f aca="false">COUNTIFS(Данные!$B$2:$B$722,89,Данные!$C$2:$C$722,1,Данные!$A$2:$A$722,"&gt;="&amp;77234029000,Данные!$A$2:$A$722,"&lt;="&amp;77234029999)</f>
        <v>0</v>
      </c>
      <c r="AP165" s="65" t="n">
        <f aca="false">COUNTIFS(Данные!$B$2:$B$722,89,Данные!$C$2:$C$722,1,Данные!$A$2:$A$722,"&gt;="&amp;77234050000,Данные!$A$2:$A$722,"&lt;="&amp;77234050999)</f>
        <v>0</v>
      </c>
      <c r="AQ165" s="65" t="n">
        <f aca="false">COUNTIFS(Данные!$B$2:$B$722,89,Данные!$C$2:$C$722,1,Данные!$A$2:$A$722,"&gt;="&amp;77234427000,Данные!$A$2:$A$722,"&lt;="&amp;77234428999)</f>
        <v>0</v>
      </c>
      <c r="AR165" s="65" t="n">
        <f aca="false">COUNTIFS(Данные!$B$2:$B$722,89,Данные!$C$2:$C$722,1,Данные!$A$2:$A$722,"&gt;="&amp;77234450000,Данные!$A$2:$A$722,"&lt;="&amp;77234450999)</f>
        <v>0</v>
      </c>
      <c r="AS165" s="65" t="n">
        <f aca="false">COUNTIFS(Данные!$B$2:$B$722,89,Данные!$C$2:$C$722,1,Данные!$A$2:$A$722,"&gt;="&amp;77234620000,Данные!$A$2:$A$722,"&lt;="&amp;77234620999)</f>
        <v>0</v>
      </c>
      <c r="AT165" s="65" t="n">
        <f aca="false">COUNTIFS(Данные!$B$2:$B$722,89,Данные!$C$2:$C$722,1,Данные!$A$2:$A$722,"&gt;="&amp;77234650000,Данные!$A$2:$A$722,"&lt;="&amp;77234650999)</f>
        <v>0</v>
      </c>
      <c r="AU165" s="65" t="n">
        <f aca="false">COUNTIFS(Данные!$B$2:$B$722,89,Данные!$C$2:$C$722,1,Данные!$A$2:$A$722,"&gt;="&amp;77234820000,Данные!$A$2:$A$722,"&lt;="&amp;77234820999)</f>
        <v>0</v>
      </c>
      <c r="AV165" s="65" t="n">
        <f aca="false">COUNTIFS(Данные!$B$2:$B$722,89,Данные!$C$2:$C$722,1,Данные!$A$2:$A$722,"&gt;="&amp;77234850000,Данные!$A$2:$A$722,"&lt;="&amp;77234850999)</f>
        <v>0</v>
      </c>
      <c r="AW165" s="65" t="n">
        <f aca="false">COUNTIFS(Данные!$B$2:$B$722,89,Данные!$C$2:$C$722,1,Данные!$A$2:$A$722,"&gt;="&amp;77233327000,Данные!$A$2:$A$722,"&lt;="&amp;77233327999)</f>
        <v>0</v>
      </c>
      <c r="AX165" s="65" t="n">
        <f aca="false">COUNTIFS(Данные!$B$2:$B$722,89,Данные!$C$2:$C$722,1,Данные!$A$2:$A$722,"&gt;="&amp;77233350000,Данные!$A$2:$A$722,"&lt;="&amp;77233350599)</f>
        <v>0</v>
      </c>
      <c r="AY165" s="65" t="n">
        <f aca="false">COUNTIFS(Данные!$B$2:$B$722,89,Данные!$C$2:$C$722,1,Данные!$A$2:$A$722,"&gt;="&amp;77233351000,Данные!$A$2:$A$722,"&lt;="&amp;77233351999)</f>
        <v>0</v>
      </c>
      <c r="AZ165" s="66" t="n">
        <f aca="false">COUNTIFS(Данные!$B$2:$B$722,89,Данные!$C$2:$C$722,1,Данные!$A$2:$A$722,"&gt;="&amp;7722440000,Данные!$A$2:$A$722,"&lt;="&amp;7722440999)</f>
        <v>0</v>
      </c>
      <c r="BA165" s="66" t="n">
        <f aca="false">COUNTIFS(Данные!$B$2:$B$722,89,Данные!$C$2:$C$722,1,Данные!$A$2:$A$722,"&gt;="&amp;7722442000,Данные!$A$2:$A$722,"&lt;="&amp;7722445659)</f>
        <v>0</v>
      </c>
      <c r="BB165" s="66" t="n">
        <f aca="false">COUNTIFS(Данные!$B$2:$B$722,89,Данные!$C$2:$C$722,1,Данные!$A$2:$A$722,"&gt;="&amp;7722450000,Данные!$A$2:$A$722,"&lt;="&amp;7722450199)</f>
        <v>0</v>
      </c>
      <c r="BC165" s="66" t="n">
        <f aca="false">COUNTIFS(Данные!$B$2:$B$722,89,Данные!$C$2:$C$722,1,Данные!$A$2:$A$722,"&gt;="&amp;7722451000,Данные!$A$2:$A$722,"&lt;="&amp;7722451374)</f>
        <v>0</v>
      </c>
      <c r="BD165" s="66" t="n">
        <f aca="false">COUNTIFS(Данные!$B$2:$B$722,89,Данные!$C$2:$C$722,1,Данные!$A$2:$A$722,"&gt;="&amp;7722452000,Данные!$A$2:$A$722,"&lt;="&amp;7722452299)</f>
        <v>0</v>
      </c>
      <c r="BE165" s="66" t="n">
        <f aca="false">COUNTIFS(Данные!$B$2:$B$722,89,Данные!$C$2:$C$722,1,Данные!$A$2:$A$722,"&gt;="&amp;7722453000,Данные!$A$2:$A$722,"&lt;="&amp;7722453816)</f>
        <v>0</v>
      </c>
      <c r="BF165" s="66" t="n">
        <f aca="false">COUNTIFS(Данные!$B$2:$B$722,89,Данные!$C$2:$C$722,1,Данные!$A$2:$A$722,"&gt;="&amp;7722454000,Данные!$A$2:$A$722,"&lt;="&amp;7722454099)</f>
        <v>0</v>
      </c>
      <c r="BG165" s="66" t="n">
        <f aca="false">COUNTIFS(Данные!$B$2:$B$722,89,Данные!$C$2:$C$722,1,Данные!$A$2:$A$722,"&gt;="&amp;7722458000,Данные!$A$2:$A$722,"&lt;="&amp;7722458999)</f>
        <v>0</v>
      </c>
      <c r="BH165" s="66" t="n">
        <f aca="false">COUNTIFS(Данные!$B$2:$B$722,89,Данные!$C$2:$C$722,1,Данные!$A$2:$A$722,"&gt;="&amp;7722630000,Данные!$A$2:$A$722,"&lt;="&amp;7722638549)</f>
        <v>0</v>
      </c>
      <c r="BI165" s="66" t="n">
        <f aca="false">COUNTIFS(Данные!$B$2:$B$722,89,Данные!$C$2:$C$722,1,Данные!$A$2:$A$722,"&gt;="&amp;7722639400,Данные!$A$2:$A$722,"&lt;="&amp;7722639899)</f>
        <v>0</v>
      </c>
      <c r="BJ165" s="66" t="n">
        <f aca="false">COUNTIFS(Данные!$B$2:$B$722,89,Данные!$C$2:$C$722,1,Данные!$A$2:$A$722,"&gt;="&amp;7725750000,Данные!$A$2:$A$722,"&lt;="&amp;7725750399)</f>
        <v>0</v>
      </c>
      <c r="BK165" s="66" t="n">
        <f aca="false">COUNTIFS(Данные!$B$2:$B$722,89,Данные!$C$2:$C$722,1,Данные!$A$2:$A$722,"&gt;="&amp;7723620000,Данные!$A$2:$A$722,"&lt;="&amp;7723621299)</f>
        <v>0</v>
      </c>
      <c r="BL165" s="66" t="n">
        <f aca="false">COUNTIFS(Данные!$B$2:$B$722,89,Данные!$C$2:$C$722,1,Данные!$A$2:$A$722,"&gt;="&amp;7723621600,Данные!$A$2:$A$722,"&lt;="&amp;7723623399)</f>
        <v>0</v>
      </c>
      <c r="BM165" s="66" t="n">
        <f aca="false">COUNTIFS(Данные!$B$2:$B$722,89,Данные!$C$2:$C$722,1,Данные!$A$2:$A$722,"&gt;="&amp;7725127000,Данные!$A$2:$A$722,"&lt;="&amp;7725127999)</f>
        <v>0</v>
      </c>
      <c r="BN165" s="66" t="n">
        <f aca="false">COUNTIFS(Данные!$B$2:$B$722,89,Данные!$C$2:$C$722,1,Данные!$A$2:$A$722,"&gt;="&amp;7723772000,Данные!$A$2:$A$722,"&lt;="&amp;7723724999)</f>
        <v>0</v>
      </c>
      <c r="BO165" s="65" t="n">
        <f aca="false">COUNTIFS(Данные!$B$2:$B$722,89,Данные!$C$2:$C$722,1,Данные!$A$2:$A$722,"&gt;="&amp;7723765000,Данные!$A$2:$A$722,"&lt;="&amp;7723765499)</f>
        <v>0</v>
      </c>
      <c r="BP165" s="66" t="n">
        <f aca="false">COUNTIFS(Данные!$B$2:$B$722,89,Данные!$C$2:$C$722,1,Данные!$A$2:$A$722,"&gt;="&amp;7723948000,Данные!$A$2:$A$722,"&lt;="&amp;7723948999)</f>
        <v>0</v>
      </c>
      <c r="BQ165" s="66" t="n">
        <f aca="false">COUNTIFS(Данные!$B$2:$B$722,89,Данные!$C$2:$C$722,1,Данные!$A$2:$A$722,"&gt;="&amp;7723950000,Данные!$A$2:$A$722,"&lt;="&amp;7723951099)</f>
        <v>0</v>
      </c>
      <c r="BR165" s="66" t="n">
        <f aca="false">COUNTIFS(Данные!$B$2:$B$722,89,Данные!$C$2:$C$722,1,Данные!$A$2:$A$722,"&gt;="&amp;7723020000,Данные!$A$2:$A$722,"&lt;="&amp;7723020999)</f>
        <v>0</v>
      </c>
      <c r="BS165" s="66" t="n">
        <f aca="false">COUNTIFS(Данные!$B$2:$B$722,89,Данные!$C$2:$C$722,1,Данные!$A$2:$A$722,"&gt;="&amp;7723029000,Данные!$A$2:$A$722,"&lt;="&amp;7723029999)</f>
        <v>0</v>
      </c>
      <c r="BT165" s="66" t="n">
        <f aca="false">COUNTIFS(Данные!$B$2:$B$722,89,Данные!$C$2:$C$722,1,Данные!$A$2:$A$722,"&gt;="&amp;7723055000,Данные!$A$2:$A$722,"&lt;="&amp;7723056549)</f>
        <v>0</v>
      </c>
      <c r="BU165" s="65" t="n">
        <f aca="false">COUNTIFS(Данные!$B$2:$B$722,89,Данные!$C$2:$C$722,1,Данные!$A$2:$A$722,"&gt;="&amp;7725250000,Данные!$A$2:$A$722,"&lt;="&amp;7725250499)</f>
        <v>0</v>
      </c>
      <c r="BV165" s="66" t="n">
        <f aca="false">COUNTIFS(Данные!$B$2:$B$722,89,Данные!$C$2:$C$722,1,Данные!$A$2:$A$722,"&gt;="&amp;7183841400,Данные!$A$2:$A$722,"&lt;="&amp;7183841499)</f>
        <v>0</v>
      </c>
      <c r="BW165" s="49" t="n">
        <v>300</v>
      </c>
      <c r="BX165" s="67" t="n">
        <f aca="false">F165-BW165</f>
        <v>-300</v>
      </c>
    </row>
    <row r="166" s="15" customFormat="true" ht="12" hidden="false" customHeight="true" outlineLevel="0" collapsed="false">
      <c r="A166" s="47"/>
      <c r="B166" s="48"/>
      <c r="C166" s="50" t="n">
        <v>2</v>
      </c>
      <c r="D166" s="50" t="n">
        <v>892</v>
      </c>
      <c r="E166" s="51"/>
      <c r="F166" s="65" t="n">
        <f aca="false">COUNTIFS(Данные!$B$2:$B$722,89,Данные!$C$2:$C$722,2)</f>
        <v>0</v>
      </c>
      <c r="G166" s="65" t="n">
        <f aca="false">COUNTIFS(Данные!$B$2:$B$722,89,Данные!$C$2:$C$722,2,Данные!$A$2:$A$722,"&gt;="&amp;77232210840,Данные!$A$2:$A$722,"&lt;="&amp;77232216999)</f>
        <v>0</v>
      </c>
      <c r="H166" s="65" t="n">
        <f aca="false">COUNTIFS(Данные!$B$2:$B$722,89,Данные!$C$2:$C$722,2,Данные!$A$2:$A$722,"&gt;="&amp;77232510512,Данные!$A$2:$A$722,"&lt;="&amp;77232519487)</f>
        <v>0</v>
      </c>
      <c r="I166" s="65" t="n">
        <f aca="false">COUNTIFS(Данные!$B$2:$B$722,89,Данные!$C$2:$C$722,2,Данные!$A$2:$A$722,"&gt;="&amp;77232524160,Данные!$A$2:$A$722,"&lt;="&amp;77232529999)</f>
        <v>0</v>
      </c>
      <c r="J166" s="65" t="n">
        <f aca="false">COUNTIFS(Данные!$B$2:$B$722,89,Данные!$C$2:$C$722,2,Данные!$A$2:$A$722,"&gt;="&amp;77232544000,Данные!$A$2:$A$722,"&lt;="&amp;77232544999)</f>
        <v>0</v>
      </c>
      <c r="K166" s="65" t="n">
        <f aca="false">COUNTIFS(Данные!$B$2:$B$722,89,Данные!$C$2:$C$722,2,Данные!$A$2:$A$722,"&gt;="&amp;77232295504,Данные!$A$2:$A$722,"&lt;="&amp;77232296999)</f>
        <v>0</v>
      </c>
      <c r="L166" s="65" t="n">
        <f aca="false">COUNTIFS(Данные!$B$2:$B$722,89,Данные!$C$2:$C$722,2,Данные!$A$2:$A$722,"&gt;="&amp;77232785000,Данные!$A$2:$A$722,"&lt;="&amp;77232789999)</f>
        <v>0</v>
      </c>
      <c r="M166" s="65" t="n">
        <f aca="false">COUNTIFS(Данные!$B$2:$B$722,89,Данные!$C$2:$C$722,2,Данные!$A$2:$A$722,"&gt;="&amp;77233150000,Данные!$A$2:$A$722,"&lt;="&amp;77233155999)</f>
        <v>0</v>
      </c>
      <c r="N166" s="65" t="n">
        <f aca="false">COUNTIFS(Данные!$B$2:$B$722,89,Данные!$C$2:$C$722,2,Данные!$A$2:$A$722,"&gt;="&amp;77233235000,Данные!$A$2:$A$722,"&lt;="&amp;77233235999)</f>
        <v>0</v>
      </c>
      <c r="O166" s="65" t="n">
        <f aca="false">COUNTIFS(Данные!$B$2:$B$722,89,Данные!$C$2:$C$722,2,Данные!$A$2:$A$722,"&gt;="&amp;77233239000,Данные!$A$2:$A$722,"&lt;="&amp;77233239999)</f>
        <v>0</v>
      </c>
      <c r="P166" s="65" t="n">
        <f aca="false">COUNTIFS(Данные!$B$2:$B$722,89,Данные!$C$2:$C$722,2,Данные!$A$2:$A$722,"&gt;="&amp;77233272000,Данные!$A$2:$A$722,"&lt;="&amp;77233272999)</f>
        <v>0</v>
      </c>
      <c r="Q166" s="65" t="n">
        <f aca="false">COUNTIFS(Данные!$B$2:$B$722,89,Данные!$C$2:$C$722,2,Данные!$A$2:$A$722,"&gt;="&amp;77233291100,Данные!$A$2:$A$722,"&lt;="&amp;77233292999)</f>
        <v>0</v>
      </c>
      <c r="R166" s="65" t="n">
        <f aca="false">COUNTIFS(Данные!$B$2:$B$722,89,Данные!$C$2:$C$722,2,Данные!$A$2:$A$722,"&gt;="&amp;77233297000,Данные!$A$2:$A$722,"&lt;="&amp;77233298399)</f>
        <v>0</v>
      </c>
      <c r="S166" s="65" t="n">
        <f aca="false">COUNTIFS(Данные!$B$2:$B$722,89,Данные!$C$2:$C$722,2,Данные!$A$2:$A$722,"&gt;="&amp;77235124000,Данные!$A$2:$A$722,"&lt;="&amp;77235128499)</f>
        <v>0</v>
      </c>
      <c r="T166" s="65" t="n">
        <f aca="false">COUNTIFS(Данные!$B$2:$B$722,89,Данные!$C$2:$C$722,2,Данные!$A$2:$A$722,"&gt;="&amp;77235320000,Данные!$A$2:$A$722,"&lt;="&amp;77235320999)</f>
        <v>0</v>
      </c>
      <c r="U166" s="65" t="n">
        <f aca="false">COUNTIFS(Данные!$B$2:$B$722,89,Данные!$C$2:$C$722,2,Данные!$A$2:$A$722,"&gt;="&amp;77233620000,Данные!$A$2:$A$722,"&lt;="&amp;77233623339)</f>
        <v>0</v>
      </c>
      <c r="V166" s="65" t="n">
        <f aca="false">COUNTIFS(Данные!$B$2:$B$722,89,Данные!$C$2:$C$722,2,Данные!$A$2:$A$722,"&gt;="&amp;77233630000,Данные!$A$2:$A$722,"&lt;="&amp;77233630999)</f>
        <v>0</v>
      </c>
      <c r="W166" s="65" t="n">
        <f aca="false">COUNTIFS(Данные!$B$2:$B$722,89,Данные!$C$2:$C$722,2,Данные!$A$2:$A$722,"&gt;="&amp;77233637000,Данные!$A$2:$A$722,"&lt;="&amp;77233637599)</f>
        <v>0</v>
      </c>
      <c r="X166" s="65" t="n">
        <f aca="false">COUNTIFS(Данные!$B$2:$B$722,89,Данные!$C$2:$C$722,2,Данные!$A$2:$A$722,"&gt;="&amp;77233550000,Данные!$A$2:$A$722,"&lt;="&amp;77233550999)</f>
        <v>0</v>
      </c>
      <c r="Y166" s="65" t="n">
        <f aca="false">COUNTIFS(Данные!$B$2:$B$722,89,Данные!$C$2:$C$722,2,Данные!$A$2:$A$722,"&gt;="&amp;77233554000,Данные!$A$2:$A$722,"&lt;="&amp;77233554999)</f>
        <v>0</v>
      </c>
      <c r="Z166" s="65" t="n">
        <f aca="false">COUNTIFS(Данные!$B$2:$B$722,89,Данные!$C$2:$C$722,2,Данные!$A$2:$A$722,"&gt;="&amp;77233555000,Данные!$A$2:$A$722,"&lt;="&amp;77233556999)</f>
        <v>0</v>
      </c>
      <c r="AA166" s="65" t="n">
        <f aca="false">COUNTIFS(Данные!$B$2:$B$722,89,Данные!$C$2:$C$722,2,Данные!$A$2:$A$722,"&gt;="&amp;77233726000,Данные!$A$2:$A$722,"&lt;="&amp;77233726999)</f>
        <v>0</v>
      </c>
      <c r="AB166" s="65" t="n">
        <f aca="false">COUNTIFS(Данные!$B$2:$B$722,89,Данные!$C$2:$C$722,2,Данные!$A$2:$A$722,"&gt;="&amp;77233820000,Данные!$A$2:$A$722,"&lt;="&amp;77233820999)</f>
        <v>0</v>
      </c>
      <c r="AC166" s="65" t="n">
        <f aca="false">COUNTIFS(Данные!$B$2:$B$722,89,Данные!$C$2:$C$722,2,Данные!$A$2:$A$722,"&gt;="&amp;77233850000,Данные!$A$2:$A$722,"&lt;="&amp;77233850999)</f>
        <v>0</v>
      </c>
      <c r="AD166" s="65" t="n">
        <f aca="false">COUNTIFS(Данные!$B$2:$B$722,89,Данные!$C$2:$C$722,2,Данные!$A$2:$A$722,"&gt;="&amp;77233420000,Данные!$A$2:$A$722,"&lt;="&amp;77233420999)</f>
        <v>0</v>
      </c>
      <c r="AE166" s="65" t="n">
        <f aca="false">COUNTIFS(Данные!$B$2:$B$722,89,Данные!$C$2:$C$722,2,Данные!$A$2:$A$722,"&gt;="&amp;77234740000,Данные!$A$2:$A$722,"&lt;="&amp;77234742999)</f>
        <v>0</v>
      </c>
      <c r="AF166" s="65" t="n">
        <f aca="false">COUNTIFS(Данные!$B$2:$B$722,89,Данные!$C$2:$C$722,2,Данные!$A$2:$A$722,"&gt;="&amp;77234767000,Данные!$A$2:$A$722,"&lt;="&amp;77234767999)</f>
        <v>0</v>
      </c>
      <c r="AG166" s="65" t="n">
        <f aca="false">COUNTIFS(Данные!$B$2:$B$722,89,Данные!$C$2:$C$722,2,Данные!$A$2:$A$722,"&gt;="&amp;77234120000,Данные!$A$2:$A$722,"&lt;="&amp;77234120999)</f>
        <v>0</v>
      </c>
      <c r="AH166" s="65" t="n">
        <f aca="false">COUNTIFS(Данные!$B$2:$B$722,89,Данные!$C$2:$C$722,2,Данные!$A$2:$A$722,"&gt;="&amp;77234127000,Данные!$A$2:$A$722,"&lt;="&amp;77234127999)</f>
        <v>0</v>
      </c>
      <c r="AI166" s="65" t="n">
        <f aca="false">COUNTIFS(Данные!$B$2:$B$722,89,Данные!$C$2:$C$722,2,Данные!$A$2:$A$722,"&gt;="&amp;77234220000,Данные!$A$2:$A$722,"&lt;="&amp;77234220999)</f>
        <v>0</v>
      </c>
      <c r="AJ166" s="65" t="n">
        <f aca="false">COUNTIFS(Данные!$B$2:$B$722,89,Данные!$C$2:$C$722,2,Данные!$A$2:$A$722,"&gt;="&amp;77234250000,Данные!$A$2:$A$722,"&lt;="&amp;77234250999)</f>
        <v>0</v>
      </c>
      <c r="AK166" s="65" t="n">
        <f aca="false">COUNTIFS(Данные!$B$2:$B$722,89,Данные!$C$2:$C$722,2,Данные!$A$2:$A$722,"&gt;="&amp;77233922950,Данные!$A$2:$A$722,"&lt;="&amp;77233924999)</f>
        <v>0</v>
      </c>
      <c r="AL166" s="65" t="n">
        <f aca="false">COUNTIFS(Данные!$B$2:$B$722,89,Данные!$C$2:$C$722,2,Данные!$A$2:$A$722,"&gt;="&amp;77234320000,Данные!$A$2:$A$722,"&lt;="&amp;77234320999)</f>
        <v>0</v>
      </c>
      <c r="AM166" s="65" t="n">
        <f aca="false">COUNTIFS(Данные!$B$2:$B$722,89,Данные!$C$2:$C$722,2,Данные!$A$2:$A$722,"&gt;="&amp;77234350000,Данные!$A$2:$A$722,"&lt;="&amp;77234350999)</f>
        <v>0</v>
      </c>
      <c r="AN166" s="65" t="n">
        <f aca="false">COUNTIFS(Данные!$B$2:$B$722,89,Данные!$C$2:$C$722,2,Данные!$A$2:$A$722,"&gt;="&amp;77234020000,Данные!$A$2:$A$722,"&lt;="&amp;77234020999)</f>
        <v>0</v>
      </c>
      <c r="AO166" s="65" t="n">
        <f aca="false">COUNTIFS(Данные!$B$2:$B$722,89,Данные!$C$2:$C$722,2,Данные!$A$2:$A$722,"&gt;="&amp;77234029000,Данные!$A$2:$A$722,"&lt;="&amp;77234029999)</f>
        <v>0</v>
      </c>
      <c r="AP166" s="65" t="n">
        <f aca="false">COUNTIFS(Данные!$B$2:$B$722,89,Данные!$C$2:$C$722,2,Данные!$A$2:$A$722,"&gt;="&amp;77234050000,Данные!$A$2:$A$722,"&lt;="&amp;77234050999)</f>
        <v>0</v>
      </c>
      <c r="AQ166" s="65" t="n">
        <f aca="false">COUNTIFS(Данные!$B$2:$B$722,89,Данные!$C$2:$C$722,2,Данные!$A$2:$A$722,"&gt;="&amp;77234427000,Данные!$A$2:$A$722,"&lt;="&amp;77234428999)</f>
        <v>0</v>
      </c>
      <c r="AR166" s="65" t="n">
        <f aca="false">COUNTIFS(Данные!$B$2:$B$722,89,Данные!$C$2:$C$722,2,Данные!$A$2:$A$722,"&gt;="&amp;77234450000,Данные!$A$2:$A$722,"&lt;="&amp;77234450999)</f>
        <v>0</v>
      </c>
      <c r="AS166" s="65" t="n">
        <f aca="false">COUNTIFS(Данные!$B$2:$B$722,89,Данные!$C$2:$C$722,2,Данные!$A$2:$A$722,"&gt;="&amp;77234620000,Данные!$A$2:$A$722,"&lt;="&amp;77234620999)</f>
        <v>0</v>
      </c>
      <c r="AT166" s="65" t="n">
        <f aca="false">COUNTIFS(Данные!$B$2:$B$722,89,Данные!$C$2:$C$722,2,Данные!$A$2:$A$722,"&gt;="&amp;77234650000,Данные!$A$2:$A$722,"&lt;="&amp;77234650999)</f>
        <v>0</v>
      </c>
      <c r="AU166" s="65" t="n">
        <f aca="false">COUNTIFS(Данные!$B$2:$B$722,89,Данные!$C$2:$C$722,2,Данные!$A$2:$A$722,"&gt;="&amp;77234820000,Данные!$A$2:$A$722,"&lt;="&amp;77234820999)</f>
        <v>0</v>
      </c>
      <c r="AV166" s="65" t="n">
        <f aca="false">COUNTIFS(Данные!$B$2:$B$722,89,Данные!$C$2:$C$722,2,Данные!$A$2:$A$722,"&gt;="&amp;77234850000,Данные!$A$2:$A$722,"&lt;="&amp;77234850999)</f>
        <v>0</v>
      </c>
      <c r="AW166" s="65" t="n">
        <f aca="false">COUNTIFS(Данные!$B$2:$B$722,89,Данные!$C$2:$C$722,2,Данные!$A$2:$A$722,"&gt;="&amp;77233327000,Данные!$A$2:$A$722,"&lt;="&amp;77233327999)</f>
        <v>0</v>
      </c>
      <c r="AX166" s="65" t="n">
        <f aca="false">COUNTIFS(Данные!$B$2:$B$722,89,Данные!$C$2:$C$722,2,Данные!$A$2:$A$722,"&gt;="&amp;77233350000,Данные!$A$2:$A$722,"&lt;="&amp;77233350599)</f>
        <v>0</v>
      </c>
      <c r="AY166" s="65" t="n">
        <f aca="false">COUNTIFS(Данные!$B$2:$B$722,89,Данные!$C$2:$C$722,2,Данные!$A$2:$A$722,"&gt;="&amp;77233351000,Данные!$A$2:$A$722,"&lt;="&amp;77233351999)</f>
        <v>0</v>
      </c>
      <c r="AZ166" s="66" t="n">
        <f aca="false">COUNTIFS(Данные!$B$2:$B$722,89,Данные!$C$2:$C$722,2,Данные!$A$2:$A$722,"&gt;="&amp;7722440000,Данные!$A$2:$A$722,"&lt;="&amp;7722440999)</f>
        <v>0</v>
      </c>
      <c r="BA166" s="66" t="n">
        <f aca="false">COUNTIFS(Данные!$B$2:$B$722,89,Данные!$C$2:$C$722,2,Данные!$A$2:$A$722,"&gt;="&amp;7722442000,Данные!$A$2:$A$722,"&lt;="&amp;7722445659)</f>
        <v>0</v>
      </c>
      <c r="BB166" s="66" t="n">
        <f aca="false">COUNTIFS(Данные!$B$2:$B$722,89,Данные!$C$2:$C$722,2,Данные!$A$2:$A$722,"&gt;="&amp;7722450000,Данные!$A$2:$A$722,"&lt;="&amp;7722450199)</f>
        <v>0</v>
      </c>
      <c r="BC166" s="66" t="n">
        <f aca="false">COUNTIFS(Данные!$B$2:$B$722,89,Данные!$C$2:$C$722,2,Данные!$A$2:$A$722,"&gt;="&amp;7722451000,Данные!$A$2:$A$722,"&lt;="&amp;7722451374)</f>
        <v>0</v>
      </c>
      <c r="BD166" s="66" t="n">
        <f aca="false">COUNTIFS(Данные!$B$2:$B$722,89,Данные!$C$2:$C$722,2,Данные!$A$2:$A$722,"&gt;="&amp;7722452000,Данные!$A$2:$A$722,"&lt;="&amp;7722452299)</f>
        <v>0</v>
      </c>
      <c r="BE166" s="66" t="n">
        <f aca="false">COUNTIFS(Данные!$B$2:$B$722,89,Данные!$C$2:$C$722,2,Данные!$A$2:$A$722,"&gt;="&amp;7722453000,Данные!$A$2:$A$722,"&lt;="&amp;7722453816)</f>
        <v>0</v>
      </c>
      <c r="BF166" s="66" t="n">
        <f aca="false">COUNTIFS(Данные!$B$2:$B$722,89,Данные!$C$2:$C$722,2,Данные!$A$2:$A$722,"&gt;="&amp;7722454000,Данные!$A$2:$A$722,"&lt;="&amp;7722454099)</f>
        <v>0</v>
      </c>
      <c r="BG166" s="66" t="n">
        <f aca="false">COUNTIFS(Данные!$B$2:$B$722,89,Данные!$C$2:$C$722,2,Данные!$A$2:$A$722,"&gt;="&amp;7722458000,Данные!$A$2:$A$722,"&lt;="&amp;7722458999)</f>
        <v>0</v>
      </c>
      <c r="BH166" s="66" t="n">
        <f aca="false">COUNTIFS(Данные!$B$2:$B$722,89,Данные!$C$2:$C$722,2,Данные!$A$2:$A$722,"&gt;="&amp;7722630000,Данные!$A$2:$A$722,"&lt;="&amp;7722638549)</f>
        <v>0</v>
      </c>
      <c r="BI166" s="66" t="n">
        <f aca="false">COUNTIFS(Данные!$B$2:$B$722,89,Данные!$C$2:$C$722,2,Данные!$A$2:$A$722,"&gt;="&amp;7722639400,Данные!$A$2:$A$722,"&lt;="&amp;7722639899)</f>
        <v>0</v>
      </c>
      <c r="BJ166" s="66" t="n">
        <f aca="false">COUNTIFS(Данные!$B$2:$B$722,89,Данные!$C$2:$C$722,2,Данные!$A$2:$A$722,"&gt;="&amp;7725750000,Данные!$A$2:$A$722,"&lt;="&amp;7725750399)</f>
        <v>0</v>
      </c>
      <c r="BK166" s="66" t="n">
        <f aca="false">COUNTIFS(Данные!$B$2:$B$722,89,Данные!$C$2:$C$722,2,Данные!$A$2:$A$722,"&gt;="&amp;7723620000,Данные!$A$2:$A$722,"&lt;="&amp;7723621299)</f>
        <v>0</v>
      </c>
      <c r="BL166" s="66" t="n">
        <f aca="false">COUNTIFS(Данные!$B$2:$B$722,89,Данные!$C$2:$C$722,2,Данные!$A$2:$A$722,"&gt;="&amp;7723621600,Данные!$A$2:$A$722,"&lt;="&amp;7723623399)</f>
        <v>0</v>
      </c>
      <c r="BM166" s="66" t="n">
        <f aca="false">COUNTIFS(Данные!$B$2:$B$722,89,Данные!$C$2:$C$722,2,Данные!$A$2:$A$722,"&gt;="&amp;7725127000,Данные!$A$2:$A$722,"&lt;="&amp;7725127999)</f>
        <v>0</v>
      </c>
      <c r="BN166" s="66" t="n">
        <f aca="false">COUNTIFS(Данные!$B$2:$B$722,89,Данные!$C$2:$C$722,2,Данные!$A$2:$A$722,"&gt;="&amp;7723772000,Данные!$A$2:$A$722,"&lt;="&amp;7723724999)</f>
        <v>0</v>
      </c>
      <c r="BO166" s="65" t="n">
        <f aca="false">COUNTIFS(Данные!$B$2:$B$722,89,Данные!$C$2:$C$722,2,Данные!$A$2:$A$722,"&gt;="&amp;7723765000,Данные!$A$2:$A$722,"&lt;="&amp;7723765499)</f>
        <v>0</v>
      </c>
      <c r="BP166" s="66" t="n">
        <f aca="false">COUNTIFS(Данные!$B$2:$B$722,89,Данные!$C$2:$C$722,2,Данные!$A$2:$A$722,"&gt;="&amp;7723948000,Данные!$A$2:$A$722,"&lt;="&amp;7723948999)</f>
        <v>0</v>
      </c>
      <c r="BQ166" s="66" t="n">
        <f aca="false">COUNTIFS(Данные!$B$2:$B$722,89,Данные!$C$2:$C$722,2,Данные!$A$2:$A$722,"&gt;="&amp;7723950000,Данные!$A$2:$A$722,"&lt;="&amp;7723951099)</f>
        <v>0</v>
      </c>
      <c r="BR166" s="66" t="n">
        <f aca="false">COUNTIFS(Данные!$B$2:$B$722,89,Данные!$C$2:$C$722,2,Данные!$A$2:$A$722,"&gt;="&amp;7723020000,Данные!$A$2:$A$722,"&lt;="&amp;7723020999)</f>
        <v>0</v>
      </c>
      <c r="BS166" s="66" t="n">
        <f aca="false">COUNTIFS(Данные!$B$2:$B$722,89,Данные!$C$2:$C$722,2,Данные!$A$2:$A$722,"&gt;="&amp;7723029000,Данные!$A$2:$A$722,"&lt;="&amp;7723029999)</f>
        <v>0</v>
      </c>
      <c r="BT166" s="66" t="n">
        <f aca="false">COUNTIFS(Данные!$B$2:$B$722,89,Данные!$C$2:$C$722,2,Данные!$A$2:$A$722,"&gt;="&amp;7723055000,Данные!$A$2:$A$722,"&lt;="&amp;7723056549)</f>
        <v>0</v>
      </c>
      <c r="BU166" s="65" t="n">
        <f aca="false">COUNTIFS(Данные!$B$2:$B$722,89,Данные!$C$2:$C$722,2,Данные!$A$2:$A$722,"&gt;="&amp;7725250000,Данные!$A$2:$A$722,"&lt;="&amp;7725250499)</f>
        <v>0</v>
      </c>
      <c r="BV166" s="66" t="n">
        <f aca="false">COUNTIFS(Данные!$B$2:$B$722,89,Данные!$C$2:$C$722,2,Данные!$A$2:$A$722,"&gt;="&amp;7183841400,Данные!$A$2:$A$722,"&lt;="&amp;7183841499)</f>
        <v>0</v>
      </c>
      <c r="BW166" s="49" t="n">
        <v>300</v>
      </c>
      <c r="BX166" s="67" t="n">
        <f aca="false">F166-BW166</f>
        <v>-300</v>
      </c>
    </row>
    <row r="167" s="15" customFormat="true" ht="12" hidden="false" customHeight="true" outlineLevel="0" collapsed="false">
      <c r="A167" s="38" t="n">
        <v>90</v>
      </c>
      <c r="B167" s="39" t="s">
        <v>115</v>
      </c>
      <c r="C167" s="41" t="n">
        <v>0</v>
      </c>
      <c r="D167" s="41" t="n">
        <v>900</v>
      </c>
      <c r="E167" s="42" t="n">
        <f aca="false">SUM(F167:F169)</f>
        <v>0</v>
      </c>
      <c r="F167" s="62" t="n">
        <f aca="false">COUNTIFS(Данные!$B$2:$B$722,90,Данные!$C$2:$C$722,0)</f>
        <v>0</v>
      </c>
      <c r="G167" s="62" t="n">
        <f aca="false">COUNTIFS(Данные!$B$2:$B$722,90,Данные!$C$2:$C$722,0,Данные!$A$2:$A$722,"&gt;="&amp;77232210840,Данные!$A$2:$A$722,"&lt;="&amp;77232216999)</f>
        <v>0</v>
      </c>
      <c r="H167" s="62" t="n">
        <f aca="false">COUNTIFS(Данные!$B$2:$B$722,90,Данные!$C$2:$C$722,0,Данные!$A$2:$A$722,"&gt;="&amp;77232510512,Данные!$A$2:$A$722,"&lt;="&amp;77232519487)</f>
        <v>0</v>
      </c>
      <c r="I167" s="62" t="n">
        <f aca="false">COUNTIFS(Данные!$B$2:$B$722,90,Данные!$C$2:$C$722,0,Данные!$A$2:$A$722,"&gt;="&amp;77232524160,Данные!$A$2:$A$722,"&lt;="&amp;77232529999)</f>
        <v>0</v>
      </c>
      <c r="J167" s="62" t="n">
        <f aca="false">COUNTIFS(Данные!$B$2:$B$722,90,Данные!$C$2:$C$722,0,Данные!$A$2:$A$722,"&gt;="&amp;77232544000,Данные!$A$2:$A$722,"&lt;="&amp;77232544999)</f>
        <v>0</v>
      </c>
      <c r="K167" s="62" t="n">
        <f aca="false">COUNTIFS(Данные!$B$2:$B$722,90,Данные!$C$2:$C$722,0,Данные!$A$2:$A$722,"&gt;="&amp;77232295504,Данные!$A$2:$A$722,"&lt;="&amp;77232296999)</f>
        <v>0</v>
      </c>
      <c r="L167" s="62" t="n">
        <f aca="false">COUNTIFS(Данные!$B$2:$B$722,90,Данные!$C$2:$C$722,0,Данные!$A$2:$A$722,"&gt;="&amp;77232785000,Данные!$A$2:$A$722,"&lt;="&amp;77232789999)</f>
        <v>0</v>
      </c>
      <c r="M167" s="62" t="n">
        <f aca="false">COUNTIFS(Данные!$B$2:$B$722,90,Данные!$C$2:$C$722,0,Данные!$A$2:$A$722,"&gt;="&amp;77233150000,Данные!$A$2:$A$722,"&lt;="&amp;77233155999)</f>
        <v>0</v>
      </c>
      <c r="N167" s="62" t="n">
        <f aca="false">COUNTIFS(Данные!$B$2:$B$722,90,Данные!$C$2:$C$722,0,Данные!$A$2:$A$722,"&gt;="&amp;77233235000,Данные!$A$2:$A$722,"&lt;="&amp;77233235999)</f>
        <v>0</v>
      </c>
      <c r="O167" s="62" t="n">
        <f aca="false">COUNTIFS(Данные!$B$2:$B$722,90,Данные!$C$2:$C$722,0,Данные!$A$2:$A$722,"&gt;="&amp;77233239000,Данные!$A$2:$A$722,"&lt;="&amp;77233239999)</f>
        <v>0</v>
      </c>
      <c r="P167" s="62" t="n">
        <f aca="false">COUNTIFS(Данные!$B$2:$B$722,90,Данные!$C$2:$C$722,0,Данные!$A$2:$A$722,"&gt;="&amp;77233272000,Данные!$A$2:$A$722,"&lt;="&amp;77233272999)</f>
        <v>0</v>
      </c>
      <c r="Q167" s="62" t="n">
        <f aca="false">COUNTIFS(Данные!$B$2:$B$722,90,Данные!$C$2:$C$722,0,Данные!$A$2:$A$722,"&gt;="&amp;77233291100,Данные!$A$2:$A$722,"&lt;="&amp;77233292999)</f>
        <v>0</v>
      </c>
      <c r="R167" s="62" t="n">
        <f aca="false">COUNTIFS(Данные!$B$2:$B$722,90,Данные!$C$2:$C$722,0,Данные!$A$2:$A$722,"&gt;="&amp;77233297000,Данные!$A$2:$A$722,"&lt;="&amp;77233298399)</f>
        <v>0</v>
      </c>
      <c r="S167" s="62" t="n">
        <f aca="false">COUNTIFS(Данные!$B$2:$B$722,90,Данные!$C$2:$C$722,0,Данные!$A$2:$A$722,"&gt;="&amp;77235124000,Данные!$A$2:$A$722,"&lt;="&amp;77235128499)</f>
        <v>0</v>
      </c>
      <c r="T167" s="62" t="n">
        <f aca="false">COUNTIFS(Данные!$B$2:$B$722,90,Данные!$C$2:$C$722,0,Данные!$A$2:$A$722,"&gt;="&amp;77235320000,Данные!$A$2:$A$722,"&lt;="&amp;77235320999)</f>
        <v>0</v>
      </c>
      <c r="U167" s="62" t="n">
        <f aca="false">COUNTIFS(Данные!$B$2:$B$722,90,Данные!$C$2:$C$722,0,Данные!$A$2:$A$722,"&gt;="&amp;77233620000,Данные!$A$2:$A$722,"&lt;="&amp;77233623339)</f>
        <v>0</v>
      </c>
      <c r="V167" s="62" t="n">
        <f aca="false">COUNTIFS(Данные!$B$2:$B$722,90,Данные!$C$2:$C$722,0,Данные!$A$2:$A$722,"&gt;="&amp;77233630000,Данные!$A$2:$A$722,"&lt;="&amp;77233630999)</f>
        <v>0</v>
      </c>
      <c r="W167" s="62" t="n">
        <f aca="false">COUNTIFS(Данные!$B$2:$B$722,90,Данные!$C$2:$C$722,0,Данные!$A$2:$A$722,"&gt;="&amp;77233637000,Данные!$A$2:$A$722,"&lt;="&amp;77233637599)</f>
        <v>0</v>
      </c>
      <c r="X167" s="62" t="n">
        <f aca="false">COUNTIFS(Данные!$B$2:$B$722,90,Данные!$C$2:$C$722,0,Данные!$A$2:$A$722,"&gt;="&amp;77233550000,Данные!$A$2:$A$722,"&lt;="&amp;77233550999)</f>
        <v>0</v>
      </c>
      <c r="Y167" s="62" t="n">
        <f aca="false">COUNTIFS(Данные!$B$2:$B$722,90,Данные!$C$2:$C$722,0,Данные!$A$2:$A$722,"&gt;="&amp;77233554000,Данные!$A$2:$A$722,"&lt;="&amp;77233554999)</f>
        <v>0</v>
      </c>
      <c r="Z167" s="62" t="n">
        <f aca="false">COUNTIFS(Данные!$B$2:$B$722,90,Данные!$C$2:$C$722,0,Данные!$A$2:$A$722,"&gt;="&amp;77233555000,Данные!$A$2:$A$722,"&lt;="&amp;77233556999)</f>
        <v>0</v>
      </c>
      <c r="AA167" s="62" t="n">
        <f aca="false">COUNTIFS(Данные!$B$2:$B$722,90,Данные!$C$2:$C$722,0,Данные!$A$2:$A$722,"&gt;="&amp;77233726000,Данные!$A$2:$A$722,"&lt;="&amp;77233726999)</f>
        <v>0</v>
      </c>
      <c r="AB167" s="62" t="n">
        <f aca="false">COUNTIFS(Данные!$B$2:$B$722,90,Данные!$C$2:$C$722,0,Данные!$A$2:$A$722,"&gt;="&amp;77233820000,Данные!$A$2:$A$722,"&lt;="&amp;77233820999)</f>
        <v>0</v>
      </c>
      <c r="AC167" s="62" t="n">
        <f aca="false">COUNTIFS(Данные!$B$2:$B$722,90,Данные!$C$2:$C$722,0,Данные!$A$2:$A$722,"&gt;="&amp;77233850000,Данные!$A$2:$A$722,"&lt;="&amp;77233850999)</f>
        <v>0</v>
      </c>
      <c r="AD167" s="62" t="n">
        <f aca="false">COUNTIFS(Данные!$B$2:$B$722,90,Данные!$C$2:$C$722,0,Данные!$A$2:$A$722,"&gt;="&amp;77233420000,Данные!$A$2:$A$722,"&lt;="&amp;77233420999)</f>
        <v>0</v>
      </c>
      <c r="AE167" s="62" t="n">
        <f aca="false">COUNTIFS(Данные!$B$2:$B$722,90,Данные!$C$2:$C$722,0,Данные!$A$2:$A$722,"&gt;="&amp;77234740000,Данные!$A$2:$A$722,"&lt;="&amp;77234742999)</f>
        <v>0</v>
      </c>
      <c r="AF167" s="62" t="n">
        <f aca="false">COUNTIFS(Данные!$B$2:$B$722,90,Данные!$C$2:$C$722,0,Данные!$A$2:$A$722,"&gt;="&amp;77234767000,Данные!$A$2:$A$722,"&lt;="&amp;77234767999)</f>
        <v>0</v>
      </c>
      <c r="AG167" s="62" t="n">
        <f aca="false">COUNTIFS(Данные!$B$2:$B$722,90,Данные!$C$2:$C$722,0,Данные!$A$2:$A$722,"&gt;="&amp;77234120000,Данные!$A$2:$A$722,"&lt;="&amp;77234120999)</f>
        <v>0</v>
      </c>
      <c r="AH167" s="62" t="n">
        <f aca="false">COUNTIFS(Данные!$B$2:$B$722,90,Данные!$C$2:$C$722,0,Данные!$A$2:$A$722,"&gt;="&amp;77234127000,Данные!$A$2:$A$722,"&lt;="&amp;77234127999)</f>
        <v>0</v>
      </c>
      <c r="AI167" s="62" t="n">
        <f aca="false">COUNTIFS(Данные!$B$2:$B$722,90,Данные!$C$2:$C$722,0,Данные!$A$2:$A$722,"&gt;="&amp;77234220000,Данные!$A$2:$A$722,"&lt;="&amp;77234220999)</f>
        <v>0</v>
      </c>
      <c r="AJ167" s="62" t="n">
        <f aca="false">COUNTIFS(Данные!$B$2:$B$722,90,Данные!$C$2:$C$722,0,Данные!$A$2:$A$722,"&gt;="&amp;77234250000,Данные!$A$2:$A$722,"&lt;="&amp;77234250999)</f>
        <v>0</v>
      </c>
      <c r="AK167" s="62" t="n">
        <f aca="false">COUNTIFS(Данные!$B$2:$B$722,90,Данные!$C$2:$C$722,0,Данные!$A$2:$A$722,"&gt;="&amp;77233922950,Данные!$A$2:$A$722,"&lt;="&amp;77233924999)</f>
        <v>0</v>
      </c>
      <c r="AL167" s="62" t="n">
        <f aca="false">COUNTIFS(Данные!$B$2:$B$722,90,Данные!$C$2:$C$722,0,Данные!$A$2:$A$722,"&gt;="&amp;77234320000,Данные!$A$2:$A$722,"&lt;="&amp;77234320999)</f>
        <v>0</v>
      </c>
      <c r="AM167" s="62" t="n">
        <f aca="false">COUNTIFS(Данные!$B$2:$B$722,90,Данные!$C$2:$C$722,0,Данные!$A$2:$A$722,"&gt;="&amp;77234350000,Данные!$A$2:$A$722,"&lt;="&amp;77234350999)</f>
        <v>0</v>
      </c>
      <c r="AN167" s="62" t="n">
        <f aca="false">COUNTIFS(Данные!$B$2:$B$722,90,Данные!$C$2:$C$722,0,Данные!$A$2:$A$722,"&gt;="&amp;77234020000,Данные!$A$2:$A$722,"&lt;="&amp;77234020999)</f>
        <v>0</v>
      </c>
      <c r="AO167" s="62" t="n">
        <f aca="false">COUNTIFS(Данные!$B$2:$B$722,90,Данные!$C$2:$C$722,0,Данные!$A$2:$A$722,"&gt;="&amp;77234029000,Данные!$A$2:$A$722,"&lt;="&amp;77234029999)</f>
        <v>0</v>
      </c>
      <c r="AP167" s="62" t="n">
        <f aca="false">COUNTIFS(Данные!$B$2:$B$722,90,Данные!$C$2:$C$722,0,Данные!$A$2:$A$722,"&gt;="&amp;77234050000,Данные!$A$2:$A$722,"&lt;="&amp;77234050999)</f>
        <v>0</v>
      </c>
      <c r="AQ167" s="62" t="n">
        <f aca="false">COUNTIFS(Данные!$B$2:$B$722,90,Данные!$C$2:$C$722,0,Данные!$A$2:$A$722,"&gt;="&amp;77234427000,Данные!$A$2:$A$722,"&lt;="&amp;77234428999)</f>
        <v>0</v>
      </c>
      <c r="AR167" s="62" t="n">
        <f aca="false">COUNTIFS(Данные!$B$2:$B$722,90,Данные!$C$2:$C$722,0,Данные!$A$2:$A$722,"&gt;="&amp;77234450000,Данные!$A$2:$A$722,"&lt;="&amp;77234450999)</f>
        <v>0</v>
      </c>
      <c r="AS167" s="62" t="n">
        <f aca="false">COUNTIFS(Данные!$B$2:$B$722,90,Данные!$C$2:$C$722,0,Данные!$A$2:$A$722,"&gt;="&amp;77234620000,Данные!$A$2:$A$722,"&lt;="&amp;77234620999)</f>
        <v>0</v>
      </c>
      <c r="AT167" s="62" t="n">
        <f aca="false">COUNTIFS(Данные!$B$2:$B$722,90,Данные!$C$2:$C$722,0,Данные!$A$2:$A$722,"&gt;="&amp;77234650000,Данные!$A$2:$A$722,"&lt;="&amp;77234650999)</f>
        <v>0</v>
      </c>
      <c r="AU167" s="62" t="n">
        <f aca="false">COUNTIFS(Данные!$B$2:$B$722,90,Данные!$C$2:$C$722,0,Данные!$A$2:$A$722,"&gt;="&amp;77234820000,Данные!$A$2:$A$722,"&lt;="&amp;77234820999)</f>
        <v>0</v>
      </c>
      <c r="AV167" s="62" t="n">
        <f aca="false">COUNTIFS(Данные!$B$2:$B$722,90,Данные!$C$2:$C$722,0,Данные!$A$2:$A$722,"&gt;="&amp;77234850000,Данные!$A$2:$A$722,"&lt;="&amp;77234850999)</f>
        <v>0</v>
      </c>
      <c r="AW167" s="62" t="n">
        <f aca="false">COUNTIFS(Данные!$B$2:$B$722,90,Данные!$C$2:$C$722,0,Данные!$A$2:$A$722,"&gt;="&amp;77233327000,Данные!$A$2:$A$722,"&lt;="&amp;77233327999)</f>
        <v>0</v>
      </c>
      <c r="AX167" s="62" t="n">
        <f aca="false">COUNTIFS(Данные!$B$2:$B$722,90,Данные!$C$2:$C$722,0,Данные!$A$2:$A$722,"&gt;="&amp;77233350000,Данные!$A$2:$A$722,"&lt;="&amp;77233350599)</f>
        <v>0</v>
      </c>
      <c r="AY167" s="62" t="n">
        <f aca="false">COUNTIFS(Данные!$B$2:$B$722,90,Данные!$C$2:$C$722,0,Данные!$A$2:$A$722,"&gt;="&amp;77233351000,Данные!$A$2:$A$722,"&lt;="&amp;77233351999)</f>
        <v>0</v>
      </c>
      <c r="AZ167" s="62" t="n">
        <f aca="false">COUNTIFS(Данные!$B$2:$B$722,90,Данные!$C$2:$C$722,0,Данные!$A$2:$A$722,"&gt;="&amp;7722440000,Данные!$A$2:$A$722,"&lt;="&amp;7722440999)</f>
        <v>0</v>
      </c>
      <c r="BA167" s="63" t="n">
        <f aca="false">COUNTIFS(Данные!$B$2:$B$722,90,Данные!$C$2:$C$722,0,Данные!$A$2:$A$722,"&gt;="&amp;7722442000,Данные!$A$2:$A$722,"&lt;="&amp;7722445659)</f>
        <v>0</v>
      </c>
      <c r="BB167" s="63" t="n">
        <f aca="false">COUNTIFS(Данные!$B$2:$B$722,90,Данные!$C$2:$C$722,0,Данные!$A$2:$A$722,"&gt;="&amp;7722450000,Данные!$A$2:$A$722,"&lt;="&amp;7722450199)</f>
        <v>0</v>
      </c>
      <c r="BC167" s="63" t="n">
        <f aca="false">COUNTIFS(Данные!$B$2:$B$722,90,Данные!$C$2:$C$722,0,Данные!$A$2:$A$722,"&gt;="&amp;7722451000,Данные!$A$2:$A$722,"&lt;="&amp;7722451374)</f>
        <v>0</v>
      </c>
      <c r="BD167" s="63" t="n">
        <f aca="false">COUNTIFS(Данные!$B$2:$B$722,90,Данные!$C$2:$C$722,0,Данные!$A$2:$A$722,"&gt;="&amp;7722452000,Данные!$A$2:$A$722,"&lt;="&amp;7722452299)</f>
        <v>0</v>
      </c>
      <c r="BE167" s="63" t="n">
        <f aca="false">COUNTIFS(Данные!$B$2:$B$722,90,Данные!$C$2:$C$722,0,Данные!$A$2:$A$722,"&gt;="&amp;7722453000,Данные!$A$2:$A$722,"&lt;="&amp;7722453816)</f>
        <v>0</v>
      </c>
      <c r="BF167" s="63" t="n">
        <f aca="false">COUNTIFS(Данные!$B$2:$B$722,90,Данные!$C$2:$C$722,0,Данные!$A$2:$A$722,"&gt;="&amp;7722454000,Данные!$A$2:$A$722,"&lt;="&amp;7722454099)</f>
        <v>0</v>
      </c>
      <c r="BG167" s="63" t="n">
        <f aca="false">COUNTIFS(Данные!$B$2:$B$722,90,Данные!$C$2:$C$722,0,Данные!$A$2:$A$722,"&gt;="&amp;7722458000,Данные!$A$2:$A$722,"&lt;="&amp;7722458999)</f>
        <v>0</v>
      </c>
      <c r="BH167" s="63" t="n">
        <f aca="false">COUNTIFS(Данные!$B$2:$B$722,90,Данные!$C$2:$C$722,0,Данные!$A$2:$A$722,"&gt;="&amp;7722630000,Данные!$A$2:$A$722,"&lt;="&amp;7722638549)</f>
        <v>0</v>
      </c>
      <c r="BI167" s="63" t="n">
        <f aca="false">COUNTIFS(Данные!$B$2:$B$722,90,Данные!$C$2:$C$722,0,Данные!$A$2:$A$722,"&gt;="&amp;7722639400,Данные!$A$2:$A$722,"&lt;="&amp;7722639899)</f>
        <v>0</v>
      </c>
      <c r="BJ167" s="63" t="n">
        <f aca="false">COUNTIFS(Данные!$B$2:$B$722,90,Данные!$C$2:$C$722,0,Данные!$A$2:$A$722,"&gt;="&amp;7725750000,Данные!$A$2:$A$722,"&lt;="&amp;7725750399)</f>
        <v>0</v>
      </c>
      <c r="BK167" s="63" t="n">
        <f aca="false">COUNTIFS(Данные!$B$2:$B$722,90,Данные!$C$2:$C$722,0,Данные!$A$2:$A$722,"&gt;="&amp;7723620000,Данные!$A$2:$A$722,"&lt;="&amp;7723621299)</f>
        <v>0</v>
      </c>
      <c r="BL167" s="63" t="n">
        <f aca="false">COUNTIFS(Данные!$B$2:$B$722,90,Данные!$C$2:$C$722,0,Данные!$A$2:$A$722,"&gt;="&amp;7723621600,Данные!$A$2:$A$722,"&lt;="&amp;7723623399)</f>
        <v>0</v>
      </c>
      <c r="BM167" s="63" t="n">
        <f aca="false">COUNTIFS(Данные!$B$2:$B$722,90,Данные!$C$2:$C$722,0,Данные!$A$2:$A$722,"&gt;="&amp;7725127000,Данные!$A$2:$A$722,"&lt;="&amp;7725127999)</f>
        <v>0</v>
      </c>
      <c r="BN167" s="63" t="n">
        <f aca="false">COUNTIFS(Данные!$B$2:$B$722,90,Данные!$C$2:$C$722,0,Данные!$A$2:$A$722,"&gt;="&amp;7723772000,Данные!$A$2:$A$722,"&lt;="&amp;7723724999)</f>
        <v>0</v>
      </c>
      <c r="BO167" s="62" t="n">
        <f aca="false">COUNTIFS(Данные!$B$2:$B$722,90,Данные!$C$2:$C$722,0,Данные!$A$2:$A$722,"&gt;="&amp;7723765000,Данные!$A$2:$A$722,"&lt;="&amp;7723765499)</f>
        <v>0</v>
      </c>
      <c r="BP167" s="63" t="n">
        <f aca="false">COUNTIFS(Данные!$B$2:$B$722,90,Данные!$C$2:$C$722,0,Данные!$A$2:$A$722,"&gt;="&amp;7723948000,Данные!$A$2:$A$722,"&lt;="&amp;7723948999)</f>
        <v>0</v>
      </c>
      <c r="BQ167" s="63" t="n">
        <f aca="false">COUNTIFS(Данные!$B$2:$B$722,90,Данные!$C$2:$C$722,0,Данные!$A$2:$A$722,"&gt;="&amp;7723950000,Данные!$A$2:$A$722,"&lt;="&amp;7723951099)</f>
        <v>0</v>
      </c>
      <c r="BR167" s="63" t="n">
        <f aca="false">COUNTIFS(Данные!$B$2:$B$722,90,Данные!$C$2:$C$722,0,Данные!$A$2:$A$722,"&gt;="&amp;7723020000,Данные!$A$2:$A$722,"&lt;="&amp;7723020999)</f>
        <v>0</v>
      </c>
      <c r="BS167" s="63" t="n">
        <f aca="false">COUNTIFS(Данные!$B$2:$B$722,90,Данные!$C$2:$C$722,0,Данные!$A$2:$A$722,"&gt;="&amp;7723029000,Данные!$A$2:$A$722,"&lt;="&amp;7723029999)</f>
        <v>0</v>
      </c>
      <c r="BT167" s="63" t="n">
        <f aca="false">COUNTIFS(Данные!$B$2:$B$722,90,Данные!$C$2:$C$722,0,Данные!$A$2:$A$722,"&gt;="&amp;7723055000,Данные!$A$2:$A$722,"&lt;="&amp;7723056549)</f>
        <v>0</v>
      </c>
      <c r="BU167" s="62" t="n">
        <f aca="false">COUNTIFS(Данные!$B$2:$B$722,90,Данные!$C$2:$C$722,0,Данные!$A$2:$A$722,"&gt;="&amp;7725250000,Данные!$A$2:$A$722,"&lt;="&amp;7725250499)</f>
        <v>0</v>
      </c>
      <c r="BV167" s="63" t="n">
        <f aca="false">COUNTIFS(Данные!$B$2:$B$722,90,Данные!$C$2:$C$722,0,Данные!$A$2:$A$722,"&gt;="&amp;7183841400,Данные!$A$2:$A$722,"&lt;="&amp;7183841499)</f>
        <v>0</v>
      </c>
      <c r="BW167" s="40" t="n">
        <v>300</v>
      </c>
      <c r="BX167" s="64" t="n">
        <f aca="false">F167-BW167</f>
        <v>-300</v>
      </c>
    </row>
    <row r="168" s="15" customFormat="true" ht="12" hidden="false" customHeight="true" outlineLevel="0" collapsed="false">
      <c r="A168" s="38"/>
      <c r="B168" s="39"/>
      <c r="C168" s="41" t="n">
        <v>1</v>
      </c>
      <c r="D168" s="41" t="n">
        <v>901</v>
      </c>
      <c r="E168" s="42"/>
      <c r="F168" s="62" t="n">
        <f aca="false">COUNTIFS(Данные!$B$2:$B$722,90,Данные!$C$2:$C$722,1)</f>
        <v>0</v>
      </c>
      <c r="G168" s="62" t="n">
        <f aca="false">COUNTIFS(Данные!$B$2:$B$722,90,Данные!$C$2:$C$722,1,Данные!$A$2:$A$722,"&gt;="&amp;77232210840,Данные!$A$2:$A$722,"&lt;="&amp;77232216999)</f>
        <v>0</v>
      </c>
      <c r="H168" s="62" t="n">
        <f aca="false">COUNTIFS(Данные!$B$2:$B$722,90,Данные!$C$2:$C$722,1,Данные!$A$2:$A$722,"&gt;="&amp;77232510512,Данные!$A$2:$A$722,"&lt;="&amp;77232519487)</f>
        <v>0</v>
      </c>
      <c r="I168" s="62" t="n">
        <f aca="false">COUNTIFS(Данные!$B$2:$B$722,90,Данные!$C$2:$C$722,1,Данные!$A$2:$A$722,"&gt;="&amp;77232524160,Данные!$A$2:$A$722,"&lt;="&amp;77232529999)</f>
        <v>0</v>
      </c>
      <c r="J168" s="62" t="n">
        <f aca="false">COUNTIFS(Данные!$B$2:$B$722,90,Данные!$C$2:$C$722,1,Данные!$A$2:$A$722,"&gt;="&amp;77232544000,Данные!$A$2:$A$722,"&lt;="&amp;77232544999)</f>
        <v>0</v>
      </c>
      <c r="K168" s="62" t="n">
        <f aca="false">COUNTIFS(Данные!$B$2:$B$722,90,Данные!$C$2:$C$722,1,Данные!$A$2:$A$722,"&gt;="&amp;77232295504,Данные!$A$2:$A$722,"&lt;="&amp;77232296999)</f>
        <v>0</v>
      </c>
      <c r="L168" s="62" t="n">
        <f aca="false">COUNTIFS(Данные!$B$2:$B$722,90,Данные!$C$2:$C$722,1,Данные!$A$2:$A$722,"&gt;="&amp;77232785000,Данные!$A$2:$A$722,"&lt;="&amp;77232789999)</f>
        <v>0</v>
      </c>
      <c r="M168" s="62" t="n">
        <f aca="false">COUNTIFS(Данные!$B$2:$B$722,90,Данные!$C$2:$C$722,1,Данные!$A$2:$A$722,"&gt;="&amp;77233150000,Данные!$A$2:$A$722,"&lt;="&amp;77233155999)</f>
        <v>0</v>
      </c>
      <c r="N168" s="62" t="n">
        <f aca="false">COUNTIFS(Данные!$B$2:$B$722,90,Данные!$C$2:$C$722,1,Данные!$A$2:$A$722,"&gt;="&amp;77233235000,Данные!$A$2:$A$722,"&lt;="&amp;77233235999)</f>
        <v>0</v>
      </c>
      <c r="O168" s="62" t="n">
        <f aca="false">COUNTIFS(Данные!$B$2:$B$722,90,Данные!$C$2:$C$722,1,Данные!$A$2:$A$722,"&gt;="&amp;77233239000,Данные!$A$2:$A$722,"&lt;="&amp;77233239999)</f>
        <v>0</v>
      </c>
      <c r="P168" s="62" t="n">
        <f aca="false">COUNTIFS(Данные!$B$2:$B$722,90,Данные!$C$2:$C$722,1,Данные!$A$2:$A$722,"&gt;="&amp;77233272000,Данные!$A$2:$A$722,"&lt;="&amp;77233272999)</f>
        <v>0</v>
      </c>
      <c r="Q168" s="62" t="n">
        <f aca="false">COUNTIFS(Данные!$B$2:$B$722,90,Данные!$C$2:$C$722,1,Данные!$A$2:$A$722,"&gt;="&amp;77233291100,Данные!$A$2:$A$722,"&lt;="&amp;77233292999)</f>
        <v>0</v>
      </c>
      <c r="R168" s="62" t="n">
        <f aca="false">COUNTIFS(Данные!$B$2:$B$722,90,Данные!$C$2:$C$722,1,Данные!$A$2:$A$722,"&gt;="&amp;77233297000,Данные!$A$2:$A$722,"&lt;="&amp;77233298399)</f>
        <v>0</v>
      </c>
      <c r="S168" s="62" t="n">
        <f aca="false">COUNTIFS(Данные!$B$2:$B$722,90,Данные!$C$2:$C$722,1,Данные!$A$2:$A$722,"&gt;="&amp;77235124000,Данные!$A$2:$A$722,"&lt;="&amp;77235128499)</f>
        <v>0</v>
      </c>
      <c r="T168" s="62" t="n">
        <f aca="false">COUNTIFS(Данные!$B$2:$B$722,90,Данные!$C$2:$C$722,1,Данные!$A$2:$A$722,"&gt;="&amp;77235320000,Данные!$A$2:$A$722,"&lt;="&amp;77235320999)</f>
        <v>0</v>
      </c>
      <c r="U168" s="62" t="n">
        <f aca="false">COUNTIFS(Данные!$B$2:$B$722,90,Данные!$C$2:$C$722,1,Данные!$A$2:$A$722,"&gt;="&amp;77233620000,Данные!$A$2:$A$722,"&lt;="&amp;77233623339)</f>
        <v>0</v>
      </c>
      <c r="V168" s="62" t="n">
        <f aca="false">COUNTIFS(Данные!$B$2:$B$722,90,Данные!$C$2:$C$722,1,Данные!$A$2:$A$722,"&gt;="&amp;77233630000,Данные!$A$2:$A$722,"&lt;="&amp;77233630999)</f>
        <v>0</v>
      </c>
      <c r="W168" s="62" t="n">
        <f aca="false">COUNTIFS(Данные!$B$2:$B$722,90,Данные!$C$2:$C$722,1,Данные!$A$2:$A$722,"&gt;="&amp;77233637000,Данные!$A$2:$A$722,"&lt;="&amp;77233637599)</f>
        <v>0</v>
      </c>
      <c r="X168" s="62" t="n">
        <f aca="false">COUNTIFS(Данные!$B$2:$B$722,90,Данные!$C$2:$C$722,1,Данные!$A$2:$A$722,"&gt;="&amp;77233550000,Данные!$A$2:$A$722,"&lt;="&amp;77233550999)</f>
        <v>0</v>
      </c>
      <c r="Y168" s="62" t="n">
        <f aca="false">COUNTIFS(Данные!$B$2:$B$722,90,Данные!$C$2:$C$722,1,Данные!$A$2:$A$722,"&gt;="&amp;77233554000,Данные!$A$2:$A$722,"&lt;="&amp;77233554999)</f>
        <v>0</v>
      </c>
      <c r="Z168" s="62" t="n">
        <f aca="false">COUNTIFS(Данные!$B$2:$B$722,90,Данные!$C$2:$C$722,1,Данные!$A$2:$A$722,"&gt;="&amp;77233555000,Данные!$A$2:$A$722,"&lt;="&amp;77233556999)</f>
        <v>0</v>
      </c>
      <c r="AA168" s="62" t="n">
        <f aca="false">COUNTIFS(Данные!$B$2:$B$722,90,Данные!$C$2:$C$722,1,Данные!$A$2:$A$722,"&gt;="&amp;77233726000,Данные!$A$2:$A$722,"&lt;="&amp;77233726999)</f>
        <v>0</v>
      </c>
      <c r="AB168" s="62" t="n">
        <f aca="false">COUNTIFS(Данные!$B$2:$B$722,90,Данные!$C$2:$C$722,1,Данные!$A$2:$A$722,"&gt;="&amp;77233820000,Данные!$A$2:$A$722,"&lt;="&amp;77233820999)</f>
        <v>0</v>
      </c>
      <c r="AC168" s="62" t="n">
        <f aca="false">COUNTIFS(Данные!$B$2:$B$722,90,Данные!$C$2:$C$722,1,Данные!$A$2:$A$722,"&gt;="&amp;77233850000,Данные!$A$2:$A$722,"&lt;="&amp;77233850999)</f>
        <v>0</v>
      </c>
      <c r="AD168" s="62" t="n">
        <f aca="false">COUNTIFS(Данные!$B$2:$B$722,90,Данные!$C$2:$C$722,1,Данные!$A$2:$A$722,"&gt;="&amp;77233420000,Данные!$A$2:$A$722,"&lt;="&amp;77233420999)</f>
        <v>0</v>
      </c>
      <c r="AE168" s="62" t="n">
        <f aca="false">COUNTIFS(Данные!$B$2:$B$722,90,Данные!$C$2:$C$722,1,Данные!$A$2:$A$722,"&gt;="&amp;77234740000,Данные!$A$2:$A$722,"&lt;="&amp;77234742999)</f>
        <v>0</v>
      </c>
      <c r="AF168" s="62" t="n">
        <f aca="false">COUNTIFS(Данные!$B$2:$B$722,90,Данные!$C$2:$C$722,1,Данные!$A$2:$A$722,"&gt;="&amp;77234767000,Данные!$A$2:$A$722,"&lt;="&amp;77234767999)</f>
        <v>0</v>
      </c>
      <c r="AG168" s="62" t="n">
        <f aca="false">COUNTIFS(Данные!$B$2:$B$722,90,Данные!$C$2:$C$722,1,Данные!$A$2:$A$722,"&gt;="&amp;77234120000,Данные!$A$2:$A$722,"&lt;="&amp;77234120999)</f>
        <v>0</v>
      </c>
      <c r="AH168" s="62" t="n">
        <f aca="false">COUNTIFS(Данные!$B$2:$B$722,90,Данные!$C$2:$C$722,1,Данные!$A$2:$A$722,"&gt;="&amp;77234127000,Данные!$A$2:$A$722,"&lt;="&amp;77234127999)</f>
        <v>0</v>
      </c>
      <c r="AI168" s="62" t="n">
        <f aca="false">COUNTIFS(Данные!$B$2:$B$722,90,Данные!$C$2:$C$722,1,Данные!$A$2:$A$722,"&gt;="&amp;77234220000,Данные!$A$2:$A$722,"&lt;="&amp;77234220999)</f>
        <v>0</v>
      </c>
      <c r="AJ168" s="62" t="n">
        <f aca="false">COUNTIFS(Данные!$B$2:$B$722,90,Данные!$C$2:$C$722,1,Данные!$A$2:$A$722,"&gt;="&amp;77234250000,Данные!$A$2:$A$722,"&lt;="&amp;77234250999)</f>
        <v>0</v>
      </c>
      <c r="AK168" s="62" t="n">
        <f aca="false">COUNTIFS(Данные!$B$2:$B$722,90,Данные!$C$2:$C$722,1,Данные!$A$2:$A$722,"&gt;="&amp;77233922950,Данные!$A$2:$A$722,"&lt;="&amp;77233924999)</f>
        <v>0</v>
      </c>
      <c r="AL168" s="62" t="n">
        <f aca="false">COUNTIFS(Данные!$B$2:$B$722,90,Данные!$C$2:$C$722,1,Данные!$A$2:$A$722,"&gt;="&amp;77234320000,Данные!$A$2:$A$722,"&lt;="&amp;77234320999)</f>
        <v>0</v>
      </c>
      <c r="AM168" s="62" t="n">
        <f aca="false">COUNTIFS(Данные!$B$2:$B$722,90,Данные!$C$2:$C$722,1,Данные!$A$2:$A$722,"&gt;="&amp;77234350000,Данные!$A$2:$A$722,"&lt;="&amp;77234350999)</f>
        <v>0</v>
      </c>
      <c r="AN168" s="62" t="n">
        <f aca="false">COUNTIFS(Данные!$B$2:$B$722,90,Данные!$C$2:$C$722,1,Данные!$A$2:$A$722,"&gt;="&amp;77234020000,Данные!$A$2:$A$722,"&lt;="&amp;77234020999)</f>
        <v>0</v>
      </c>
      <c r="AO168" s="62" t="n">
        <f aca="false">COUNTIFS(Данные!$B$2:$B$722,90,Данные!$C$2:$C$722,1,Данные!$A$2:$A$722,"&gt;="&amp;77234029000,Данные!$A$2:$A$722,"&lt;="&amp;77234029999)</f>
        <v>0</v>
      </c>
      <c r="AP168" s="62" t="n">
        <f aca="false">COUNTIFS(Данные!$B$2:$B$722,90,Данные!$C$2:$C$722,1,Данные!$A$2:$A$722,"&gt;="&amp;77234050000,Данные!$A$2:$A$722,"&lt;="&amp;77234050999)</f>
        <v>0</v>
      </c>
      <c r="AQ168" s="62" t="n">
        <f aca="false">COUNTIFS(Данные!$B$2:$B$722,90,Данные!$C$2:$C$722,1,Данные!$A$2:$A$722,"&gt;="&amp;77234427000,Данные!$A$2:$A$722,"&lt;="&amp;77234428999)</f>
        <v>0</v>
      </c>
      <c r="AR168" s="62" t="n">
        <f aca="false">COUNTIFS(Данные!$B$2:$B$722,90,Данные!$C$2:$C$722,1,Данные!$A$2:$A$722,"&gt;="&amp;77234450000,Данные!$A$2:$A$722,"&lt;="&amp;77234450999)</f>
        <v>0</v>
      </c>
      <c r="AS168" s="62" t="n">
        <f aca="false">COUNTIFS(Данные!$B$2:$B$722,90,Данные!$C$2:$C$722,1,Данные!$A$2:$A$722,"&gt;="&amp;77234620000,Данные!$A$2:$A$722,"&lt;="&amp;77234620999)</f>
        <v>0</v>
      </c>
      <c r="AT168" s="62" t="n">
        <f aca="false">COUNTIFS(Данные!$B$2:$B$722,90,Данные!$C$2:$C$722,1,Данные!$A$2:$A$722,"&gt;="&amp;77234650000,Данные!$A$2:$A$722,"&lt;="&amp;77234650999)</f>
        <v>0</v>
      </c>
      <c r="AU168" s="62" t="n">
        <f aca="false">COUNTIFS(Данные!$B$2:$B$722,90,Данные!$C$2:$C$722,1,Данные!$A$2:$A$722,"&gt;="&amp;77234820000,Данные!$A$2:$A$722,"&lt;="&amp;77234820999)</f>
        <v>0</v>
      </c>
      <c r="AV168" s="62" t="n">
        <f aca="false">COUNTIFS(Данные!$B$2:$B$722,90,Данные!$C$2:$C$722,1,Данные!$A$2:$A$722,"&gt;="&amp;77234850000,Данные!$A$2:$A$722,"&lt;="&amp;77234850999)</f>
        <v>0</v>
      </c>
      <c r="AW168" s="62" t="n">
        <f aca="false">COUNTIFS(Данные!$B$2:$B$722,90,Данные!$C$2:$C$722,1,Данные!$A$2:$A$722,"&gt;="&amp;77233327000,Данные!$A$2:$A$722,"&lt;="&amp;77233327999)</f>
        <v>0</v>
      </c>
      <c r="AX168" s="62" t="n">
        <f aca="false">COUNTIFS(Данные!$B$2:$B$722,90,Данные!$C$2:$C$722,1,Данные!$A$2:$A$722,"&gt;="&amp;77233350000,Данные!$A$2:$A$722,"&lt;="&amp;77233350599)</f>
        <v>0</v>
      </c>
      <c r="AY168" s="62" t="n">
        <f aca="false">COUNTIFS(Данные!$B$2:$B$722,90,Данные!$C$2:$C$722,1,Данные!$A$2:$A$722,"&gt;="&amp;77233351000,Данные!$A$2:$A$722,"&lt;="&amp;77233351999)</f>
        <v>0</v>
      </c>
      <c r="AZ168" s="63" t="n">
        <f aca="false">COUNTIFS(Данные!$B$2:$B$722,90,Данные!$C$2:$C$722,1,Данные!$A$2:$A$722,"&gt;="&amp;7722440000,Данные!$A$2:$A$722,"&lt;="&amp;7722440999)</f>
        <v>0</v>
      </c>
      <c r="BA168" s="63" t="n">
        <f aca="false">COUNTIFS(Данные!$B$2:$B$722,90,Данные!$C$2:$C$722,1,Данные!$A$2:$A$722,"&gt;="&amp;7722442000,Данные!$A$2:$A$722,"&lt;="&amp;7722445659)</f>
        <v>0</v>
      </c>
      <c r="BB168" s="63" t="n">
        <f aca="false">COUNTIFS(Данные!$B$2:$B$722,90,Данные!$C$2:$C$722,1,Данные!$A$2:$A$722,"&gt;="&amp;7722450000,Данные!$A$2:$A$722,"&lt;="&amp;7722450199)</f>
        <v>0</v>
      </c>
      <c r="BC168" s="63" t="n">
        <f aca="false">COUNTIFS(Данные!$B$2:$B$722,90,Данные!$C$2:$C$722,1,Данные!$A$2:$A$722,"&gt;="&amp;7722451000,Данные!$A$2:$A$722,"&lt;="&amp;7722451374)</f>
        <v>0</v>
      </c>
      <c r="BD168" s="63" t="n">
        <f aca="false">COUNTIFS(Данные!$B$2:$B$722,90,Данные!$C$2:$C$722,1,Данные!$A$2:$A$722,"&gt;="&amp;7722452000,Данные!$A$2:$A$722,"&lt;="&amp;7722452299)</f>
        <v>0</v>
      </c>
      <c r="BE168" s="63" t="n">
        <f aca="false">COUNTIFS(Данные!$B$2:$B$722,90,Данные!$C$2:$C$722,1,Данные!$A$2:$A$722,"&gt;="&amp;7722453000,Данные!$A$2:$A$722,"&lt;="&amp;7722453816)</f>
        <v>0</v>
      </c>
      <c r="BF168" s="63" t="n">
        <f aca="false">COUNTIFS(Данные!$B$2:$B$722,90,Данные!$C$2:$C$722,1,Данные!$A$2:$A$722,"&gt;="&amp;7722454000,Данные!$A$2:$A$722,"&lt;="&amp;7722454099)</f>
        <v>0</v>
      </c>
      <c r="BG168" s="63" t="n">
        <f aca="false">COUNTIFS(Данные!$B$2:$B$722,90,Данные!$C$2:$C$722,1,Данные!$A$2:$A$722,"&gt;="&amp;7722458000,Данные!$A$2:$A$722,"&lt;="&amp;7722458999)</f>
        <v>0</v>
      </c>
      <c r="BH168" s="63" t="n">
        <f aca="false">COUNTIFS(Данные!$B$2:$B$722,90,Данные!$C$2:$C$722,1,Данные!$A$2:$A$722,"&gt;="&amp;7722630000,Данные!$A$2:$A$722,"&lt;="&amp;7722638549)</f>
        <v>0</v>
      </c>
      <c r="BI168" s="63" t="n">
        <f aca="false">COUNTIFS(Данные!$B$2:$B$722,90,Данные!$C$2:$C$722,1,Данные!$A$2:$A$722,"&gt;="&amp;7722639400,Данные!$A$2:$A$722,"&lt;="&amp;7722639899)</f>
        <v>0</v>
      </c>
      <c r="BJ168" s="63" t="n">
        <f aca="false">COUNTIFS(Данные!$B$2:$B$722,90,Данные!$C$2:$C$722,1,Данные!$A$2:$A$722,"&gt;="&amp;7725750000,Данные!$A$2:$A$722,"&lt;="&amp;7725750399)</f>
        <v>0</v>
      </c>
      <c r="BK168" s="63" t="n">
        <f aca="false">COUNTIFS(Данные!$B$2:$B$722,90,Данные!$C$2:$C$722,1,Данные!$A$2:$A$722,"&gt;="&amp;7723620000,Данные!$A$2:$A$722,"&lt;="&amp;7723621299)</f>
        <v>0</v>
      </c>
      <c r="BL168" s="63" t="n">
        <f aca="false">COUNTIFS(Данные!$B$2:$B$722,90,Данные!$C$2:$C$722,1,Данные!$A$2:$A$722,"&gt;="&amp;7723621600,Данные!$A$2:$A$722,"&lt;="&amp;7723623399)</f>
        <v>0</v>
      </c>
      <c r="BM168" s="63" t="n">
        <f aca="false">COUNTIFS(Данные!$B$2:$B$722,90,Данные!$C$2:$C$722,1,Данные!$A$2:$A$722,"&gt;="&amp;7725127000,Данные!$A$2:$A$722,"&lt;="&amp;7725127999)</f>
        <v>0</v>
      </c>
      <c r="BN168" s="63" t="n">
        <f aca="false">COUNTIFS(Данные!$B$2:$B$722,90,Данные!$C$2:$C$722,1,Данные!$A$2:$A$722,"&gt;="&amp;7723772000,Данные!$A$2:$A$722,"&lt;="&amp;7723724999)</f>
        <v>0</v>
      </c>
      <c r="BO168" s="62" t="n">
        <f aca="false">COUNTIFS(Данные!$B$2:$B$722,90,Данные!$C$2:$C$722,1,Данные!$A$2:$A$722,"&gt;="&amp;7723765000,Данные!$A$2:$A$722,"&lt;="&amp;7723765499)</f>
        <v>0</v>
      </c>
      <c r="BP168" s="63" t="n">
        <f aca="false">COUNTIFS(Данные!$B$2:$B$722,90,Данные!$C$2:$C$722,1,Данные!$A$2:$A$722,"&gt;="&amp;7723948000,Данные!$A$2:$A$722,"&lt;="&amp;7723948999)</f>
        <v>0</v>
      </c>
      <c r="BQ168" s="63" t="n">
        <f aca="false">COUNTIFS(Данные!$B$2:$B$722,90,Данные!$C$2:$C$722,1,Данные!$A$2:$A$722,"&gt;="&amp;7723950000,Данные!$A$2:$A$722,"&lt;="&amp;7723951099)</f>
        <v>0</v>
      </c>
      <c r="BR168" s="63" t="n">
        <f aca="false">COUNTIFS(Данные!$B$2:$B$722,90,Данные!$C$2:$C$722,1,Данные!$A$2:$A$722,"&gt;="&amp;7723020000,Данные!$A$2:$A$722,"&lt;="&amp;7723020999)</f>
        <v>0</v>
      </c>
      <c r="BS168" s="63" t="n">
        <f aca="false">COUNTIFS(Данные!$B$2:$B$722,90,Данные!$C$2:$C$722,1,Данные!$A$2:$A$722,"&gt;="&amp;7723029000,Данные!$A$2:$A$722,"&lt;="&amp;7723029999)</f>
        <v>0</v>
      </c>
      <c r="BT168" s="63" t="n">
        <f aca="false">COUNTIFS(Данные!$B$2:$B$722,90,Данные!$C$2:$C$722,1,Данные!$A$2:$A$722,"&gt;="&amp;7723055000,Данные!$A$2:$A$722,"&lt;="&amp;7723056549)</f>
        <v>0</v>
      </c>
      <c r="BU168" s="62" t="n">
        <f aca="false">COUNTIFS(Данные!$B$2:$B$722,90,Данные!$C$2:$C$722,1,Данные!$A$2:$A$722,"&gt;="&amp;7725250000,Данные!$A$2:$A$722,"&lt;="&amp;7725250499)</f>
        <v>0</v>
      </c>
      <c r="BV168" s="63" t="n">
        <f aca="false">COUNTIFS(Данные!$B$2:$B$722,90,Данные!$C$2:$C$722,1,Данные!$A$2:$A$722,"&gt;="&amp;7183841400,Данные!$A$2:$A$722,"&lt;="&amp;7183841499)</f>
        <v>0</v>
      </c>
      <c r="BW168" s="40" t="n">
        <v>300</v>
      </c>
      <c r="BX168" s="64" t="n">
        <f aca="false">F168-BW168</f>
        <v>-300</v>
      </c>
    </row>
    <row r="169" s="15" customFormat="true" ht="12" hidden="false" customHeight="true" outlineLevel="0" collapsed="false">
      <c r="A169" s="38"/>
      <c r="B169" s="39"/>
      <c r="C169" s="41" t="n">
        <v>2</v>
      </c>
      <c r="D169" s="41" t="n">
        <v>902</v>
      </c>
      <c r="E169" s="42"/>
      <c r="F169" s="62" t="n">
        <f aca="false">COUNTIFS(Данные!$B$2:$B$722,90,Данные!$C$2:$C$722,2)</f>
        <v>0</v>
      </c>
      <c r="G169" s="62" t="n">
        <f aca="false">COUNTIFS(Данные!$B$2:$B$722,90,Данные!$C$2:$C$722,2,Данные!$A$2:$A$722,"&gt;="&amp;77232210840,Данные!$A$2:$A$722,"&lt;="&amp;77232216999)</f>
        <v>0</v>
      </c>
      <c r="H169" s="62" t="n">
        <f aca="false">COUNTIFS(Данные!$B$2:$B$722,90,Данные!$C$2:$C$722,2,Данные!$A$2:$A$722,"&gt;="&amp;77232510512,Данные!$A$2:$A$722,"&lt;="&amp;77232519487)</f>
        <v>0</v>
      </c>
      <c r="I169" s="62" t="n">
        <f aca="false">COUNTIFS(Данные!$B$2:$B$722,90,Данные!$C$2:$C$722,2,Данные!$A$2:$A$722,"&gt;="&amp;77232524160,Данные!$A$2:$A$722,"&lt;="&amp;77232529999)</f>
        <v>0</v>
      </c>
      <c r="J169" s="62" t="n">
        <f aca="false">COUNTIFS(Данные!$B$2:$B$722,90,Данные!$C$2:$C$722,2,Данные!$A$2:$A$722,"&gt;="&amp;77232544000,Данные!$A$2:$A$722,"&lt;="&amp;77232544999)</f>
        <v>0</v>
      </c>
      <c r="K169" s="62" t="n">
        <f aca="false">COUNTIFS(Данные!$B$2:$B$722,90,Данные!$C$2:$C$722,2,Данные!$A$2:$A$722,"&gt;="&amp;77232295504,Данные!$A$2:$A$722,"&lt;="&amp;77232296999)</f>
        <v>0</v>
      </c>
      <c r="L169" s="62" t="n">
        <f aca="false">COUNTIFS(Данные!$B$2:$B$722,90,Данные!$C$2:$C$722,2,Данные!$A$2:$A$722,"&gt;="&amp;77232785000,Данные!$A$2:$A$722,"&lt;="&amp;77232789999)</f>
        <v>0</v>
      </c>
      <c r="M169" s="62" t="n">
        <f aca="false">COUNTIFS(Данные!$B$2:$B$722,90,Данные!$C$2:$C$722,2,Данные!$A$2:$A$722,"&gt;="&amp;77233150000,Данные!$A$2:$A$722,"&lt;="&amp;77233155999)</f>
        <v>0</v>
      </c>
      <c r="N169" s="62" t="n">
        <f aca="false">COUNTIFS(Данные!$B$2:$B$722,90,Данные!$C$2:$C$722,2,Данные!$A$2:$A$722,"&gt;="&amp;77233235000,Данные!$A$2:$A$722,"&lt;="&amp;77233235999)</f>
        <v>0</v>
      </c>
      <c r="O169" s="62" t="n">
        <f aca="false">COUNTIFS(Данные!$B$2:$B$722,90,Данные!$C$2:$C$722,2,Данные!$A$2:$A$722,"&gt;="&amp;77233239000,Данные!$A$2:$A$722,"&lt;="&amp;77233239999)</f>
        <v>0</v>
      </c>
      <c r="P169" s="62" t="n">
        <f aca="false">COUNTIFS(Данные!$B$2:$B$722,90,Данные!$C$2:$C$722,2,Данные!$A$2:$A$722,"&gt;="&amp;77233272000,Данные!$A$2:$A$722,"&lt;="&amp;77233272999)</f>
        <v>0</v>
      </c>
      <c r="Q169" s="62" t="n">
        <f aca="false">COUNTIFS(Данные!$B$2:$B$722,90,Данные!$C$2:$C$722,2,Данные!$A$2:$A$722,"&gt;="&amp;77233291100,Данные!$A$2:$A$722,"&lt;="&amp;77233292999)</f>
        <v>0</v>
      </c>
      <c r="R169" s="62" t="n">
        <f aca="false">COUNTIFS(Данные!$B$2:$B$722,90,Данные!$C$2:$C$722,2,Данные!$A$2:$A$722,"&gt;="&amp;77233297000,Данные!$A$2:$A$722,"&lt;="&amp;77233298399)</f>
        <v>0</v>
      </c>
      <c r="S169" s="62" t="n">
        <f aca="false">COUNTIFS(Данные!$B$2:$B$722,90,Данные!$C$2:$C$722,2,Данные!$A$2:$A$722,"&gt;="&amp;77235124000,Данные!$A$2:$A$722,"&lt;="&amp;77235128499)</f>
        <v>0</v>
      </c>
      <c r="T169" s="62" t="n">
        <f aca="false">COUNTIFS(Данные!$B$2:$B$722,90,Данные!$C$2:$C$722,2,Данные!$A$2:$A$722,"&gt;="&amp;77235320000,Данные!$A$2:$A$722,"&lt;="&amp;77235320999)</f>
        <v>0</v>
      </c>
      <c r="U169" s="62" t="n">
        <f aca="false">COUNTIFS(Данные!$B$2:$B$722,90,Данные!$C$2:$C$722,2,Данные!$A$2:$A$722,"&gt;="&amp;77233620000,Данные!$A$2:$A$722,"&lt;="&amp;77233623339)</f>
        <v>0</v>
      </c>
      <c r="V169" s="62" t="n">
        <f aca="false">COUNTIFS(Данные!$B$2:$B$722,90,Данные!$C$2:$C$722,2,Данные!$A$2:$A$722,"&gt;="&amp;77233630000,Данные!$A$2:$A$722,"&lt;="&amp;77233630999)</f>
        <v>0</v>
      </c>
      <c r="W169" s="62" t="n">
        <f aca="false">COUNTIFS(Данные!$B$2:$B$722,90,Данные!$C$2:$C$722,2,Данные!$A$2:$A$722,"&gt;="&amp;77233637000,Данные!$A$2:$A$722,"&lt;="&amp;77233637599)</f>
        <v>0</v>
      </c>
      <c r="X169" s="62" t="n">
        <f aca="false">COUNTIFS(Данные!$B$2:$B$722,90,Данные!$C$2:$C$722,2,Данные!$A$2:$A$722,"&gt;="&amp;77233550000,Данные!$A$2:$A$722,"&lt;="&amp;77233550999)</f>
        <v>0</v>
      </c>
      <c r="Y169" s="62" t="n">
        <f aca="false">COUNTIFS(Данные!$B$2:$B$722,90,Данные!$C$2:$C$722,2,Данные!$A$2:$A$722,"&gt;="&amp;77233554000,Данные!$A$2:$A$722,"&lt;="&amp;77233554999)</f>
        <v>0</v>
      </c>
      <c r="Z169" s="62" t="n">
        <f aca="false">COUNTIFS(Данные!$B$2:$B$722,90,Данные!$C$2:$C$722,2,Данные!$A$2:$A$722,"&gt;="&amp;77233555000,Данные!$A$2:$A$722,"&lt;="&amp;77233556999)</f>
        <v>0</v>
      </c>
      <c r="AA169" s="62" t="n">
        <f aca="false">COUNTIFS(Данные!$B$2:$B$722,90,Данные!$C$2:$C$722,2,Данные!$A$2:$A$722,"&gt;="&amp;77233726000,Данные!$A$2:$A$722,"&lt;="&amp;77233726999)</f>
        <v>0</v>
      </c>
      <c r="AB169" s="62" t="n">
        <f aca="false">COUNTIFS(Данные!$B$2:$B$722,90,Данные!$C$2:$C$722,2,Данные!$A$2:$A$722,"&gt;="&amp;77233820000,Данные!$A$2:$A$722,"&lt;="&amp;77233820999)</f>
        <v>0</v>
      </c>
      <c r="AC169" s="62" t="n">
        <f aca="false">COUNTIFS(Данные!$B$2:$B$722,90,Данные!$C$2:$C$722,2,Данные!$A$2:$A$722,"&gt;="&amp;77233850000,Данные!$A$2:$A$722,"&lt;="&amp;77233850999)</f>
        <v>0</v>
      </c>
      <c r="AD169" s="62" t="n">
        <f aca="false">COUNTIFS(Данные!$B$2:$B$722,90,Данные!$C$2:$C$722,2,Данные!$A$2:$A$722,"&gt;="&amp;77233420000,Данные!$A$2:$A$722,"&lt;="&amp;77233420999)</f>
        <v>0</v>
      </c>
      <c r="AE169" s="62" t="n">
        <f aca="false">COUNTIFS(Данные!$B$2:$B$722,90,Данные!$C$2:$C$722,2,Данные!$A$2:$A$722,"&gt;="&amp;77234740000,Данные!$A$2:$A$722,"&lt;="&amp;77234742999)</f>
        <v>0</v>
      </c>
      <c r="AF169" s="62" t="n">
        <f aca="false">COUNTIFS(Данные!$B$2:$B$722,90,Данные!$C$2:$C$722,2,Данные!$A$2:$A$722,"&gt;="&amp;77234767000,Данные!$A$2:$A$722,"&lt;="&amp;77234767999)</f>
        <v>0</v>
      </c>
      <c r="AG169" s="62" t="n">
        <f aca="false">COUNTIFS(Данные!$B$2:$B$722,90,Данные!$C$2:$C$722,2,Данные!$A$2:$A$722,"&gt;="&amp;77234120000,Данные!$A$2:$A$722,"&lt;="&amp;77234120999)</f>
        <v>0</v>
      </c>
      <c r="AH169" s="62" t="n">
        <f aca="false">COUNTIFS(Данные!$B$2:$B$722,90,Данные!$C$2:$C$722,2,Данные!$A$2:$A$722,"&gt;="&amp;77234127000,Данные!$A$2:$A$722,"&lt;="&amp;77234127999)</f>
        <v>0</v>
      </c>
      <c r="AI169" s="62" t="n">
        <f aca="false">COUNTIFS(Данные!$B$2:$B$722,90,Данные!$C$2:$C$722,2,Данные!$A$2:$A$722,"&gt;="&amp;77234220000,Данные!$A$2:$A$722,"&lt;="&amp;77234220999)</f>
        <v>0</v>
      </c>
      <c r="AJ169" s="62" t="n">
        <f aca="false">COUNTIFS(Данные!$B$2:$B$722,90,Данные!$C$2:$C$722,2,Данные!$A$2:$A$722,"&gt;="&amp;77234250000,Данные!$A$2:$A$722,"&lt;="&amp;77234250999)</f>
        <v>0</v>
      </c>
      <c r="AK169" s="62" t="n">
        <f aca="false">COUNTIFS(Данные!$B$2:$B$722,90,Данные!$C$2:$C$722,2,Данные!$A$2:$A$722,"&gt;="&amp;77233922950,Данные!$A$2:$A$722,"&lt;="&amp;77233924999)</f>
        <v>0</v>
      </c>
      <c r="AL169" s="62" t="n">
        <f aca="false">COUNTIFS(Данные!$B$2:$B$722,90,Данные!$C$2:$C$722,2,Данные!$A$2:$A$722,"&gt;="&amp;77234320000,Данные!$A$2:$A$722,"&lt;="&amp;77234320999)</f>
        <v>0</v>
      </c>
      <c r="AM169" s="62" t="n">
        <f aca="false">COUNTIFS(Данные!$B$2:$B$722,90,Данные!$C$2:$C$722,2,Данные!$A$2:$A$722,"&gt;="&amp;77234350000,Данные!$A$2:$A$722,"&lt;="&amp;77234350999)</f>
        <v>0</v>
      </c>
      <c r="AN169" s="62" t="n">
        <f aca="false">COUNTIFS(Данные!$B$2:$B$722,90,Данные!$C$2:$C$722,2,Данные!$A$2:$A$722,"&gt;="&amp;77234020000,Данные!$A$2:$A$722,"&lt;="&amp;77234020999)</f>
        <v>0</v>
      </c>
      <c r="AO169" s="62" t="n">
        <f aca="false">COUNTIFS(Данные!$B$2:$B$722,90,Данные!$C$2:$C$722,2,Данные!$A$2:$A$722,"&gt;="&amp;77234029000,Данные!$A$2:$A$722,"&lt;="&amp;77234029999)</f>
        <v>0</v>
      </c>
      <c r="AP169" s="62" t="n">
        <f aca="false">COUNTIFS(Данные!$B$2:$B$722,90,Данные!$C$2:$C$722,2,Данные!$A$2:$A$722,"&gt;="&amp;77234050000,Данные!$A$2:$A$722,"&lt;="&amp;77234050999)</f>
        <v>0</v>
      </c>
      <c r="AQ169" s="62" t="n">
        <f aca="false">COUNTIFS(Данные!$B$2:$B$722,90,Данные!$C$2:$C$722,2,Данные!$A$2:$A$722,"&gt;="&amp;77234427000,Данные!$A$2:$A$722,"&lt;="&amp;77234428999)</f>
        <v>0</v>
      </c>
      <c r="AR169" s="62" t="n">
        <f aca="false">COUNTIFS(Данные!$B$2:$B$722,90,Данные!$C$2:$C$722,2,Данные!$A$2:$A$722,"&gt;="&amp;77234450000,Данные!$A$2:$A$722,"&lt;="&amp;77234450999)</f>
        <v>0</v>
      </c>
      <c r="AS169" s="62" t="n">
        <f aca="false">COUNTIFS(Данные!$B$2:$B$722,90,Данные!$C$2:$C$722,2,Данные!$A$2:$A$722,"&gt;="&amp;77234620000,Данные!$A$2:$A$722,"&lt;="&amp;77234620999)</f>
        <v>0</v>
      </c>
      <c r="AT169" s="62" t="n">
        <f aca="false">COUNTIFS(Данные!$B$2:$B$722,90,Данные!$C$2:$C$722,2,Данные!$A$2:$A$722,"&gt;="&amp;77234650000,Данные!$A$2:$A$722,"&lt;="&amp;77234650999)</f>
        <v>0</v>
      </c>
      <c r="AU169" s="62" t="n">
        <f aca="false">COUNTIFS(Данные!$B$2:$B$722,90,Данные!$C$2:$C$722,2,Данные!$A$2:$A$722,"&gt;="&amp;77234820000,Данные!$A$2:$A$722,"&lt;="&amp;77234820999)</f>
        <v>0</v>
      </c>
      <c r="AV169" s="62" t="n">
        <f aca="false">COUNTIFS(Данные!$B$2:$B$722,90,Данные!$C$2:$C$722,2,Данные!$A$2:$A$722,"&gt;="&amp;77234850000,Данные!$A$2:$A$722,"&lt;="&amp;77234850999)</f>
        <v>0</v>
      </c>
      <c r="AW169" s="62" t="n">
        <f aca="false">COUNTIFS(Данные!$B$2:$B$722,90,Данные!$C$2:$C$722,2,Данные!$A$2:$A$722,"&gt;="&amp;77233327000,Данные!$A$2:$A$722,"&lt;="&amp;77233327999)</f>
        <v>0</v>
      </c>
      <c r="AX169" s="62" t="n">
        <f aca="false">COUNTIFS(Данные!$B$2:$B$722,90,Данные!$C$2:$C$722,2,Данные!$A$2:$A$722,"&gt;="&amp;77233350000,Данные!$A$2:$A$722,"&lt;="&amp;77233350599)</f>
        <v>0</v>
      </c>
      <c r="AY169" s="62" t="n">
        <f aca="false">COUNTIFS(Данные!$B$2:$B$722,90,Данные!$C$2:$C$722,2,Данные!$A$2:$A$722,"&gt;="&amp;77233351000,Данные!$A$2:$A$722,"&lt;="&amp;77233351999)</f>
        <v>0</v>
      </c>
      <c r="AZ169" s="63" t="n">
        <f aca="false">COUNTIFS(Данные!$B$2:$B$722,90,Данные!$C$2:$C$722,2,Данные!$A$2:$A$722,"&gt;="&amp;7722440000,Данные!$A$2:$A$722,"&lt;="&amp;7722440999)</f>
        <v>0</v>
      </c>
      <c r="BA169" s="63" t="n">
        <f aca="false">COUNTIFS(Данные!$B$2:$B$722,90,Данные!$C$2:$C$722,2,Данные!$A$2:$A$722,"&gt;="&amp;7722442000,Данные!$A$2:$A$722,"&lt;="&amp;7722445659)</f>
        <v>0</v>
      </c>
      <c r="BB169" s="63" t="n">
        <f aca="false">COUNTIFS(Данные!$B$2:$B$722,90,Данные!$C$2:$C$722,2,Данные!$A$2:$A$722,"&gt;="&amp;7722450000,Данные!$A$2:$A$722,"&lt;="&amp;7722450199)</f>
        <v>0</v>
      </c>
      <c r="BC169" s="63" t="n">
        <f aca="false">COUNTIFS(Данные!$B$2:$B$722,90,Данные!$C$2:$C$722,2,Данные!$A$2:$A$722,"&gt;="&amp;7722451000,Данные!$A$2:$A$722,"&lt;="&amp;7722451374)</f>
        <v>0</v>
      </c>
      <c r="BD169" s="63" t="n">
        <f aca="false">COUNTIFS(Данные!$B$2:$B$722,90,Данные!$C$2:$C$722,2,Данные!$A$2:$A$722,"&gt;="&amp;7722452000,Данные!$A$2:$A$722,"&lt;="&amp;7722452299)</f>
        <v>0</v>
      </c>
      <c r="BE169" s="63" t="n">
        <f aca="false">COUNTIFS(Данные!$B$2:$B$722,90,Данные!$C$2:$C$722,2,Данные!$A$2:$A$722,"&gt;="&amp;7722453000,Данные!$A$2:$A$722,"&lt;="&amp;7722453816)</f>
        <v>0</v>
      </c>
      <c r="BF169" s="63" t="n">
        <f aca="false">COUNTIFS(Данные!$B$2:$B$722,90,Данные!$C$2:$C$722,2,Данные!$A$2:$A$722,"&gt;="&amp;7722454000,Данные!$A$2:$A$722,"&lt;="&amp;7722454099)</f>
        <v>0</v>
      </c>
      <c r="BG169" s="63" t="n">
        <f aca="false">COUNTIFS(Данные!$B$2:$B$722,90,Данные!$C$2:$C$722,2,Данные!$A$2:$A$722,"&gt;="&amp;7722458000,Данные!$A$2:$A$722,"&lt;="&amp;7722458999)</f>
        <v>0</v>
      </c>
      <c r="BH169" s="63" t="n">
        <f aca="false">COUNTIFS(Данные!$B$2:$B$722,90,Данные!$C$2:$C$722,2,Данные!$A$2:$A$722,"&gt;="&amp;7722630000,Данные!$A$2:$A$722,"&lt;="&amp;7722638549)</f>
        <v>0</v>
      </c>
      <c r="BI169" s="63" t="n">
        <f aca="false">COUNTIFS(Данные!$B$2:$B$722,90,Данные!$C$2:$C$722,2,Данные!$A$2:$A$722,"&gt;="&amp;7722639400,Данные!$A$2:$A$722,"&lt;="&amp;7722639899)</f>
        <v>0</v>
      </c>
      <c r="BJ169" s="63" t="n">
        <f aca="false">COUNTIFS(Данные!$B$2:$B$722,90,Данные!$C$2:$C$722,2,Данные!$A$2:$A$722,"&gt;="&amp;7725750000,Данные!$A$2:$A$722,"&lt;="&amp;7725750399)</f>
        <v>0</v>
      </c>
      <c r="BK169" s="63" t="n">
        <f aca="false">COUNTIFS(Данные!$B$2:$B$722,90,Данные!$C$2:$C$722,2,Данные!$A$2:$A$722,"&gt;="&amp;7723620000,Данные!$A$2:$A$722,"&lt;="&amp;7723621299)</f>
        <v>0</v>
      </c>
      <c r="BL169" s="63" t="n">
        <f aca="false">COUNTIFS(Данные!$B$2:$B$722,90,Данные!$C$2:$C$722,2,Данные!$A$2:$A$722,"&gt;="&amp;7723621600,Данные!$A$2:$A$722,"&lt;="&amp;7723623399)</f>
        <v>0</v>
      </c>
      <c r="BM169" s="63" t="n">
        <f aca="false">COUNTIFS(Данные!$B$2:$B$722,90,Данные!$C$2:$C$722,2,Данные!$A$2:$A$722,"&gt;="&amp;7725127000,Данные!$A$2:$A$722,"&lt;="&amp;7725127999)</f>
        <v>0</v>
      </c>
      <c r="BN169" s="63" t="n">
        <f aca="false">COUNTIFS(Данные!$B$2:$B$722,90,Данные!$C$2:$C$722,2,Данные!$A$2:$A$722,"&gt;="&amp;7723772000,Данные!$A$2:$A$722,"&lt;="&amp;7723724999)</f>
        <v>0</v>
      </c>
      <c r="BO169" s="62" t="n">
        <f aca="false">COUNTIFS(Данные!$B$2:$B$722,90,Данные!$C$2:$C$722,2,Данные!$A$2:$A$722,"&gt;="&amp;7723765000,Данные!$A$2:$A$722,"&lt;="&amp;7723765499)</f>
        <v>0</v>
      </c>
      <c r="BP169" s="63" t="n">
        <f aca="false">COUNTIFS(Данные!$B$2:$B$722,90,Данные!$C$2:$C$722,2,Данные!$A$2:$A$722,"&gt;="&amp;7723948000,Данные!$A$2:$A$722,"&lt;="&amp;7723948999)</f>
        <v>0</v>
      </c>
      <c r="BQ169" s="63" t="n">
        <f aca="false">COUNTIFS(Данные!$B$2:$B$722,90,Данные!$C$2:$C$722,2,Данные!$A$2:$A$722,"&gt;="&amp;7723950000,Данные!$A$2:$A$722,"&lt;="&amp;7723951099)</f>
        <v>0</v>
      </c>
      <c r="BR169" s="63" t="n">
        <f aca="false">COUNTIFS(Данные!$B$2:$B$722,90,Данные!$C$2:$C$722,2,Данные!$A$2:$A$722,"&gt;="&amp;7723020000,Данные!$A$2:$A$722,"&lt;="&amp;7723020999)</f>
        <v>0</v>
      </c>
      <c r="BS169" s="63" t="n">
        <f aca="false">COUNTIFS(Данные!$B$2:$B$722,90,Данные!$C$2:$C$722,2,Данные!$A$2:$A$722,"&gt;="&amp;7723029000,Данные!$A$2:$A$722,"&lt;="&amp;7723029999)</f>
        <v>0</v>
      </c>
      <c r="BT169" s="63" t="n">
        <f aca="false">COUNTIFS(Данные!$B$2:$B$722,90,Данные!$C$2:$C$722,2,Данные!$A$2:$A$722,"&gt;="&amp;7723055000,Данные!$A$2:$A$722,"&lt;="&amp;7723056549)</f>
        <v>0</v>
      </c>
      <c r="BU169" s="62" t="n">
        <f aca="false">COUNTIFS(Данные!$B$2:$B$722,90,Данные!$C$2:$C$722,2,Данные!$A$2:$A$722,"&gt;="&amp;7725250000,Данные!$A$2:$A$722,"&lt;="&amp;7725250499)</f>
        <v>0</v>
      </c>
      <c r="BV169" s="63" t="n">
        <f aca="false">COUNTIFS(Данные!$B$2:$B$722,90,Данные!$C$2:$C$722,2,Данные!$A$2:$A$722,"&gt;="&amp;7183841400,Данные!$A$2:$A$722,"&lt;="&amp;7183841499)</f>
        <v>0</v>
      </c>
      <c r="BW169" s="40" t="n">
        <v>300</v>
      </c>
      <c r="BX169" s="64" t="n">
        <f aca="false">F169-BW169</f>
        <v>-300</v>
      </c>
    </row>
    <row r="170" s="15" customFormat="true" ht="12" hidden="false" customHeight="true" outlineLevel="0" collapsed="false">
      <c r="A170" s="47" t="n">
        <v>91</v>
      </c>
      <c r="B170" s="48" t="s">
        <v>116</v>
      </c>
      <c r="C170" s="50" t="n">
        <v>0</v>
      </c>
      <c r="D170" s="50" t="n">
        <v>910</v>
      </c>
      <c r="E170" s="51" t="n">
        <f aca="false">SUM(F170:F172)</f>
        <v>0</v>
      </c>
      <c r="F170" s="65" t="n">
        <f aca="false">COUNTIFS(Данные!$B$2:$B$722,91,Данные!$C$2:$C$722,0)</f>
        <v>0</v>
      </c>
      <c r="G170" s="65" t="n">
        <f aca="false">COUNTIFS(Данные!$B$2:$B$722,91,Данные!$C$2:$C$722,0,Данные!$A$2:$A$722,"&gt;="&amp;77232210840,Данные!$A$2:$A$722,"&lt;="&amp;77232216999)</f>
        <v>0</v>
      </c>
      <c r="H170" s="65" t="n">
        <f aca="false">COUNTIFS(Данные!$B$2:$B$722,91,Данные!$C$2:$C$722,0,Данные!$A$2:$A$722,"&gt;="&amp;77232510512,Данные!$A$2:$A$722,"&lt;="&amp;77232519487)</f>
        <v>0</v>
      </c>
      <c r="I170" s="65" t="n">
        <f aca="false">COUNTIFS(Данные!$B$2:$B$722,91,Данные!$C$2:$C$722,0,Данные!$A$2:$A$722,"&gt;="&amp;77232524160,Данные!$A$2:$A$722,"&lt;="&amp;77232529999)</f>
        <v>0</v>
      </c>
      <c r="J170" s="65" t="n">
        <f aca="false">COUNTIFS(Данные!$B$2:$B$722,91,Данные!$C$2:$C$722,0,Данные!$A$2:$A$722,"&gt;="&amp;77232544000,Данные!$A$2:$A$722,"&lt;="&amp;77232544999)</f>
        <v>0</v>
      </c>
      <c r="K170" s="65" t="n">
        <f aca="false">COUNTIFS(Данные!$B$2:$B$722,91,Данные!$C$2:$C$722,0,Данные!$A$2:$A$722,"&gt;="&amp;77232295504,Данные!$A$2:$A$722,"&lt;="&amp;77232296999)</f>
        <v>0</v>
      </c>
      <c r="L170" s="65" t="n">
        <f aca="false">COUNTIFS(Данные!$B$2:$B$722,91,Данные!$C$2:$C$722,0,Данные!$A$2:$A$722,"&gt;="&amp;77232785000,Данные!$A$2:$A$722,"&lt;="&amp;77232789999)</f>
        <v>0</v>
      </c>
      <c r="M170" s="65" t="n">
        <f aca="false">COUNTIFS(Данные!$B$2:$B$722,91,Данные!$C$2:$C$722,0,Данные!$A$2:$A$722,"&gt;="&amp;77233150000,Данные!$A$2:$A$722,"&lt;="&amp;77233155999)</f>
        <v>0</v>
      </c>
      <c r="N170" s="65" t="n">
        <f aca="false">COUNTIFS(Данные!$B$2:$B$722,91,Данные!$C$2:$C$722,0,Данные!$A$2:$A$722,"&gt;="&amp;77233235000,Данные!$A$2:$A$722,"&lt;="&amp;77233235999)</f>
        <v>0</v>
      </c>
      <c r="O170" s="65" t="n">
        <f aca="false">COUNTIFS(Данные!$B$2:$B$722,91,Данные!$C$2:$C$722,0,Данные!$A$2:$A$722,"&gt;="&amp;77233239000,Данные!$A$2:$A$722,"&lt;="&amp;77233239999)</f>
        <v>0</v>
      </c>
      <c r="P170" s="65" t="n">
        <f aca="false">COUNTIFS(Данные!$B$2:$B$722,91,Данные!$C$2:$C$722,0,Данные!$A$2:$A$722,"&gt;="&amp;77233272000,Данные!$A$2:$A$722,"&lt;="&amp;77233272999)</f>
        <v>0</v>
      </c>
      <c r="Q170" s="65" t="n">
        <f aca="false">COUNTIFS(Данные!$B$2:$B$722,91,Данные!$C$2:$C$722,0,Данные!$A$2:$A$722,"&gt;="&amp;77233291100,Данные!$A$2:$A$722,"&lt;="&amp;77233292999)</f>
        <v>0</v>
      </c>
      <c r="R170" s="65" t="n">
        <f aca="false">COUNTIFS(Данные!$B$2:$B$722,91,Данные!$C$2:$C$722,0,Данные!$A$2:$A$722,"&gt;="&amp;77233297000,Данные!$A$2:$A$722,"&lt;="&amp;77233298399)</f>
        <v>0</v>
      </c>
      <c r="S170" s="65" t="n">
        <f aca="false">COUNTIFS(Данные!$B$2:$B$722,91,Данные!$C$2:$C$722,0,Данные!$A$2:$A$722,"&gt;="&amp;77235124000,Данные!$A$2:$A$722,"&lt;="&amp;77235128499)</f>
        <v>0</v>
      </c>
      <c r="T170" s="65" t="n">
        <f aca="false">COUNTIFS(Данные!$B$2:$B$722,91,Данные!$C$2:$C$722,0,Данные!$A$2:$A$722,"&gt;="&amp;77235320000,Данные!$A$2:$A$722,"&lt;="&amp;77235320999)</f>
        <v>0</v>
      </c>
      <c r="U170" s="65" t="n">
        <f aca="false">COUNTIFS(Данные!$B$2:$B$722,91,Данные!$C$2:$C$722,0,Данные!$A$2:$A$722,"&gt;="&amp;77233620000,Данные!$A$2:$A$722,"&lt;="&amp;77233623339)</f>
        <v>0</v>
      </c>
      <c r="V170" s="65" t="n">
        <f aca="false">COUNTIFS(Данные!$B$2:$B$722,91,Данные!$C$2:$C$722,0,Данные!$A$2:$A$722,"&gt;="&amp;77233630000,Данные!$A$2:$A$722,"&lt;="&amp;77233630999)</f>
        <v>0</v>
      </c>
      <c r="W170" s="65" t="n">
        <f aca="false">COUNTIFS(Данные!$B$2:$B$722,91,Данные!$C$2:$C$722,0,Данные!$A$2:$A$722,"&gt;="&amp;77233637000,Данные!$A$2:$A$722,"&lt;="&amp;77233637599)</f>
        <v>0</v>
      </c>
      <c r="X170" s="65" t="n">
        <f aca="false">COUNTIFS(Данные!$B$2:$B$722,91,Данные!$C$2:$C$722,0,Данные!$A$2:$A$722,"&gt;="&amp;77233550000,Данные!$A$2:$A$722,"&lt;="&amp;77233550999)</f>
        <v>0</v>
      </c>
      <c r="Y170" s="65" t="n">
        <f aca="false">COUNTIFS(Данные!$B$2:$B$722,91,Данные!$C$2:$C$722,0,Данные!$A$2:$A$722,"&gt;="&amp;77233554000,Данные!$A$2:$A$722,"&lt;="&amp;77233554999)</f>
        <v>0</v>
      </c>
      <c r="Z170" s="65" t="n">
        <f aca="false">COUNTIFS(Данные!$B$2:$B$722,91,Данные!$C$2:$C$722,0,Данные!$A$2:$A$722,"&gt;="&amp;77233555000,Данные!$A$2:$A$722,"&lt;="&amp;77233556999)</f>
        <v>0</v>
      </c>
      <c r="AA170" s="65" t="n">
        <f aca="false">COUNTIFS(Данные!$B$2:$B$722,91,Данные!$C$2:$C$722,0,Данные!$A$2:$A$722,"&gt;="&amp;77233726000,Данные!$A$2:$A$722,"&lt;="&amp;77233726999)</f>
        <v>0</v>
      </c>
      <c r="AB170" s="65" t="n">
        <f aca="false">COUNTIFS(Данные!$B$2:$B$722,91,Данные!$C$2:$C$722,0,Данные!$A$2:$A$722,"&gt;="&amp;77233820000,Данные!$A$2:$A$722,"&lt;="&amp;77233820999)</f>
        <v>0</v>
      </c>
      <c r="AC170" s="65" t="n">
        <f aca="false">COUNTIFS(Данные!$B$2:$B$722,91,Данные!$C$2:$C$722,0,Данные!$A$2:$A$722,"&gt;="&amp;77233850000,Данные!$A$2:$A$722,"&lt;="&amp;77233850999)</f>
        <v>0</v>
      </c>
      <c r="AD170" s="65" t="n">
        <f aca="false">COUNTIFS(Данные!$B$2:$B$722,91,Данные!$C$2:$C$722,0,Данные!$A$2:$A$722,"&gt;="&amp;77233420000,Данные!$A$2:$A$722,"&lt;="&amp;77233420999)</f>
        <v>0</v>
      </c>
      <c r="AE170" s="65" t="n">
        <f aca="false">COUNTIFS(Данные!$B$2:$B$722,91,Данные!$C$2:$C$722,0,Данные!$A$2:$A$722,"&gt;="&amp;77234740000,Данные!$A$2:$A$722,"&lt;="&amp;77234742999)</f>
        <v>0</v>
      </c>
      <c r="AF170" s="65" t="n">
        <f aca="false">COUNTIFS(Данные!$B$2:$B$722,91,Данные!$C$2:$C$722,0,Данные!$A$2:$A$722,"&gt;="&amp;77234767000,Данные!$A$2:$A$722,"&lt;="&amp;77234767999)</f>
        <v>0</v>
      </c>
      <c r="AG170" s="65" t="n">
        <f aca="false">COUNTIFS(Данные!$B$2:$B$722,91,Данные!$C$2:$C$722,0,Данные!$A$2:$A$722,"&gt;="&amp;77234120000,Данные!$A$2:$A$722,"&lt;="&amp;77234120999)</f>
        <v>0</v>
      </c>
      <c r="AH170" s="65" t="n">
        <f aca="false">COUNTIFS(Данные!$B$2:$B$722,91,Данные!$C$2:$C$722,0,Данные!$A$2:$A$722,"&gt;="&amp;77234127000,Данные!$A$2:$A$722,"&lt;="&amp;77234127999)</f>
        <v>0</v>
      </c>
      <c r="AI170" s="65" t="n">
        <f aca="false">COUNTIFS(Данные!$B$2:$B$722,91,Данные!$C$2:$C$722,0,Данные!$A$2:$A$722,"&gt;="&amp;77234220000,Данные!$A$2:$A$722,"&lt;="&amp;77234220999)</f>
        <v>0</v>
      </c>
      <c r="AJ170" s="65" t="n">
        <f aca="false">COUNTIFS(Данные!$B$2:$B$722,91,Данные!$C$2:$C$722,0,Данные!$A$2:$A$722,"&gt;="&amp;77234250000,Данные!$A$2:$A$722,"&lt;="&amp;77234250999)</f>
        <v>0</v>
      </c>
      <c r="AK170" s="65" t="n">
        <f aca="false">COUNTIFS(Данные!$B$2:$B$722,91,Данные!$C$2:$C$722,0,Данные!$A$2:$A$722,"&gt;="&amp;77233922950,Данные!$A$2:$A$722,"&lt;="&amp;77233924999)</f>
        <v>0</v>
      </c>
      <c r="AL170" s="65" t="n">
        <f aca="false">COUNTIFS(Данные!$B$2:$B$722,91,Данные!$C$2:$C$722,0,Данные!$A$2:$A$722,"&gt;="&amp;77234320000,Данные!$A$2:$A$722,"&lt;="&amp;77234320999)</f>
        <v>0</v>
      </c>
      <c r="AM170" s="65" t="n">
        <f aca="false">COUNTIFS(Данные!$B$2:$B$722,91,Данные!$C$2:$C$722,0,Данные!$A$2:$A$722,"&gt;="&amp;77234350000,Данные!$A$2:$A$722,"&lt;="&amp;77234350999)</f>
        <v>0</v>
      </c>
      <c r="AN170" s="65" t="n">
        <f aca="false">COUNTIFS(Данные!$B$2:$B$722,91,Данные!$C$2:$C$722,0,Данные!$A$2:$A$722,"&gt;="&amp;77234020000,Данные!$A$2:$A$722,"&lt;="&amp;77234020999)</f>
        <v>0</v>
      </c>
      <c r="AO170" s="65" t="n">
        <f aca="false">COUNTIFS(Данные!$B$2:$B$722,91,Данные!$C$2:$C$722,0,Данные!$A$2:$A$722,"&gt;="&amp;77234029000,Данные!$A$2:$A$722,"&lt;="&amp;77234029999)</f>
        <v>0</v>
      </c>
      <c r="AP170" s="65" t="n">
        <f aca="false">COUNTIFS(Данные!$B$2:$B$722,91,Данные!$C$2:$C$722,0,Данные!$A$2:$A$722,"&gt;="&amp;77234050000,Данные!$A$2:$A$722,"&lt;="&amp;77234050999)</f>
        <v>0</v>
      </c>
      <c r="AQ170" s="65" t="n">
        <f aca="false">COUNTIFS(Данные!$B$2:$B$722,91,Данные!$C$2:$C$722,0,Данные!$A$2:$A$722,"&gt;="&amp;77234427000,Данные!$A$2:$A$722,"&lt;="&amp;77234428999)</f>
        <v>0</v>
      </c>
      <c r="AR170" s="65" t="n">
        <f aca="false">COUNTIFS(Данные!$B$2:$B$722,91,Данные!$C$2:$C$722,0,Данные!$A$2:$A$722,"&gt;="&amp;77234450000,Данные!$A$2:$A$722,"&lt;="&amp;77234450999)</f>
        <v>0</v>
      </c>
      <c r="AS170" s="65" t="n">
        <f aca="false">COUNTIFS(Данные!$B$2:$B$722,91,Данные!$C$2:$C$722,0,Данные!$A$2:$A$722,"&gt;="&amp;77234620000,Данные!$A$2:$A$722,"&lt;="&amp;77234620999)</f>
        <v>0</v>
      </c>
      <c r="AT170" s="65" t="n">
        <f aca="false">COUNTIFS(Данные!$B$2:$B$722,91,Данные!$C$2:$C$722,0,Данные!$A$2:$A$722,"&gt;="&amp;77234650000,Данные!$A$2:$A$722,"&lt;="&amp;77234650999)</f>
        <v>0</v>
      </c>
      <c r="AU170" s="65" t="n">
        <f aca="false">COUNTIFS(Данные!$B$2:$B$722,91,Данные!$C$2:$C$722,0,Данные!$A$2:$A$722,"&gt;="&amp;77234820000,Данные!$A$2:$A$722,"&lt;="&amp;77234820999)</f>
        <v>0</v>
      </c>
      <c r="AV170" s="65" t="n">
        <f aca="false">COUNTIFS(Данные!$B$2:$B$722,91,Данные!$C$2:$C$722,0,Данные!$A$2:$A$722,"&gt;="&amp;77234850000,Данные!$A$2:$A$722,"&lt;="&amp;77234850999)</f>
        <v>0</v>
      </c>
      <c r="AW170" s="65" t="n">
        <f aca="false">COUNTIFS(Данные!$B$2:$B$722,91,Данные!$C$2:$C$722,0,Данные!$A$2:$A$722,"&gt;="&amp;77233327000,Данные!$A$2:$A$722,"&lt;="&amp;77233327999)</f>
        <v>0</v>
      </c>
      <c r="AX170" s="65" t="n">
        <f aca="false">COUNTIFS(Данные!$B$2:$B$722,91,Данные!$C$2:$C$722,0,Данные!$A$2:$A$722,"&gt;="&amp;77233350000,Данные!$A$2:$A$722,"&lt;="&amp;77233350599)</f>
        <v>0</v>
      </c>
      <c r="AY170" s="65" t="n">
        <f aca="false">COUNTIFS(Данные!$B$2:$B$722,91,Данные!$C$2:$C$722,0,Данные!$A$2:$A$722,"&gt;="&amp;77233351000,Данные!$A$2:$A$722,"&lt;="&amp;77233351999)</f>
        <v>0</v>
      </c>
      <c r="AZ170" s="66" t="n">
        <f aca="false">COUNTIFS(Данные!$B$2:$B$722,91,Данные!$C$2:$C$722,0,Данные!$A$2:$A$722,"&gt;="&amp;7722440000,Данные!$A$2:$A$722,"&lt;="&amp;7722440999)</f>
        <v>0</v>
      </c>
      <c r="BA170" s="66" t="n">
        <f aca="false">COUNTIFS(Данные!$B$2:$B$722,91,Данные!$C$2:$C$722,0,Данные!$A$2:$A$722,"&gt;="&amp;7722442000,Данные!$A$2:$A$722,"&lt;="&amp;7722445659)</f>
        <v>0</v>
      </c>
      <c r="BB170" s="66" t="n">
        <f aca="false">COUNTIFS(Данные!$B$2:$B$722,91,Данные!$C$2:$C$722,0,Данные!$A$2:$A$722,"&gt;="&amp;7722450000,Данные!$A$2:$A$722,"&lt;="&amp;7722450199)</f>
        <v>0</v>
      </c>
      <c r="BC170" s="66" t="n">
        <f aca="false">COUNTIFS(Данные!$B$2:$B$722,91,Данные!$C$2:$C$722,0,Данные!$A$2:$A$722,"&gt;="&amp;7722451000,Данные!$A$2:$A$722,"&lt;="&amp;7722451374)</f>
        <v>0</v>
      </c>
      <c r="BD170" s="66" t="n">
        <f aca="false">COUNTIFS(Данные!$B$2:$B$722,91,Данные!$C$2:$C$722,0,Данные!$A$2:$A$722,"&gt;="&amp;7722452000,Данные!$A$2:$A$722,"&lt;="&amp;7722452299)</f>
        <v>0</v>
      </c>
      <c r="BE170" s="66" t="n">
        <f aca="false">COUNTIFS(Данные!$B$2:$B$722,91,Данные!$C$2:$C$722,0,Данные!$A$2:$A$722,"&gt;="&amp;7722453000,Данные!$A$2:$A$722,"&lt;="&amp;7722453816)</f>
        <v>0</v>
      </c>
      <c r="BF170" s="66" t="n">
        <f aca="false">COUNTIFS(Данные!$B$2:$B$722,91,Данные!$C$2:$C$722,0,Данные!$A$2:$A$722,"&gt;="&amp;7722454000,Данные!$A$2:$A$722,"&lt;="&amp;7722454099)</f>
        <v>0</v>
      </c>
      <c r="BG170" s="66" t="n">
        <f aca="false">COUNTIFS(Данные!$B$2:$B$722,91,Данные!$C$2:$C$722,0,Данные!$A$2:$A$722,"&gt;="&amp;7722458000,Данные!$A$2:$A$722,"&lt;="&amp;7722458999)</f>
        <v>0</v>
      </c>
      <c r="BH170" s="66" t="n">
        <f aca="false">COUNTIFS(Данные!$B$2:$B$722,91,Данные!$C$2:$C$722,0,Данные!$A$2:$A$722,"&gt;="&amp;7722630000,Данные!$A$2:$A$722,"&lt;="&amp;7722638549)</f>
        <v>0</v>
      </c>
      <c r="BI170" s="66" t="n">
        <f aca="false">COUNTIFS(Данные!$B$2:$B$722,91,Данные!$C$2:$C$722,0,Данные!$A$2:$A$722,"&gt;="&amp;7722639400,Данные!$A$2:$A$722,"&lt;="&amp;7722639899)</f>
        <v>0</v>
      </c>
      <c r="BJ170" s="66" t="n">
        <f aca="false">COUNTIFS(Данные!$B$2:$B$722,91,Данные!$C$2:$C$722,0,Данные!$A$2:$A$722,"&gt;="&amp;7725750000,Данные!$A$2:$A$722,"&lt;="&amp;7725750399)</f>
        <v>0</v>
      </c>
      <c r="BK170" s="66" t="n">
        <f aca="false">COUNTIFS(Данные!$B$2:$B$722,91,Данные!$C$2:$C$722,0,Данные!$A$2:$A$722,"&gt;="&amp;7723620000,Данные!$A$2:$A$722,"&lt;="&amp;7723621299)</f>
        <v>0</v>
      </c>
      <c r="BL170" s="66" t="n">
        <f aca="false">COUNTIFS(Данные!$B$2:$B$722,91,Данные!$C$2:$C$722,0,Данные!$A$2:$A$722,"&gt;="&amp;7723621600,Данные!$A$2:$A$722,"&lt;="&amp;7723623399)</f>
        <v>0</v>
      </c>
      <c r="BM170" s="66" t="n">
        <f aca="false">COUNTIFS(Данные!$B$2:$B$722,91,Данные!$C$2:$C$722,0,Данные!$A$2:$A$722,"&gt;="&amp;7725127000,Данные!$A$2:$A$722,"&lt;="&amp;7725127999)</f>
        <v>0</v>
      </c>
      <c r="BN170" s="66" t="n">
        <f aca="false">COUNTIFS(Данные!$B$2:$B$722,91,Данные!$C$2:$C$722,0,Данные!$A$2:$A$722,"&gt;="&amp;7723772000,Данные!$A$2:$A$722,"&lt;="&amp;7723724999)</f>
        <v>0</v>
      </c>
      <c r="BO170" s="65" t="n">
        <f aca="false">COUNTIFS(Данные!$B$2:$B$722,91,Данные!$C$2:$C$722,0,Данные!$A$2:$A$722,"&gt;="&amp;7723765000,Данные!$A$2:$A$722,"&lt;="&amp;7723765499)</f>
        <v>0</v>
      </c>
      <c r="BP170" s="66" t="n">
        <f aca="false">COUNTIFS(Данные!$B$2:$B$722,91,Данные!$C$2:$C$722,0,Данные!$A$2:$A$722,"&gt;="&amp;7723948000,Данные!$A$2:$A$722,"&lt;="&amp;7723948999)</f>
        <v>0</v>
      </c>
      <c r="BQ170" s="66" t="n">
        <f aca="false">COUNTIFS(Данные!$B$2:$B$722,91,Данные!$C$2:$C$722,0,Данные!$A$2:$A$722,"&gt;="&amp;7723950000,Данные!$A$2:$A$722,"&lt;="&amp;7723951099)</f>
        <v>0</v>
      </c>
      <c r="BR170" s="66" t="n">
        <f aca="false">COUNTIFS(Данные!$B$2:$B$722,91,Данные!$C$2:$C$722,0,Данные!$A$2:$A$722,"&gt;="&amp;7723020000,Данные!$A$2:$A$722,"&lt;="&amp;7723020999)</f>
        <v>0</v>
      </c>
      <c r="BS170" s="66" t="n">
        <f aca="false">COUNTIFS(Данные!$B$2:$B$722,91,Данные!$C$2:$C$722,0,Данные!$A$2:$A$722,"&gt;="&amp;7723029000,Данные!$A$2:$A$722,"&lt;="&amp;7723029999)</f>
        <v>0</v>
      </c>
      <c r="BT170" s="66" t="n">
        <f aca="false">COUNTIFS(Данные!$B$2:$B$722,91,Данные!$C$2:$C$722,0,Данные!$A$2:$A$722,"&gt;="&amp;7723055000,Данные!$A$2:$A$722,"&lt;="&amp;7723056549)</f>
        <v>0</v>
      </c>
      <c r="BU170" s="65" t="n">
        <f aca="false">COUNTIFS(Данные!$B$2:$B$722,91,Данные!$C$2:$C$722,0,Данные!$A$2:$A$722,"&gt;="&amp;7725250000,Данные!$A$2:$A$722,"&lt;="&amp;7725250499)</f>
        <v>0</v>
      </c>
      <c r="BV170" s="66" t="n">
        <f aca="false">COUNTIFS(Данные!$B$2:$B$722,91,Данные!$C$2:$C$722,0,Данные!$A$2:$A$722,"&gt;="&amp;7183841400,Данные!$A$2:$A$722,"&lt;="&amp;7183841499)</f>
        <v>0</v>
      </c>
      <c r="BW170" s="49" t="n">
        <v>300</v>
      </c>
      <c r="BX170" s="67" t="n">
        <f aca="false">F170-BW170</f>
        <v>-300</v>
      </c>
    </row>
    <row r="171" s="15" customFormat="true" ht="12" hidden="false" customHeight="true" outlineLevel="0" collapsed="false">
      <c r="A171" s="47"/>
      <c r="B171" s="48"/>
      <c r="C171" s="50" t="n">
        <v>1</v>
      </c>
      <c r="D171" s="50" t="n">
        <v>911</v>
      </c>
      <c r="E171" s="51"/>
      <c r="F171" s="65" t="n">
        <f aca="false">COUNTIFS(Данные!$B$2:$B$722,91,Данные!$C$2:$C$722,1)</f>
        <v>0</v>
      </c>
      <c r="G171" s="65" t="n">
        <f aca="false">COUNTIFS(Данные!$B$2:$B$722,91,Данные!$C$2:$C$722,1,Данные!$A$2:$A$722,"&gt;="&amp;77232210840,Данные!$A$2:$A$722,"&lt;="&amp;77232216999)</f>
        <v>0</v>
      </c>
      <c r="H171" s="65" t="n">
        <f aca="false">COUNTIFS(Данные!$B$2:$B$722,91,Данные!$C$2:$C$722,1,Данные!$A$2:$A$722,"&gt;="&amp;77232510512,Данные!$A$2:$A$722,"&lt;="&amp;77232519487)</f>
        <v>0</v>
      </c>
      <c r="I171" s="65" t="n">
        <f aca="false">COUNTIFS(Данные!$B$2:$B$722,91,Данные!$C$2:$C$722,1,Данные!$A$2:$A$722,"&gt;="&amp;77232524160,Данные!$A$2:$A$722,"&lt;="&amp;77232529999)</f>
        <v>0</v>
      </c>
      <c r="J171" s="65" t="n">
        <f aca="false">COUNTIFS(Данные!$B$2:$B$722,91,Данные!$C$2:$C$722,1,Данные!$A$2:$A$722,"&gt;="&amp;77232544000,Данные!$A$2:$A$722,"&lt;="&amp;77232544999)</f>
        <v>0</v>
      </c>
      <c r="K171" s="65" t="n">
        <f aca="false">COUNTIFS(Данные!$B$2:$B$722,91,Данные!$C$2:$C$722,1,Данные!$A$2:$A$722,"&gt;="&amp;77232295504,Данные!$A$2:$A$722,"&lt;="&amp;77232296999)</f>
        <v>0</v>
      </c>
      <c r="L171" s="65" t="n">
        <f aca="false">COUNTIFS(Данные!$B$2:$B$722,91,Данные!$C$2:$C$722,1,Данные!$A$2:$A$722,"&gt;="&amp;77232785000,Данные!$A$2:$A$722,"&lt;="&amp;77232789999)</f>
        <v>0</v>
      </c>
      <c r="M171" s="65" t="n">
        <f aca="false">COUNTIFS(Данные!$B$2:$B$722,91,Данные!$C$2:$C$722,1,Данные!$A$2:$A$722,"&gt;="&amp;77233150000,Данные!$A$2:$A$722,"&lt;="&amp;77233155999)</f>
        <v>0</v>
      </c>
      <c r="N171" s="65" t="n">
        <f aca="false">COUNTIFS(Данные!$B$2:$B$722,91,Данные!$C$2:$C$722,1,Данные!$A$2:$A$722,"&gt;="&amp;77233235000,Данные!$A$2:$A$722,"&lt;="&amp;77233235999)</f>
        <v>0</v>
      </c>
      <c r="O171" s="65" t="n">
        <f aca="false">COUNTIFS(Данные!$B$2:$B$722,91,Данные!$C$2:$C$722,1,Данные!$A$2:$A$722,"&gt;="&amp;77233239000,Данные!$A$2:$A$722,"&lt;="&amp;77233239999)</f>
        <v>0</v>
      </c>
      <c r="P171" s="65" t="n">
        <f aca="false">COUNTIFS(Данные!$B$2:$B$722,91,Данные!$C$2:$C$722,1,Данные!$A$2:$A$722,"&gt;="&amp;77233272000,Данные!$A$2:$A$722,"&lt;="&amp;77233272999)</f>
        <v>0</v>
      </c>
      <c r="Q171" s="65" t="n">
        <f aca="false">COUNTIFS(Данные!$B$2:$B$722,91,Данные!$C$2:$C$722,1,Данные!$A$2:$A$722,"&gt;="&amp;77233291100,Данные!$A$2:$A$722,"&lt;="&amp;77233292999)</f>
        <v>0</v>
      </c>
      <c r="R171" s="65" t="n">
        <f aca="false">COUNTIFS(Данные!$B$2:$B$722,91,Данные!$C$2:$C$722,1,Данные!$A$2:$A$722,"&gt;="&amp;77233297000,Данные!$A$2:$A$722,"&lt;="&amp;77233298399)</f>
        <v>0</v>
      </c>
      <c r="S171" s="65" t="n">
        <f aca="false">COUNTIFS(Данные!$B$2:$B$722,91,Данные!$C$2:$C$722,1,Данные!$A$2:$A$722,"&gt;="&amp;77235124000,Данные!$A$2:$A$722,"&lt;="&amp;77235128499)</f>
        <v>0</v>
      </c>
      <c r="T171" s="65" t="n">
        <f aca="false">COUNTIFS(Данные!$B$2:$B$722,91,Данные!$C$2:$C$722,1,Данные!$A$2:$A$722,"&gt;="&amp;77235320000,Данные!$A$2:$A$722,"&lt;="&amp;77235320999)</f>
        <v>0</v>
      </c>
      <c r="U171" s="65" t="n">
        <f aca="false">COUNTIFS(Данные!$B$2:$B$722,91,Данные!$C$2:$C$722,1,Данные!$A$2:$A$722,"&gt;="&amp;77233620000,Данные!$A$2:$A$722,"&lt;="&amp;77233623339)</f>
        <v>0</v>
      </c>
      <c r="V171" s="65" t="n">
        <f aca="false">COUNTIFS(Данные!$B$2:$B$722,91,Данные!$C$2:$C$722,1,Данные!$A$2:$A$722,"&gt;="&amp;77233630000,Данные!$A$2:$A$722,"&lt;="&amp;77233630999)</f>
        <v>0</v>
      </c>
      <c r="W171" s="65" t="n">
        <f aca="false">COUNTIFS(Данные!$B$2:$B$722,91,Данные!$C$2:$C$722,1,Данные!$A$2:$A$722,"&gt;="&amp;77233637000,Данные!$A$2:$A$722,"&lt;="&amp;77233637599)</f>
        <v>0</v>
      </c>
      <c r="X171" s="65" t="n">
        <f aca="false">COUNTIFS(Данные!$B$2:$B$722,91,Данные!$C$2:$C$722,1,Данные!$A$2:$A$722,"&gt;="&amp;77233550000,Данные!$A$2:$A$722,"&lt;="&amp;77233550999)</f>
        <v>0</v>
      </c>
      <c r="Y171" s="65" t="n">
        <f aca="false">COUNTIFS(Данные!$B$2:$B$722,91,Данные!$C$2:$C$722,1,Данные!$A$2:$A$722,"&gt;="&amp;77233554000,Данные!$A$2:$A$722,"&lt;="&amp;77233554999)</f>
        <v>0</v>
      </c>
      <c r="Z171" s="65" t="n">
        <f aca="false">COUNTIFS(Данные!$B$2:$B$722,91,Данные!$C$2:$C$722,1,Данные!$A$2:$A$722,"&gt;="&amp;77233555000,Данные!$A$2:$A$722,"&lt;="&amp;77233556999)</f>
        <v>0</v>
      </c>
      <c r="AA171" s="65" t="n">
        <f aca="false">COUNTIFS(Данные!$B$2:$B$722,91,Данные!$C$2:$C$722,1,Данные!$A$2:$A$722,"&gt;="&amp;77233726000,Данные!$A$2:$A$722,"&lt;="&amp;77233726999)</f>
        <v>0</v>
      </c>
      <c r="AB171" s="65" t="n">
        <f aca="false">COUNTIFS(Данные!$B$2:$B$722,91,Данные!$C$2:$C$722,1,Данные!$A$2:$A$722,"&gt;="&amp;77233820000,Данные!$A$2:$A$722,"&lt;="&amp;77233820999)</f>
        <v>0</v>
      </c>
      <c r="AC171" s="65" t="n">
        <f aca="false">COUNTIFS(Данные!$B$2:$B$722,91,Данные!$C$2:$C$722,1,Данные!$A$2:$A$722,"&gt;="&amp;77233850000,Данные!$A$2:$A$722,"&lt;="&amp;77233850999)</f>
        <v>0</v>
      </c>
      <c r="AD171" s="65" t="n">
        <f aca="false">COUNTIFS(Данные!$B$2:$B$722,91,Данные!$C$2:$C$722,1,Данные!$A$2:$A$722,"&gt;="&amp;77233420000,Данные!$A$2:$A$722,"&lt;="&amp;77233420999)</f>
        <v>0</v>
      </c>
      <c r="AE171" s="65" t="n">
        <f aca="false">COUNTIFS(Данные!$B$2:$B$722,91,Данные!$C$2:$C$722,1,Данные!$A$2:$A$722,"&gt;="&amp;77234740000,Данные!$A$2:$A$722,"&lt;="&amp;77234742999)</f>
        <v>0</v>
      </c>
      <c r="AF171" s="65" t="n">
        <f aca="false">COUNTIFS(Данные!$B$2:$B$722,91,Данные!$C$2:$C$722,1,Данные!$A$2:$A$722,"&gt;="&amp;77234767000,Данные!$A$2:$A$722,"&lt;="&amp;77234767999)</f>
        <v>0</v>
      </c>
      <c r="AG171" s="65" t="n">
        <f aca="false">COUNTIFS(Данные!$B$2:$B$722,91,Данные!$C$2:$C$722,1,Данные!$A$2:$A$722,"&gt;="&amp;77234120000,Данные!$A$2:$A$722,"&lt;="&amp;77234120999)</f>
        <v>0</v>
      </c>
      <c r="AH171" s="65" t="n">
        <f aca="false">COUNTIFS(Данные!$B$2:$B$722,91,Данные!$C$2:$C$722,1,Данные!$A$2:$A$722,"&gt;="&amp;77234127000,Данные!$A$2:$A$722,"&lt;="&amp;77234127999)</f>
        <v>0</v>
      </c>
      <c r="AI171" s="65" t="n">
        <f aca="false">COUNTIFS(Данные!$B$2:$B$722,91,Данные!$C$2:$C$722,1,Данные!$A$2:$A$722,"&gt;="&amp;77234220000,Данные!$A$2:$A$722,"&lt;="&amp;77234220999)</f>
        <v>0</v>
      </c>
      <c r="AJ171" s="65" t="n">
        <f aca="false">COUNTIFS(Данные!$B$2:$B$722,91,Данные!$C$2:$C$722,1,Данные!$A$2:$A$722,"&gt;="&amp;77234250000,Данные!$A$2:$A$722,"&lt;="&amp;77234250999)</f>
        <v>0</v>
      </c>
      <c r="AK171" s="65" t="n">
        <f aca="false">COUNTIFS(Данные!$B$2:$B$722,91,Данные!$C$2:$C$722,1,Данные!$A$2:$A$722,"&gt;="&amp;77233922950,Данные!$A$2:$A$722,"&lt;="&amp;77233924999)</f>
        <v>0</v>
      </c>
      <c r="AL171" s="65" t="n">
        <f aca="false">COUNTIFS(Данные!$B$2:$B$722,91,Данные!$C$2:$C$722,1,Данные!$A$2:$A$722,"&gt;="&amp;77234320000,Данные!$A$2:$A$722,"&lt;="&amp;77234320999)</f>
        <v>0</v>
      </c>
      <c r="AM171" s="65" t="n">
        <f aca="false">COUNTIFS(Данные!$B$2:$B$722,91,Данные!$C$2:$C$722,1,Данные!$A$2:$A$722,"&gt;="&amp;77234350000,Данные!$A$2:$A$722,"&lt;="&amp;77234350999)</f>
        <v>0</v>
      </c>
      <c r="AN171" s="65" t="n">
        <f aca="false">COUNTIFS(Данные!$B$2:$B$722,91,Данные!$C$2:$C$722,1,Данные!$A$2:$A$722,"&gt;="&amp;77234020000,Данные!$A$2:$A$722,"&lt;="&amp;77234020999)</f>
        <v>0</v>
      </c>
      <c r="AO171" s="65" t="n">
        <f aca="false">COUNTIFS(Данные!$B$2:$B$722,91,Данные!$C$2:$C$722,1,Данные!$A$2:$A$722,"&gt;="&amp;77234029000,Данные!$A$2:$A$722,"&lt;="&amp;77234029999)</f>
        <v>0</v>
      </c>
      <c r="AP171" s="65" t="n">
        <f aca="false">COUNTIFS(Данные!$B$2:$B$722,91,Данные!$C$2:$C$722,1,Данные!$A$2:$A$722,"&gt;="&amp;77234050000,Данные!$A$2:$A$722,"&lt;="&amp;77234050999)</f>
        <v>0</v>
      </c>
      <c r="AQ171" s="65" t="n">
        <f aca="false">COUNTIFS(Данные!$B$2:$B$722,91,Данные!$C$2:$C$722,1,Данные!$A$2:$A$722,"&gt;="&amp;77234427000,Данные!$A$2:$A$722,"&lt;="&amp;77234428999)</f>
        <v>0</v>
      </c>
      <c r="AR171" s="65" t="n">
        <f aca="false">COUNTIFS(Данные!$B$2:$B$722,91,Данные!$C$2:$C$722,1,Данные!$A$2:$A$722,"&gt;="&amp;77234450000,Данные!$A$2:$A$722,"&lt;="&amp;77234450999)</f>
        <v>0</v>
      </c>
      <c r="AS171" s="65" t="n">
        <f aca="false">COUNTIFS(Данные!$B$2:$B$722,91,Данные!$C$2:$C$722,1,Данные!$A$2:$A$722,"&gt;="&amp;77234620000,Данные!$A$2:$A$722,"&lt;="&amp;77234620999)</f>
        <v>0</v>
      </c>
      <c r="AT171" s="65" t="n">
        <f aca="false">COUNTIFS(Данные!$B$2:$B$722,91,Данные!$C$2:$C$722,1,Данные!$A$2:$A$722,"&gt;="&amp;77234650000,Данные!$A$2:$A$722,"&lt;="&amp;77234650999)</f>
        <v>0</v>
      </c>
      <c r="AU171" s="65" t="n">
        <f aca="false">COUNTIFS(Данные!$B$2:$B$722,91,Данные!$C$2:$C$722,1,Данные!$A$2:$A$722,"&gt;="&amp;77234820000,Данные!$A$2:$A$722,"&lt;="&amp;77234820999)</f>
        <v>0</v>
      </c>
      <c r="AV171" s="65" t="n">
        <f aca="false">COUNTIFS(Данные!$B$2:$B$722,91,Данные!$C$2:$C$722,1,Данные!$A$2:$A$722,"&gt;="&amp;77234850000,Данные!$A$2:$A$722,"&lt;="&amp;77234850999)</f>
        <v>0</v>
      </c>
      <c r="AW171" s="65" t="n">
        <f aca="false">COUNTIFS(Данные!$B$2:$B$722,91,Данные!$C$2:$C$722,1,Данные!$A$2:$A$722,"&gt;="&amp;77233327000,Данные!$A$2:$A$722,"&lt;="&amp;77233327999)</f>
        <v>0</v>
      </c>
      <c r="AX171" s="65" t="n">
        <f aca="false">COUNTIFS(Данные!$B$2:$B$722,91,Данные!$C$2:$C$722,1,Данные!$A$2:$A$722,"&gt;="&amp;77233350000,Данные!$A$2:$A$722,"&lt;="&amp;77233350599)</f>
        <v>0</v>
      </c>
      <c r="AY171" s="65" t="n">
        <f aca="false">COUNTIFS(Данные!$B$2:$B$722,91,Данные!$C$2:$C$722,1,Данные!$A$2:$A$722,"&gt;="&amp;77233351000,Данные!$A$2:$A$722,"&lt;="&amp;77233351999)</f>
        <v>0</v>
      </c>
      <c r="AZ171" s="66" t="n">
        <f aca="false">COUNTIFS(Данные!$B$2:$B$722,91,Данные!$C$2:$C$722,1,Данные!$A$2:$A$722,"&gt;="&amp;7722440000,Данные!$A$2:$A$722,"&lt;="&amp;7722440999)</f>
        <v>0</v>
      </c>
      <c r="BA171" s="66" t="n">
        <f aca="false">COUNTIFS(Данные!$B$2:$B$722,91,Данные!$C$2:$C$722,1,Данные!$A$2:$A$722,"&gt;="&amp;7722442000,Данные!$A$2:$A$722,"&lt;="&amp;7722445659)</f>
        <v>0</v>
      </c>
      <c r="BB171" s="66" t="n">
        <f aca="false">COUNTIFS(Данные!$B$2:$B$722,91,Данные!$C$2:$C$722,1,Данные!$A$2:$A$722,"&gt;="&amp;7722450000,Данные!$A$2:$A$722,"&lt;="&amp;7722450199)</f>
        <v>0</v>
      </c>
      <c r="BC171" s="66" t="n">
        <f aca="false">COUNTIFS(Данные!$B$2:$B$722,91,Данные!$C$2:$C$722,1,Данные!$A$2:$A$722,"&gt;="&amp;7722451000,Данные!$A$2:$A$722,"&lt;="&amp;7722451374)</f>
        <v>0</v>
      </c>
      <c r="BD171" s="66" t="n">
        <f aca="false">COUNTIFS(Данные!$B$2:$B$722,91,Данные!$C$2:$C$722,1,Данные!$A$2:$A$722,"&gt;="&amp;7722452000,Данные!$A$2:$A$722,"&lt;="&amp;7722452299)</f>
        <v>0</v>
      </c>
      <c r="BE171" s="66" t="n">
        <f aca="false">COUNTIFS(Данные!$B$2:$B$722,91,Данные!$C$2:$C$722,1,Данные!$A$2:$A$722,"&gt;="&amp;7722453000,Данные!$A$2:$A$722,"&lt;="&amp;7722453816)</f>
        <v>0</v>
      </c>
      <c r="BF171" s="66" t="n">
        <f aca="false">COUNTIFS(Данные!$B$2:$B$722,91,Данные!$C$2:$C$722,1,Данные!$A$2:$A$722,"&gt;="&amp;7722454000,Данные!$A$2:$A$722,"&lt;="&amp;7722454099)</f>
        <v>0</v>
      </c>
      <c r="BG171" s="66" t="n">
        <f aca="false">COUNTIFS(Данные!$B$2:$B$722,91,Данные!$C$2:$C$722,1,Данные!$A$2:$A$722,"&gt;="&amp;7722458000,Данные!$A$2:$A$722,"&lt;="&amp;7722458999)</f>
        <v>0</v>
      </c>
      <c r="BH171" s="66" t="n">
        <f aca="false">COUNTIFS(Данные!$B$2:$B$722,91,Данные!$C$2:$C$722,1,Данные!$A$2:$A$722,"&gt;="&amp;7722630000,Данные!$A$2:$A$722,"&lt;="&amp;7722638549)</f>
        <v>0</v>
      </c>
      <c r="BI171" s="66" t="n">
        <f aca="false">COUNTIFS(Данные!$B$2:$B$722,91,Данные!$C$2:$C$722,1,Данные!$A$2:$A$722,"&gt;="&amp;7722639400,Данные!$A$2:$A$722,"&lt;="&amp;7722639899)</f>
        <v>0</v>
      </c>
      <c r="BJ171" s="66" t="n">
        <f aca="false">COUNTIFS(Данные!$B$2:$B$722,91,Данные!$C$2:$C$722,1,Данные!$A$2:$A$722,"&gt;="&amp;7725750000,Данные!$A$2:$A$722,"&lt;="&amp;7725750399)</f>
        <v>0</v>
      </c>
      <c r="BK171" s="66" t="n">
        <f aca="false">COUNTIFS(Данные!$B$2:$B$722,91,Данные!$C$2:$C$722,1,Данные!$A$2:$A$722,"&gt;="&amp;7723620000,Данные!$A$2:$A$722,"&lt;="&amp;7723621299)</f>
        <v>0</v>
      </c>
      <c r="BL171" s="66" t="n">
        <f aca="false">COUNTIFS(Данные!$B$2:$B$722,91,Данные!$C$2:$C$722,1,Данные!$A$2:$A$722,"&gt;="&amp;7723621600,Данные!$A$2:$A$722,"&lt;="&amp;7723623399)</f>
        <v>0</v>
      </c>
      <c r="BM171" s="66" t="n">
        <f aca="false">COUNTIFS(Данные!$B$2:$B$722,91,Данные!$C$2:$C$722,1,Данные!$A$2:$A$722,"&gt;="&amp;7725127000,Данные!$A$2:$A$722,"&lt;="&amp;7725127999)</f>
        <v>0</v>
      </c>
      <c r="BN171" s="66" t="n">
        <f aca="false">COUNTIFS(Данные!$B$2:$B$722,91,Данные!$C$2:$C$722,1,Данные!$A$2:$A$722,"&gt;="&amp;7723772000,Данные!$A$2:$A$722,"&lt;="&amp;7723724999)</f>
        <v>0</v>
      </c>
      <c r="BO171" s="65" t="n">
        <f aca="false">COUNTIFS(Данные!$B$2:$B$722,91,Данные!$C$2:$C$722,1,Данные!$A$2:$A$722,"&gt;="&amp;7723765000,Данные!$A$2:$A$722,"&lt;="&amp;7723765499)</f>
        <v>0</v>
      </c>
      <c r="BP171" s="66" t="n">
        <f aca="false">COUNTIFS(Данные!$B$2:$B$722,91,Данные!$C$2:$C$722,1,Данные!$A$2:$A$722,"&gt;="&amp;7723948000,Данные!$A$2:$A$722,"&lt;="&amp;7723948999)</f>
        <v>0</v>
      </c>
      <c r="BQ171" s="66" t="n">
        <f aca="false">COUNTIFS(Данные!$B$2:$B$722,91,Данные!$C$2:$C$722,1,Данные!$A$2:$A$722,"&gt;="&amp;7723950000,Данные!$A$2:$A$722,"&lt;="&amp;7723951099)</f>
        <v>0</v>
      </c>
      <c r="BR171" s="66" t="n">
        <f aca="false">COUNTIFS(Данные!$B$2:$B$722,91,Данные!$C$2:$C$722,1,Данные!$A$2:$A$722,"&gt;="&amp;7723020000,Данные!$A$2:$A$722,"&lt;="&amp;7723020999)</f>
        <v>0</v>
      </c>
      <c r="BS171" s="66" t="n">
        <f aca="false">COUNTIFS(Данные!$B$2:$B$722,91,Данные!$C$2:$C$722,1,Данные!$A$2:$A$722,"&gt;="&amp;7723029000,Данные!$A$2:$A$722,"&lt;="&amp;7723029999)</f>
        <v>0</v>
      </c>
      <c r="BT171" s="66" t="n">
        <f aca="false">COUNTIFS(Данные!$B$2:$B$722,91,Данные!$C$2:$C$722,1,Данные!$A$2:$A$722,"&gt;="&amp;7723055000,Данные!$A$2:$A$722,"&lt;="&amp;7723056549)</f>
        <v>0</v>
      </c>
      <c r="BU171" s="65" t="n">
        <f aca="false">COUNTIFS(Данные!$B$2:$B$722,91,Данные!$C$2:$C$722,1,Данные!$A$2:$A$722,"&gt;="&amp;7725250000,Данные!$A$2:$A$722,"&lt;="&amp;7725250499)</f>
        <v>0</v>
      </c>
      <c r="BV171" s="66" t="n">
        <f aca="false">COUNTIFS(Данные!$B$2:$B$722,91,Данные!$C$2:$C$722,1,Данные!$A$2:$A$722,"&gt;="&amp;7183841400,Данные!$A$2:$A$722,"&lt;="&amp;7183841499)</f>
        <v>0</v>
      </c>
      <c r="BW171" s="49" t="n">
        <v>300</v>
      </c>
      <c r="BX171" s="67" t="n">
        <f aca="false">F171-BW171</f>
        <v>-300</v>
      </c>
    </row>
    <row r="172" s="15" customFormat="true" ht="12" hidden="false" customHeight="true" outlineLevel="0" collapsed="false">
      <c r="A172" s="47"/>
      <c r="B172" s="48"/>
      <c r="C172" s="50" t="n">
        <v>2</v>
      </c>
      <c r="D172" s="50" t="n">
        <v>912</v>
      </c>
      <c r="E172" s="51"/>
      <c r="F172" s="65" t="n">
        <f aca="false">COUNTIFS(Данные!$B$2:$B$722,91,Данные!$C$2:$C$722,2)</f>
        <v>0</v>
      </c>
      <c r="G172" s="65" t="n">
        <f aca="false">COUNTIFS(Данные!$B$2:$B$722,91,Данные!$C$2:$C$722,2,Данные!$A$2:$A$722,"&gt;="&amp;77232210840,Данные!$A$2:$A$722,"&lt;="&amp;77232216999)</f>
        <v>0</v>
      </c>
      <c r="H172" s="65" t="n">
        <f aca="false">COUNTIFS(Данные!$B$2:$B$722,91,Данные!$C$2:$C$722,2,Данные!$A$2:$A$722,"&gt;="&amp;77232510512,Данные!$A$2:$A$722,"&lt;="&amp;77232519487)</f>
        <v>0</v>
      </c>
      <c r="I172" s="65" t="n">
        <f aca="false">COUNTIFS(Данные!$B$2:$B$722,91,Данные!$C$2:$C$722,2,Данные!$A$2:$A$722,"&gt;="&amp;77232524160,Данные!$A$2:$A$722,"&lt;="&amp;77232529999)</f>
        <v>0</v>
      </c>
      <c r="J172" s="65" t="n">
        <f aca="false">COUNTIFS(Данные!$B$2:$B$722,91,Данные!$C$2:$C$722,2,Данные!$A$2:$A$722,"&gt;="&amp;77232544000,Данные!$A$2:$A$722,"&lt;="&amp;77232544999)</f>
        <v>0</v>
      </c>
      <c r="K172" s="65" t="n">
        <f aca="false">COUNTIFS(Данные!$B$2:$B$722,91,Данные!$C$2:$C$722,2,Данные!$A$2:$A$722,"&gt;="&amp;77232295504,Данные!$A$2:$A$722,"&lt;="&amp;77232296999)</f>
        <v>0</v>
      </c>
      <c r="L172" s="65" t="n">
        <f aca="false">COUNTIFS(Данные!$B$2:$B$722,91,Данные!$C$2:$C$722,2,Данные!$A$2:$A$722,"&gt;="&amp;77232785000,Данные!$A$2:$A$722,"&lt;="&amp;77232789999)</f>
        <v>0</v>
      </c>
      <c r="M172" s="65" t="n">
        <f aca="false">COUNTIFS(Данные!$B$2:$B$722,91,Данные!$C$2:$C$722,2,Данные!$A$2:$A$722,"&gt;="&amp;77233150000,Данные!$A$2:$A$722,"&lt;="&amp;77233155999)</f>
        <v>0</v>
      </c>
      <c r="N172" s="65" t="n">
        <f aca="false">COUNTIFS(Данные!$B$2:$B$722,91,Данные!$C$2:$C$722,2,Данные!$A$2:$A$722,"&gt;="&amp;77233235000,Данные!$A$2:$A$722,"&lt;="&amp;77233235999)</f>
        <v>0</v>
      </c>
      <c r="O172" s="65" t="n">
        <f aca="false">COUNTIFS(Данные!$B$2:$B$722,91,Данные!$C$2:$C$722,2,Данные!$A$2:$A$722,"&gt;="&amp;77233239000,Данные!$A$2:$A$722,"&lt;="&amp;77233239999)</f>
        <v>0</v>
      </c>
      <c r="P172" s="65" t="n">
        <f aca="false">COUNTIFS(Данные!$B$2:$B$722,91,Данные!$C$2:$C$722,2,Данные!$A$2:$A$722,"&gt;="&amp;77233272000,Данные!$A$2:$A$722,"&lt;="&amp;77233272999)</f>
        <v>0</v>
      </c>
      <c r="Q172" s="65" t="n">
        <f aca="false">COUNTIFS(Данные!$B$2:$B$722,91,Данные!$C$2:$C$722,2,Данные!$A$2:$A$722,"&gt;="&amp;77233291100,Данные!$A$2:$A$722,"&lt;="&amp;77233292999)</f>
        <v>0</v>
      </c>
      <c r="R172" s="65" t="n">
        <f aca="false">COUNTIFS(Данные!$B$2:$B$722,91,Данные!$C$2:$C$722,2,Данные!$A$2:$A$722,"&gt;="&amp;77233297000,Данные!$A$2:$A$722,"&lt;="&amp;77233298399)</f>
        <v>0</v>
      </c>
      <c r="S172" s="65" t="n">
        <f aca="false">COUNTIFS(Данные!$B$2:$B$722,91,Данные!$C$2:$C$722,2,Данные!$A$2:$A$722,"&gt;="&amp;77235124000,Данные!$A$2:$A$722,"&lt;="&amp;77235128499)</f>
        <v>0</v>
      </c>
      <c r="T172" s="65" t="n">
        <f aca="false">COUNTIFS(Данные!$B$2:$B$722,91,Данные!$C$2:$C$722,2,Данные!$A$2:$A$722,"&gt;="&amp;77235320000,Данные!$A$2:$A$722,"&lt;="&amp;77235320999)</f>
        <v>0</v>
      </c>
      <c r="U172" s="65" t="n">
        <f aca="false">COUNTIFS(Данные!$B$2:$B$722,91,Данные!$C$2:$C$722,2,Данные!$A$2:$A$722,"&gt;="&amp;77233620000,Данные!$A$2:$A$722,"&lt;="&amp;77233623339)</f>
        <v>0</v>
      </c>
      <c r="V172" s="65" t="n">
        <f aca="false">COUNTIFS(Данные!$B$2:$B$722,91,Данные!$C$2:$C$722,2,Данные!$A$2:$A$722,"&gt;="&amp;77233630000,Данные!$A$2:$A$722,"&lt;="&amp;77233630999)</f>
        <v>0</v>
      </c>
      <c r="W172" s="65" t="n">
        <f aca="false">COUNTIFS(Данные!$B$2:$B$722,91,Данные!$C$2:$C$722,2,Данные!$A$2:$A$722,"&gt;="&amp;77233637000,Данные!$A$2:$A$722,"&lt;="&amp;77233637599)</f>
        <v>0</v>
      </c>
      <c r="X172" s="65" t="n">
        <f aca="false">COUNTIFS(Данные!$B$2:$B$722,91,Данные!$C$2:$C$722,2,Данные!$A$2:$A$722,"&gt;="&amp;77233550000,Данные!$A$2:$A$722,"&lt;="&amp;77233550999)</f>
        <v>0</v>
      </c>
      <c r="Y172" s="65" t="n">
        <f aca="false">COUNTIFS(Данные!$B$2:$B$722,91,Данные!$C$2:$C$722,2,Данные!$A$2:$A$722,"&gt;="&amp;77233554000,Данные!$A$2:$A$722,"&lt;="&amp;77233554999)</f>
        <v>0</v>
      </c>
      <c r="Z172" s="65" t="n">
        <f aca="false">COUNTIFS(Данные!$B$2:$B$722,91,Данные!$C$2:$C$722,2,Данные!$A$2:$A$722,"&gt;="&amp;77233555000,Данные!$A$2:$A$722,"&lt;="&amp;77233556999)</f>
        <v>0</v>
      </c>
      <c r="AA172" s="65" t="n">
        <f aca="false">COUNTIFS(Данные!$B$2:$B$722,91,Данные!$C$2:$C$722,2,Данные!$A$2:$A$722,"&gt;="&amp;77233726000,Данные!$A$2:$A$722,"&lt;="&amp;77233726999)</f>
        <v>0</v>
      </c>
      <c r="AB172" s="65" t="n">
        <f aca="false">COUNTIFS(Данные!$B$2:$B$722,91,Данные!$C$2:$C$722,2,Данные!$A$2:$A$722,"&gt;="&amp;77233820000,Данные!$A$2:$A$722,"&lt;="&amp;77233820999)</f>
        <v>0</v>
      </c>
      <c r="AC172" s="65" t="n">
        <f aca="false">COUNTIFS(Данные!$B$2:$B$722,91,Данные!$C$2:$C$722,2,Данные!$A$2:$A$722,"&gt;="&amp;77233850000,Данные!$A$2:$A$722,"&lt;="&amp;77233850999)</f>
        <v>0</v>
      </c>
      <c r="AD172" s="65" t="n">
        <f aca="false">COUNTIFS(Данные!$B$2:$B$722,91,Данные!$C$2:$C$722,2,Данные!$A$2:$A$722,"&gt;="&amp;77233420000,Данные!$A$2:$A$722,"&lt;="&amp;77233420999)</f>
        <v>0</v>
      </c>
      <c r="AE172" s="65" t="n">
        <f aca="false">COUNTIFS(Данные!$B$2:$B$722,91,Данные!$C$2:$C$722,2,Данные!$A$2:$A$722,"&gt;="&amp;77234740000,Данные!$A$2:$A$722,"&lt;="&amp;77234742999)</f>
        <v>0</v>
      </c>
      <c r="AF172" s="65" t="n">
        <f aca="false">COUNTIFS(Данные!$B$2:$B$722,91,Данные!$C$2:$C$722,2,Данные!$A$2:$A$722,"&gt;="&amp;77234767000,Данные!$A$2:$A$722,"&lt;="&amp;77234767999)</f>
        <v>0</v>
      </c>
      <c r="AG172" s="65" t="n">
        <f aca="false">COUNTIFS(Данные!$B$2:$B$722,91,Данные!$C$2:$C$722,2,Данные!$A$2:$A$722,"&gt;="&amp;77234120000,Данные!$A$2:$A$722,"&lt;="&amp;77234120999)</f>
        <v>0</v>
      </c>
      <c r="AH172" s="65" t="n">
        <f aca="false">COUNTIFS(Данные!$B$2:$B$722,91,Данные!$C$2:$C$722,2,Данные!$A$2:$A$722,"&gt;="&amp;77234127000,Данные!$A$2:$A$722,"&lt;="&amp;77234127999)</f>
        <v>0</v>
      </c>
      <c r="AI172" s="65" t="n">
        <f aca="false">COUNTIFS(Данные!$B$2:$B$722,91,Данные!$C$2:$C$722,2,Данные!$A$2:$A$722,"&gt;="&amp;77234220000,Данные!$A$2:$A$722,"&lt;="&amp;77234220999)</f>
        <v>0</v>
      </c>
      <c r="AJ172" s="65" t="n">
        <f aca="false">COUNTIFS(Данные!$B$2:$B$722,91,Данные!$C$2:$C$722,2,Данные!$A$2:$A$722,"&gt;="&amp;77234250000,Данные!$A$2:$A$722,"&lt;="&amp;77234250999)</f>
        <v>0</v>
      </c>
      <c r="AK172" s="65" t="n">
        <f aca="false">COUNTIFS(Данные!$B$2:$B$722,91,Данные!$C$2:$C$722,2,Данные!$A$2:$A$722,"&gt;="&amp;77233922950,Данные!$A$2:$A$722,"&lt;="&amp;77233924999)</f>
        <v>0</v>
      </c>
      <c r="AL172" s="65" t="n">
        <f aca="false">COUNTIFS(Данные!$B$2:$B$722,91,Данные!$C$2:$C$722,2,Данные!$A$2:$A$722,"&gt;="&amp;77234320000,Данные!$A$2:$A$722,"&lt;="&amp;77234320999)</f>
        <v>0</v>
      </c>
      <c r="AM172" s="65" t="n">
        <f aca="false">COUNTIFS(Данные!$B$2:$B$722,91,Данные!$C$2:$C$722,2,Данные!$A$2:$A$722,"&gt;="&amp;77234350000,Данные!$A$2:$A$722,"&lt;="&amp;77234350999)</f>
        <v>0</v>
      </c>
      <c r="AN172" s="65" t="n">
        <f aca="false">COUNTIFS(Данные!$B$2:$B$722,91,Данные!$C$2:$C$722,2,Данные!$A$2:$A$722,"&gt;="&amp;77234020000,Данные!$A$2:$A$722,"&lt;="&amp;77234020999)</f>
        <v>0</v>
      </c>
      <c r="AO172" s="65" t="n">
        <f aca="false">COUNTIFS(Данные!$B$2:$B$722,91,Данные!$C$2:$C$722,2,Данные!$A$2:$A$722,"&gt;="&amp;77234029000,Данные!$A$2:$A$722,"&lt;="&amp;77234029999)</f>
        <v>0</v>
      </c>
      <c r="AP172" s="65" t="n">
        <f aca="false">COUNTIFS(Данные!$B$2:$B$722,91,Данные!$C$2:$C$722,2,Данные!$A$2:$A$722,"&gt;="&amp;77234050000,Данные!$A$2:$A$722,"&lt;="&amp;77234050999)</f>
        <v>0</v>
      </c>
      <c r="AQ172" s="65" t="n">
        <f aca="false">COUNTIFS(Данные!$B$2:$B$722,91,Данные!$C$2:$C$722,2,Данные!$A$2:$A$722,"&gt;="&amp;77234427000,Данные!$A$2:$A$722,"&lt;="&amp;77234428999)</f>
        <v>0</v>
      </c>
      <c r="AR172" s="65" t="n">
        <f aca="false">COUNTIFS(Данные!$B$2:$B$722,91,Данные!$C$2:$C$722,2,Данные!$A$2:$A$722,"&gt;="&amp;77234450000,Данные!$A$2:$A$722,"&lt;="&amp;77234450999)</f>
        <v>0</v>
      </c>
      <c r="AS172" s="65" t="n">
        <f aca="false">COUNTIFS(Данные!$B$2:$B$722,91,Данные!$C$2:$C$722,2,Данные!$A$2:$A$722,"&gt;="&amp;77234620000,Данные!$A$2:$A$722,"&lt;="&amp;77234620999)</f>
        <v>0</v>
      </c>
      <c r="AT172" s="65" t="n">
        <f aca="false">COUNTIFS(Данные!$B$2:$B$722,91,Данные!$C$2:$C$722,2,Данные!$A$2:$A$722,"&gt;="&amp;77234650000,Данные!$A$2:$A$722,"&lt;="&amp;77234650999)</f>
        <v>0</v>
      </c>
      <c r="AU172" s="65" t="n">
        <f aca="false">COUNTIFS(Данные!$B$2:$B$722,91,Данные!$C$2:$C$722,2,Данные!$A$2:$A$722,"&gt;="&amp;77234820000,Данные!$A$2:$A$722,"&lt;="&amp;77234820999)</f>
        <v>0</v>
      </c>
      <c r="AV172" s="65" t="n">
        <f aca="false">COUNTIFS(Данные!$B$2:$B$722,91,Данные!$C$2:$C$722,2,Данные!$A$2:$A$722,"&gt;="&amp;77234850000,Данные!$A$2:$A$722,"&lt;="&amp;77234850999)</f>
        <v>0</v>
      </c>
      <c r="AW172" s="65" t="n">
        <f aca="false">COUNTIFS(Данные!$B$2:$B$722,91,Данные!$C$2:$C$722,2,Данные!$A$2:$A$722,"&gt;="&amp;77233327000,Данные!$A$2:$A$722,"&lt;="&amp;77233327999)</f>
        <v>0</v>
      </c>
      <c r="AX172" s="65" t="n">
        <f aca="false">COUNTIFS(Данные!$B$2:$B$722,91,Данные!$C$2:$C$722,2,Данные!$A$2:$A$722,"&gt;="&amp;77233350000,Данные!$A$2:$A$722,"&lt;="&amp;77233350599)</f>
        <v>0</v>
      </c>
      <c r="AY172" s="65" t="n">
        <f aca="false">COUNTIFS(Данные!$B$2:$B$722,91,Данные!$C$2:$C$722,2,Данные!$A$2:$A$722,"&gt;="&amp;77233351000,Данные!$A$2:$A$722,"&lt;="&amp;77233351999)</f>
        <v>0</v>
      </c>
      <c r="AZ172" s="66" t="n">
        <f aca="false">COUNTIFS(Данные!$B$2:$B$722,91,Данные!$C$2:$C$722,2,Данные!$A$2:$A$722,"&gt;="&amp;7722440000,Данные!$A$2:$A$722,"&lt;="&amp;7722440999)</f>
        <v>0</v>
      </c>
      <c r="BA172" s="66" t="n">
        <f aca="false">COUNTIFS(Данные!$B$2:$B$722,91,Данные!$C$2:$C$722,2,Данные!$A$2:$A$722,"&gt;="&amp;7722442000,Данные!$A$2:$A$722,"&lt;="&amp;7722445659)</f>
        <v>0</v>
      </c>
      <c r="BB172" s="66" t="n">
        <f aca="false">COUNTIFS(Данные!$B$2:$B$722,91,Данные!$C$2:$C$722,2,Данные!$A$2:$A$722,"&gt;="&amp;7722450000,Данные!$A$2:$A$722,"&lt;="&amp;7722450199)</f>
        <v>0</v>
      </c>
      <c r="BC172" s="66" t="n">
        <f aca="false">COUNTIFS(Данные!$B$2:$B$722,91,Данные!$C$2:$C$722,2,Данные!$A$2:$A$722,"&gt;="&amp;7722451000,Данные!$A$2:$A$722,"&lt;="&amp;7722451374)</f>
        <v>0</v>
      </c>
      <c r="BD172" s="66" t="n">
        <f aca="false">COUNTIFS(Данные!$B$2:$B$722,91,Данные!$C$2:$C$722,2,Данные!$A$2:$A$722,"&gt;="&amp;7722452000,Данные!$A$2:$A$722,"&lt;="&amp;7722452299)</f>
        <v>0</v>
      </c>
      <c r="BE172" s="66" t="n">
        <f aca="false">COUNTIFS(Данные!$B$2:$B$722,91,Данные!$C$2:$C$722,2,Данные!$A$2:$A$722,"&gt;="&amp;7722453000,Данные!$A$2:$A$722,"&lt;="&amp;7722453816)</f>
        <v>0</v>
      </c>
      <c r="BF172" s="66" t="n">
        <f aca="false">COUNTIFS(Данные!$B$2:$B$722,91,Данные!$C$2:$C$722,2,Данные!$A$2:$A$722,"&gt;="&amp;7722454000,Данные!$A$2:$A$722,"&lt;="&amp;7722454099)</f>
        <v>0</v>
      </c>
      <c r="BG172" s="66" t="n">
        <f aca="false">COUNTIFS(Данные!$B$2:$B$722,91,Данные!$C$2:$C$722,2,Данные!$A$2:$A$722,"&gt;="&amp;7722458000,Данные!$A$2:$A$722,"&lt;="&amp;7722458999)</f>
        <v>0</v>
      </c>
      <c r="BH172" s="66" t="n">
        <f aca="false">COUNTIFS(Данные!$B$2:$B$722,91,Данные!$C$2:$C$722,2,Данные!$A$2:$A$722,"&gt;="&amp;7722630000,Данные!$A$2:$A$722,"&lt;="&amp;7722638549)</f>
        <v>0</v>
      </c>
      <c r="BI172" s="66" t="n">
        <f aca="false">COUNTIFS(Данные!$B$2:$B$722,91,Данные!$C$2:$C$722,2,Данные!$A$2:$A$722,"&gt;="&amp;7722639400,Данные!$A$2:$A$722,"&lt;="&amp;7722639899)</f>
        <v>0</v>
      </c>
      <c r="BJ172" s="66" t="n">
        <f aca="false">COUNTIFS(Данные!$B$2:$B$722,91,Данные!$C$2:$C$722,2,Данные!$A$2:$A$722,"&gt;="&amp;7725750000,Данные!$A$2:$A$722,"&lt;="&amp;7725750399)</f>
        <v>0</v>
      </c>
      <c r="BK172" s="66" t="n">
        <f aca="false">COUNTIFS(Данные!$B$2:$B$722,91,Данные!$C$2:$C$722,2,Данные!$A$2:$A$722,"&gt;="&amp;7723620000,Данные!$A$2:$A$722,"&lt;="&amp;7723621299)</f>
        <v>0</v>
      </c>
      <c r="BL172" s="66" t="n">
        <f aca="false">COUNTIFS(Данные!$B$2:$B$722,91,Данные!$C$2:$C$722,2,Данные!$A$2:$A$722,"&gt;="&amp;7723621600,Данные!$A$2:$A$722,"&lt;="&amp;7723623399)</f>
        <v>0</v>
      </c>
      <c r="BM172" s="66" t="n">
        <f aca="false">COUNTIFS(Данные!$B$2:$B$722,91,Данные!$C$2:$C$722,2,Данные!$A$2:$A$722,"&gt;="&amp;7725127000,Данные!$A$2:$A$722,"&lt;="&amp;7725127999)</f>
        <v>0</v>
      </c>
      <c r="BN172" s="66" t="n">
        <f aca="false">COUNTIFS(Данные!$B$2:$B$722,91,Данные!$C$2:$C$722,2,Данные!$A$2:$A$722,"&gt;="&amp;7723772000,Данные!$A$2:$A$722,"&lt;="&amp;7723724999)</f>
        <v>0</v>
      </c>
      <c r="BO172" s="65" t="n">
        <f aca="false">COUNTIFS(Данные!$B$2:$B$722,91,Данные!$C$2:$C$722,2,Данные!$A$2:$A$722,"&gt;="&amp;7723765000,Данные!$A$2:$A$722,"&lt;="&amp;7723765499)</f>
        <v>0</v>
      </c>
      <c r="BP172" s="66" t="n">
        <f aca="false">COUNTIFS(Данные!$B$2:$B$722,91,Данные!$C$2:$C$722,2,Данные!$A$2:$A$722,"&gt;="&amp;7723948000,Данные!$A$2:$A$722,"&lt;="&amp;7723948999)</f>
        <v>0</v>
      </c>
      <c r="BQ172" s="66" t="n">
        <f aca="false">COUNTIFS(Данные!$B$2:$B$722,91,Данные!$C$2:$C$722,2,Данные!$A$2:$A$722,"&gt;="&amp;7723950000,Данные!$A$2:$A$722,"&lt;="&amp;7723951099)</f>
        <v>0</v>
      </c>
      <c r="BR172" s="66" t="n">
        <f aca="false">COUNTIFS(Данные!$B$2:$B$722,91,Данные!$C$2:$C$722,2,Данные!$A$2:$A$722,"&gt;="&amp;7723020000,Данные!$A$2:$A$722,"&lt;="&amp;7723020999)</f>
        <v>0</v>
      </c>
      <c r="BS172" s="66" t="n">
        <f aca="false">COUNTIFS(Данные!$B$2:$B$722,91,Данные!$C$2:$C$722,2,Данные!$A$2:$A$722,"&gt;="&amp;7723029000,Данные!$A$2:$A$722,"&lt;="&amp;7723029999)</f>
        <v>0</v>
      </c>
      <c r="BT172" s="66" t="n">
        <f aca="false">COUNTIFS(Данные!$B$2:$B$722,91,Данные!$C$2:$C$722,2,Данные!$A$2:$A$722,"&gt;="&amp;7723055000,Данные!$A$2:$A$722,"&lt;="&amp;7723056549)</f>
        <v>0</v>
      </c>
      <c r="BU172" s="65" t="n">
        <f aca="false">COUNTIFS(Данные!$B$2:$B$722,91,Данные!$C$2:$C$722,2,Данные!$A$2:$A$722,"&gt;="&amp;7725250000,Данные!$A$2:$A$722,"&lt;="&amp;7725250499)</f>
        <v>0</v>
      </c>
      <c r="BV172" s="66" t="n">
        <f aca="false">COUNTIFS(Данные!$B$2:$B$722,91,Данные!$C$2:$C$722,2,Данные!$A$2:$A$722,"&gt;="&amp;7183841400,Данные!$A$2:$A$722,"&lt;="&amp;7183841499)</f>
        <v>0</v>
      </c>
      <c r="BW172" s="49" t="n">
        <v>300</v>
      </c>
      <c r="BX172" s="67" t="n">
        <f aca="false">F172-BW172</f>
        <v>-300</v>
      </c>
    </row>
    <row r="173" s="15" customFormat="true" ht="12" hidden="false" customHeight="true" outlineLevel="0" collapsed="false">
      <c r="A173" s="38" t="n">
        <v>92</v>
      </c>
      <c r="B173" s="39" t="s">
        <v>117</v>
      </c>
      <c r="C173" s="41" t="n">
        <v>0</v>
      </c>
      <c r="D173" s="41" t="n">
        <v>920</v>
      </c>
      <c r="E173" s="42" t="n">
        <f aca="false">SUM(F173:F175)</f>
        <v>0</v>
      </c>
      <c r="F173" s="62" t="n">
        <f aca="false">COUNTIFS(Данные!$B$2:$B$722,92,Данные!$C$2:$C$722,0)</f>
        <v>0</v>
      </c>
      <c r="G173" s="62" t="n">
        <f aca="false">COUNTIFS(Данные!$B$2:$B$722,92,Данные!$C$2:$C$722,0,Данные!$A$2:$A$722,"&gt;="&amp;77232210840,Данные!$A$2:$A$722,"&lt;="&amp;77232216999)</f>
        <v>0</v>
      </c>
      <c r="H173" s="62" t="n">
        <f aca="false">COUNTIFS(Данные!$B$2:$B$722,92,Данные!$C$2:$C$722,0,Данные!$A$2:$A$722,"&gt;="&amp;77232510512,Данные!$A$2:$A$722,"&lt;="&amp;77232519487)</f>
        <v>0</v>
      </c>
      <c r="I173" s="62" t="n">
        <f aca="false">COUNTIFS(Данные!$B$2:$B$722,92,Данные!$C$2:$C$722,0,Данные!$A$2:$A$722,"&gt;="&amp;77232524160,Данные!$A$2:$A$722,"&lt;="&amp;77232529999)</f>
        <v>0</v>
      </c>
      <c r="J173" s="62" t="n">
        <f aca="false">COUNTIFS(Данные!$B$2:$B$722,92,Данные!$C$2:$C$722,0,Данные!$A$2:$A$722,"&gt;="&amp;77232544000,Данные!$A$2:$A$722,"&lt;="&amp;77232544999)</f>
        <v>0</v>
      </c>
      <c r="K173" s="62" t="n">
        <f aca="false">COUNTIFS(Данные!$B$2:$B$722,92,Данные!$C$2:$C$722,0,Данные!$A$2:$A$722,"&gt;="&amp;77232295504,Данные!$A$2:$A$722,"&lt;="&amp;77232296999)</f>
        <v>0</v>
      </c>
      <c r="L173" s="62" t="n">
        <f aca="false">COUNTIFS(Данные!$B$2:$B$722,92,Данные!$C$2:$C$722,0,Данные!$A$2:$A$722,"&gt;="&amp;77232785000,Данные!$A$2:$A$722,"&lt;="&amp;77232789999)</f>
        <v>0</v>
      </c>
      <c r="M173" s="62" t="n">
        <f aca="false">COUNTIFS(Данные!$B$2:$B$722,92,Данные!$C$2:$C$722,0,Данные!$A$2:$A$722,"&gt;="&amp;77233150000,Данные!$A$2:$A$722,"&lt;="&amp;77233155999)</f>
        <v>0</v>
      </c>
      <c r="N173" s="62" t="n">
        <f aca="false">COUNTIFS(Данные!$B$2:$B$722,92,Данные!$C$2:$C$722,0,Данные!$A$2:$A$722,"&gt;="&amp;77233235000,Данные!$A$2:$A$722,"&lt;="&amp;77233235999)</f>
        <v>0</v>
      </c>
      <c r="O173" s="62" t="n">
        <f aca="false">COUNTIFS(Данные!$B$2:$B$722,92,Данные!$C$2:$C$722,0,Данные!$A$2:$A$722,"&gt;="&amp;77233239000,Данные!$A$2:$A$722,"&lt;="&amp;77233239999)</f>
        <v>0</v>
      </c>
      <c r="P173" s="62" t="n">
        <f aca="false">COUNTIFS(Данные!$B$2:$B$722,92,Данные!$C$2:$C$722,0,Данные!$A$2:$A$722,"&gt;="&amp;77233272000,Данные!$A$2:$A$722,"&lt;="&amp;77233272999)</f>
        <v>0</v>
      </c>
      <c r="Q173" s="62" t="n">
        <f aca="false">COUNTIFS(Данные!$B$2:$B$722,92,Данные!$C$2:$C$722,0,Данные!$A$2:$A$722,"&gt;="&amp;77233291100,Данные!$A$2:$A$722,"&lt;="&amp;77233292999)</f>
        <v>0</v>
      </c>
      <c r="R173" s="62" t="n">
        <f aca="false">COUNTIFS(Данные!$B$2:$B$722,92,Данные!$C$2:$C$722,0,Данные!$A$2:$A$722,"&gt;="&amp;77233297000,Данные!$A$2:$A$722,"&lt;="&amp;77233298399)</f>
        <v>0</v>
      </c>
      <c r="S173" s="62" t="n">
        <f aca="false">COUNTIFS(Данные!$B$2:$B$722,92,Данные!$C$2:$C$722,0,Данные!$A$2:$A$722,"&gt;="&amp;77235124000,Данные!$A$2:$A$722,"&lt;="&amp;77235128499)</f>
        <v>0</v>
      </c>
      <c r="T173" s="62" t="n">
        <f aca="false">COUNTIFS(Данные!$B$2:$B$722,92,Данные!$C$2:$C$722,0,Данные!$A$2:$A$722,"&gt;="&amp;77235320000,Данные!$A$2:$A$722,"&lt;="&amp;77235320999)</f>
        <v>0</v>
      </c>
      <c r="U173" s="62" t="n">
        <f aca="false">COUNTIFS(Данные!$B$2:$B$722,92,Данные!$C$2:$C$722,0,Данные!$A$2:$A$722,"&gt;="&amp;77233620000,Данные!$A$2:$A$722,"&lt;="&amp;77233623339)</f>
        <v>0</v>
      </c>
      <c r="V173" s="62" t="n">
        <f aca="false">COUNTIFS(Данные!$B$2:$B$722,92,Данные!$C$2:$C$722,0,Данные!$A$2:$A$722,"&gt;="&amp;77233630000,Данные!$A$2:$A$722,"&lt;="&amp;77233630999)</f>
        <v>0</v>
      </c>
      <c r="W173" s="62" t="n">
        <f aca="false">COUNTIFS(Данные!$B$2:$B$722,92,Данные!$C$2:$C$722,0,Данные!$A$2:$A$722,"&gt;="&amp;77233637000,Данные!$A$2:$A$722,"&lt;="&amp;77233637599)</f>
        <v>0</v>
      </c>
      <c r="X173" s="62" t="n">
        <f aca="false">COUNTIFS(Данные!$B$2:$B$722,92,Данные!$C$2:$C$722,0,Данные!$A$2:$A$722,"&gt;="&amp;77233550000,Данные!$A$2:$A$722,"&lt;="&amp;77233550999)</f>
        <v>0</v>
      </c>
      <c r="Y173" s="62" t="n">
        <f aca="false">COUNTIFS(Данные!$B$2:$B$722,92,Данные!$C$2:$C$722,0,Данные!$A$2:$A$722,"&gt;="&amp;77233554000,Данные!$A$2:$A$722,"&lt;="&amp;77233554999)</f>
        <v>0</v>
      </c>
      <c r="Z173" s="62" t="n">
        <f aca="false">COUNTIFS(Данные!$B$2:$B$722,92,Данные!$C$2:$C$722,0,Данные!$A$2:$A$722,"&gt;="&amp;77233555000,Данные!$A$2:$A$722,"&lt;="&amp;77233556999)</f>
        <v>0</v>
      </c>
      <c r="AA173" s="62" t="n">
        <f aca="false">COUNTIFS(Данные!$B$2:$B$722,92,Данные!$C$2:$C$722,0,Данные!$A$2:$A$722,"&gt;="&amp;77233726000,Данные!$A$2:$A$722,"&lt;="&amp;77233726999)</f>
        <v>0</v>
      </c>
      <c r="AB173" s="62" t="n">
        <f aca="false">COUNTIFS(Данные!$B$2:$B$722,92,Данные!$C$2:$C$722,0,Данные!$A$2:$A$722,"&gt;="&amp;77233820000,Данные!$A$2:$A$722,"&lt;="&amp;77233820999)</f>
        <v>0</v>
      </c>
      <c r="AC173" s="62" t="n">
        <f aca="false">COUNTIFS(Данные!$B$2:$B$722,92,Данные!$C$2:$C$722,0,Данные!$A$2:$A$722,"&gt;="&amp;77233850000,Данные!$A$2:$A$722,"&lt;="&amp;77233850999)</f>
        <v>0</v>
      </c>
      <c r="AD173" s="62" t="n">
        <f aca="false">COUNTIFS(Данные!$B$2:$B$722,92,Данные!$C$2:$C$722,0,Данные!$A$2:$A$722,"&gt;="&amp;77233420000,Данные!$A$2:$A$722,"&lt;="&amp;77233420999)</f>
        <v>0</v>
      </c>
      <c r="AE173" s="62" t="n">
        <f aca="false">COUNTIFS(Данные!$B$2:$B$722,92,Данные!$C$2:$C$722,0,Данные!$A$2:$A$722,"&gt;="&amp;77234740000,Данные!$A$2:$A$722,"&lt;="&amp;77234742999)</f>
        <v>0</v>
      </c>
      <c r="AF173" s="62" t="n">
        <f aca="false">COUNTIFS(Данные!$B$2:$B$722,92,Данные!$C$2:$C$722,0,Данные!$A$2:$A$722,"&gt;="&amp;77234767000,Данные!$A$2:$A$722,"&lt;="&amp;77234767999)</f>
        <v>0</v>
      </c>
      <c r="AG173" s="62" t="n">
        <f aca="false">COUNTIFS(Данные!$B$2:$B$722,92,Данные!$C$2:$C$722,0,Данные!$A$2:$A$722,"&gt;="&amp;77234120000,Данные!$A$2:$A$722,"&lt;="&amp;77234120999)</f>
        <v>0</v>
      </c>
      <c r="AH173" s="62" t="n">
        <f aca="false">COUNTIFS(Данные!$B$2:$B$722,92,Данные!$C$2:$C$722,0,Данные!$A$2:$A$722,"&gt;="&amp;77234127000,Данные!$A$2:$A$722,"&lt;="&amp;77234127999)</f>
        <v>0</v>
      </c>
      <c r="AI173" s="62" t="n">
        <f aca="false">COUNTIFS(Данные!$B$2:$B$722,92,Данные!$C$2:$C$722,0,Данные!$A$2:$A$722,"&gt;="&amp;77234220000,Данные!$A$2:$A$722,"&lt;="&amp;77234220999)</f>
        <v>0</v>
      </c>
      <c r="AJ173" s="62" t="n">
        <f aca="false">COUNTIFS(Данные!$B$2:$B$722,92,Данные!$C$2:$C$722,0,Данные!$A$2:$A$722,"&gt;="&amp;77234250000,Данные!$A$2:$A$722,"&lt;="&amp;77234250999)</f>
        <v>0</v>
      </c>
      <c r="AK173" s="62" t="n">
        <f aca="false">COUNTIFS(Данные!$B$2:$B$722,92,Данные!$C$2:$C$722,0,Данные!$A$2:$A$722,"&gt;="&amp;77233922950,Данные!$A$2:$A$722,"&lt;="&amp;77233924999)</f>
        <v>0</v>
      </c>
      <c r="AL173" s="62" t="n">
        <f aca="false">COUNTIFS(Данные!$B$2:$B$722,92,Данные!$C$2:$C$722,0,Данные!$A$2:$A$722,"&gt;="&amp;77234320000,Данные!$A$2:$A$722,"&lt;="&amp;77234320999)</f>
        <v>0</v>
      </c>
      <c r="AM173" s="62" t="n">
        <f aca="false">COUNTIFS(Данные!$B$2:$B$722,92,Данные!$C$2:$C$722,0,Данные!$A$2:$A$722,"&gt;="&amp;77234350000,Данные!$A$2:$A$722,"&lt;="&amp;77234350999)</f>
        <v>0</v>
      </c>
      <c r="AN173" s="62" t="n">
        <f aca="false">COUNTIFS(Данные!$B$2:$B$722,92,Данные!$C$2:$C$722,0,Данные!$A$2:$A$722,"&gt;="&amp;77234020000,Данные!$A$2:$A$722,"&lt;="&amp;77234020999)</f>
        <v>0</v>
      </c>
      <c r="AO173" s="62" t="n">
        <f aca="false">COUNTIFS(Данные!$B$2:$B$722,92,Данные!$C$2:$C$722,0,Данные!$A$2:$A$722,"&gt;="&amp;77234029000,Данные!$A$2:$A$722,"&lt;="&amp;77234029999)</f>
        <v>0</v>
      </c>
      <c r="AP173" s="62" t="n">
        <f aca="false">COUNTIFS(Данные!$B$2:$B$722,92,Данные!$C$2:$C$722,0,Данные!$A$2:$A$722,"&gt;="&amp;77234050000,Данные!$A$2:$A$722,"&lt;="&amp;77234050999)</f>
        <v>0</v>
      </c>
      <c r="AQ173" s="62" t="n">
        <f aca="false">COUNTIFS(Данные!$B$2:$B$722,92,Данные!$C$2:$C$722,0,Данные!$A$2:$A$722,"&gt;="&amp;77234427000,Данные!$A$2:$A$722,"&lt;="&amp;77234428999)</f>
        <v>0</v>
      </c>
      <c r="AR173" s="62" t="n">
        <f aca="false">COUNTIFS(Данные!$B$2:$B$722,92,Данные!$C$2:$C$722,0,Данные!$A$2:$A$722,"&gt;="&amp;77234450000,Данные!$A$2:$A$722,"&lt;="&amp;77234450999)</f>
        <v>0</v>
      </c>
      <c r="AS173" s="62" t="n">
        <f aca="false">COUNTIFS(Данные!$B$2:$B$722,92,Данные!$C$2:$C$722,0,Данные!$A$2:$A$722,"&gt;="&amp;77234620000,Данные!$A$2:$A$722,"&lt;="&amp;77234620999)</f>
        <v>0</v>
      </c>
      <c r="AT173" s="62" t="n">
        <f aca="false">COUNTIFS(Данные!$B$2:$B$722,92,Данные!$C$2:$C$722,0,Данные!$A$2:$A$722,"&gt;="&amp;77234650000,Данные!$A$2:$A$722,"&lt;="&amp;77234650999)</f>
        <v>0</v>
      </c>
      <c r="AU173" s="62" t="n">
        <f aca="false">COUNTIFS(Данные!$B$2:$B$722,92,Данные!$C$2:$C$722,0,Данные!$A$2:$A$722,"&gt;="&amp;77234820000,Данные!$A$2:$A$722,"&lt;="&amp;77234820999)</f>
        <v>0</v>
      </c>
      <c r="AV173" s="62" t="n">
        <f aca="false">COUNTIFS(Данные!$B$2:$B$722,92,Данные!$C$2:$C$722,0,Данные!$A$2:$A$722,"&gt;="&amp;77234850000,Данные!$A$2:$A$722,"&lt;="&amp;77234850999)</f>
        <v>0</v>
      </c>
      <c r="AW173" s="62" t="n">
        <f aca="false">COUNTIFS(Данные!$B$2:$B$722,92,Данные!$C$2:$C$722,0,Данные!$A$2:$A$722,"&gt;="&amp;77233327000,Данные!$A$2:$A$722,"&lt;="&amp;77233327999)</f>
        <v>0</v>
      </c>
      <c r="AX173" s="62" t="n">
        <f aca="false">COUNTIFS(Данные!$B$2:$B$722,92,Данные!$C$2:$C$722,0,Данные!$A$2:$A$722,"&gt;="&amp;77233350000,Данные!$A$2:$A$722,"&lt;="&amp;77233350599)</f>
        <v>0</v>
      </c>
      <c r="AY173" s="62" t="n">
        <f aca="false">COUNTIFS(Данные!$B$2:$B$722,92,Данные!$C$2:$C$722,0,Данные!$A$2:$A$722,"&gt;="&amp;77233351000,Данные!$A$2:$A$722,"&lt;="&amp;77233351999)</f>
        <v>0</v>
      </c>
      <c r="AZ173" s="62" t="n">
        <f aca="false">COUNTIFS(Данные!$B$2:$B$722,92,Данные!$C$2:$C$722,0,Данные!$A$2:$A$722,"&gt;="&amp;7722440000,Данные!$A$2:$A$722,"&lt;="&amp;7722440999)</f>
        <v>0</v>
      </c>
      <c r="BA173" s="63" t="n">
        <f aca="false">COUNTIFS(Данные!$B$2:$B$722,92,Данные!$C$2:$C$722,0,Данные!$A$2:$A$722,"&gt;="&amp;7722442000,Данные!$A$2:$A$722,"&lt;="&amp;7722445659)</f>
        <v>0</v>
      </c>
      <c r="BB173" s="63" t="n">
        <f aca="false">COUNTIFS(Данные!$B$2:$B$722,92,Данные!$C$2:$C$722,0,Данные!$A$2:$A$722,"&gt;="&amp;7722450000,Данные!$A$2:$A$722,"&lt;="&amp;7722450199)</f>
        <v>0</v>
      </c>
      <c r="BC173" s="63" t="n">
        <f aca="false">COUNTIFS(Данные!$B$2:$B$722,92,Данные!$C$2:$C$722,0,Данные!$A$2:$A$722,"&gt;="&amp;7722451000,Данные!$A$2:$A$722,"&lt;="&amp;7722451374)</f>
        <v>0</v>
      </c>
      <c r="BD173" s="63" t="n">
        <f aca="false">COUNTIFS(Данные!$B$2:$B$722,92,Данные!$C$2:$C$722,0,Данные!$A$2:$A$722,"&gt;="&amp;7722452000,Данные!$A$2:$A$722,"&lt;="&amp;7722452299)</f>
        <v>0</v>
      </c>
      <c r="BE173" s="63" t="n">
        <f aca="false">COUNTIFS(Данные!$B$2:$B$722,92,Данные!$C$2:$C$722,0,Данные!$A$2:$A$722,"&gt;="&amp;7722453000,Данные!$A$2:$A$722,"&lt;="&amp;7722453816)</f>
        <v>0</v>
      </c>
      <c r="BF173" s="63" t="n">
        <f aca="false">COUNTIFS(Данные!$B$2:$B$722,92,Данные!$C$2:$C$722,0,Данные!$A$2:$A$722,"&gt;="&amp;7722454000,Данные!$A$2:$A$722,"&lt;="&amp;7722454099)</f>
        <v>0</v>
      </c>
      <c r="BG173" s="63" t="n">
        <f aca="false">COUNTIFS(Данные!$B$2:$B$722,92,Данные!$C$2:$C$722,0,Данные!$A$2:$A$722,"&gt;="&amp;7722458000,Данные!$A$2:$A$722,"&lt;="&amp;7722458999)</f>
        <v>0</v>
      </c>
      <c r="BH173" s="63" t="n">
        <f aca="false">COUNTIFS(Данные!$B$2:$B$722,92,Данные!$C$2:$C$722,0,Данные!$A$2:$A$722,"&gt;="&amp;7722630000,Данные!$A$2:$A$722,"&lt;="&amp;7722638549)</f>
        <v>0</v>
      </c>
      <c r="BI173" s="63" t="n">
        <f aca="false">COUNTIFS(Данные!$B$2:$B$722,92,Данные!$C$2:$C$722,0,Данные!$A$2:$A$722,"&gt;="&amp;7722639400,Данные!$A$2:$A$722,"&lt;="&amp;7722639899)</f>
        <v>0</v>
      </c>
      <c r="BJ173" s="63" t="n">
        <f aca="false">COUNTIFS(Данные!$B$2:$B$722,92,Данные!$C$2:$C$722,0,Данные!$A$2:$A$722,"&gt;="&amp;7725750000,Данные!$A$2:$A$722,"&lt;="&amp;7725750399)</f>
        <v>0</v>
      </c>
      <c r="BK173" s="63" t="n">
        <f aca="false">COUNTIFS(Данные!$B$2:$B$722,92,Данные!$C$2:$C$722,0,Данные!$A$2:$A$722,"&gt;="&amp;7723620000,Данные!$A$2:$A$722,"&lt;="&amp;7723621299)</f>
        <v>0</v>
      </c>
      <c r="BL173" s="63" t="n">
        <f aca="false">COUNTIFS(Данные!$B$2:$B$722,92,Данные!$C$2:$C$722,0,Данные!$A$2:$A$722,"&gt;="&amp;7723621600,Данные!$A$2:$A$722,"&lt;="&amp;7723623399)</f>
        <v>0</v>
      </c>
      <c r="BM173" s="63" t="n">
        <f aca="false">COUNTIFS(Данные!$B$2:$B$722,92,Данные!$C$2:$C$722,0,Данные!$A$2:$A$722,"&gt;="&amp;7725127000,Данные!$A$2:$A$722,"&lt;="&amp;7725127999)</f>
        <v>0</v>
      </c>
      <c r="BN173" s="63" t="n">
        <f aca="false">COUNTIFS(Данные!$B$2:$B$722,92,Данные!$C$2:$C$722,0,Данные!$A$2:$A$722,"&gt;="&amp;7723772000,Данные!$A$2:$A$722,"&lt;="&amp;7723724999)</f>
        <v>0</v>
      </c>
      <c r="BO173" s="62" t="n">
        <f aca="false">COUNTIFS(Данные!$B$2:$B$722,92,Данные!$C$2:$C$722,0,Данные!$A$2:$A$722,"&gt;="&amp;7723765000,Данные!$A$2:$A$722,"&lt;="&amp;7723765499)</f>
        <v>0</v>
      </c>
      <c r="BP173" s="63" t="n">
        <f aca="false">COUNTIFS(Данные!$B$2:$B$722,92,Данные!$C$2:$C$722,0,Данные!$A$2:$A$722,"&gt;="&amp;7723948000,Данные!$A$2:$A$722,"&lt;="&amp;7723948999)</f>
        <v>0</v>
      </c>
      <c r="BQ173" s="63" t="n">
        <f aca="false">COUNTIFS(Данные!$B$2:$B$722,92,Данные!$C$2:$C$722,0,Данные!$A$2:$A$722,"&gt;="&amp;7723950000,Данные!$A$2:$A$722,"&lt;="&amp;7723951099)</f>
        <v>0</v>
      </c>
      <c r="BR173" s="63" t="n">
        <f aca="false">COUNTIFS(Данные!$B$2:$B$722,92,Данные!$C$2:$C$722,0,Данные!$A$2:$A$722,"&gt;="&amp;7723020000,Данные!$A$2:$A$722,"&lt;="&amp;7723020999)</f>
        <v>0</v>
      </c>
      <c r="BS173" s="63" t="n">
        <f aca="false">COUNTIFS(Данные!$B$2:$B$722,92,Данные!$C$2:$C$722,0,Данные!$A$2:$A$722,"&gt;="&amp;7723029000,Данные!$A$2:$A$722,"&lt;="&amp;7723029999)</f>
        <v>0</v>
      </c>
      <c r="BT173" s="63" t="n">
        <f aca="false">COUNTIFS(Данные!$B$2:$B$722,92,Данные!$C$2:$C$722,0,Данные!$A$2:$A$722,"&gt;="&amp;7723055000,Данные!$A$2:$A$722,"&lt;="&amp;7723056549)</f>
        <v>0</v>
      </c>
      <c r="BU173" s="62" t="n">
        <f aca="false">COUNTIFS(Данные!$B$2:$B$722,92,Данные!$C$2:$C$722,0,Данные!$A$2:$A$722,"&gt;="&amp;7725250000,Данные!$A$2:$A$722,"&lt;="&amp;7725250499)</f>
        <v>0</v>
      </c>
      <c r="BV173" s="63" t="n">
        <f aca="false">COUNTIFS(Данные!$B$2:$B$722,92,Данные!$C$2:$C$722,0,Данные!$A$2:$A$722,"&gt;="&amp;7183841400,Данные!$A$2:$A$722,"&lt;="&amp;7183841499)</f>
        <v>0</v>
      </c>
      <c r="BW173" s="40" t="n">
        <v>300</v>
      </c>
      <c r="BX173" s="64" t="n">
        <f aca="false">F173-BW173</f>
        <v>-300</v>
      </c>
    </row>
    <row r="174" s="15" customFormat="true" ht="12" hidden="false" customHeight="true" outlineLevel="0" collapsed="false">
      <c r="A174" s="38"/>
      <c r="B174" s="39"/>
      <c r="C174" s="41" t="n">
        <v>1</v>
      </c>
      <c r="D174" s="41" t="n">
        <v>921</v>
      </c>
      <c r="E174" s="42"/>
      <c r="F174" s="62" t="n">
        <f aca="false">COUNTIFS(Данные!$B$2:$B$722,92,Данные!$C$2:$C$722,1)</f>
        <v>0</v>
      </c>
      <c r="G174" s="62" t="n">
        <f aca="false">COUNTIFS(Данные!$B$2:$B$722,92,Данные!$C$2:$C$722,1,Данные!$A$2:$A$722,"&gt;="&amp;77232210840,Данные!$A$2:$A$722,"&lt;="&amp;77232216999)</f>
        <v>0</v>
      </c>
      <c r="H174" s="62" t="n">
        <f aca="false">COUNTIFS(Данные!$B$2:$B$722,92,Данные!$C$2:$C$722,1,Данные!$A$2:$A$722,"&gt;="&amp;77232510512,Данные!$A$2:$A$722,"&lt;="&amp;77232519487)</f>
        <v>0</v>
      </c>
      <c r="I174" s="62" t="n">
        <f aca="false">COUNTIFS(Данные!$B$2:$B$722,92,Данные!$C$2:$C$722,1,Данные!$A$2:$A$722,"&gt;="&amp;77232524160,Данные!$A$2:$A$722,"&lt;="&amp;77232529999)</f>
        <v>0</v>
      </c>
      <c r="J174" s="62" t="n">
        <f aca="false">COUNTIFS(Данные!$B$2:$B$722,92,Данные!$C$2:$C$722,1,Данные!$A$2:$A$722,"&gt;="&amp;77232544000,Данные!$A$2:$A$722,"&lt;="&amp;77232544999)</f>
        <v>0</v>
      </c>
      <c r="K174" s="62" t="n">
        <f aca="false">COUNTIFS(Данные!$B$2:$B$722,92,Данные!$C$2:$C$722,1,Данные!$A$2:$A$722,"&gt;="&amp;77232295504,Данные!$A$2:$A$722,"&lt;="&amp;77232296999)</f>
        <v>0</v>
      </c>
      <c r="L174" s="62" t="n">
        <f aca="false">COUNTIFS(Данные!$B$2:$B$722,92,Данные!$C$2:$C$722,1,Данные!$A$2:$A$722,"&gt;="&amp;77232785000,Данные!$A$2:$A$722,"&lt;="&amp;77232789999)</f>
        <v>0</v>
      </c>
      <c r="M174" s="62" t="n">
        <f aca="false">COUNTIFS(Данные!$B$2:$B$722,92,Данные!$C$2:$C$722,1,Данные!$A$2:$A$722,"&gt;="&amp;77233150000,Данные!$A$2:$A$722,"&lt;="&amp;77233155999)</f>
        <v>0</v>
      </c>
      <c r="N174" s="62" t="n">
        <f aca="false">COUNTIFS(Данные!$B$2:$B$722,92,Данные!$C$2:$C$722,1,Данные!$A$2:$A$722,"&gt;="&amp;77233235000,Данные!$A$2:$A$722,"&lt;="&amp;77233235999)</f>
        <v>0</v>
      </c>
      <c r="O174" s="62" t="n">
        <f aca="false">COUNTIFS(Данные!$B$2:$B$722,92,Данные!$C$2:$C$722,1,Данные!$A$2:$A$722,"&gt;="&amp;77233239000,Данные!$A$2:$A$722,"&lt;="&amp;77233239999)</f>
        <v>0</v>
      </c>
      <c r="P174" s="62" t="n">
        <f aca="false">COUNTIFS(Данные!$B$2:$B$722,92,Данные!$C$2:$C$722,1,Данные!$A$2:$A$722,"&gt;="&amp;77233272000,Данные!$A$2:$A$722,"&lt;="&amp;77233272999)</f>
        <v>0</v>
      </c>
      <c r="Q174" s="62" t="n">
        <f aca="false">COUNTIFS(Данные!$B$2:$B$722,92,Данные!$C$2:$C$722,1,Данные!$A$2:$A$722,"&gt;="&amp;77233291100,Данные!$A$2:$A$722,"&lt;="&amp;77233292999)</f>
        <v>0</v>
      </c>
      <c r="R174" s="62" t="n">
        <f aca="false">COUNTIFS(Данные!$B$2:$B$722,92,Данные!$C$2:$C$722,1,Данные!$A$2:$A$722,"&gt;="&amp;77233297000,Данные!$A$2:$A$722,"&lt;="&amp;77233298399)</f>
        <v>0</v>
      </c>
      <c r="S174" s="62" t="n">
        <f aca="false">COUNTIFS(Данные!$B$2:$B$722,92,Данные!$C$2:$C$722,1,Данные!$A$2:$A$722,"&gt;="&amp;77235124000,Данные!$A$2:$A$722,"&lt;="&amp;77235128499)</f>
        <v>0</v>
      </c>
      <c r="T174" s="62" t="n">
        <f aca="false">COUNTIFS(Данные!$B$2:$B$722,92,Данные!$C$2:$C$722,1,Данные!$A$2:$A$722,"&gt;="&amp;77235320000,Данные!$A$2:$A$722,"&lt;="&amp;77235320999)</f>
        <v>0</v>
      </c>
      <c r="U174" s="62" t="n">
        <f aca="false">COUNTIFS(Данные!$B$2:$B$722,92,Данные!$C$2:$C$722,1,Данные!$A$2:$A$722,"&gt;="&amp;77233620000,Данные!$A$2:$A$722,"&lt;="&amp;77233623339)</f>
        <v>0</v>
      </c>
      <c r="V174" s="62" t="n">
        <f aca="false">COUNTIFS(Данные!$B$2:$B$722,92,Данные!$C$2:$C$722,1,Данные!$A$2:$A$722,"&gt;="&amp;77233630000,Данные!$A$2:$A$722,"&lt;="&amp;77233630999)</f>
        <v>0</v>
      </c>
      <c r="W174" s="62" t="n">
        <f aca="false">COUNTIFS(Данные!$B$2:$B$722,92,Данные!$C$2:$C$722,1,Данные!$A$2:$A$722,"&gt;="&amp;77233637000,Данные!$A$2:$A$722,"&lt;="&amp;77233637599)</f>
        <v>0</v>
      </c>
      <c r="X174" s="62" t="n">
        <f aca="false">COUNTIFS(Данные!$B$2:$B$722,92,Данные!$C$2:$C$722,1,Данные!$A$2:$A$722,"&gt;="&amp;77233550000,Данные!$A$2:$A$722,"&lt;="&amp;77233550999)</f>
        <v>0</v>
      </c>
      <c r="Y174" s="62" t="n">
        <f aca="false">COUNTIFS(Данные!$B$2:$B$722,92,Данные!$C$2:$C$722,1,Данные!$A$2:$A$722,"&gt;="&amp;77233554000,Данные!$A$2:$A$722,"&lt;="&amp;77233554999)</f>
        <v>0</v>
      </c>
      <c r="Z174" s="62" t="n">
        <f aca="false">COUNTIFS(Данные!$B$2:$B$722,92,Данные!$C$2:$C$722,1,Данные!$A$2:$A$722,"&gt;="&amp;77233555000,Данные!$A$2:$A$722,"&lt;="&amp;77233556999)</f>
        <v>0</v>
      </c>
      <c r="AA174" s="62" t="n">
        <f aca="false">COUNTIFS(Данные!$B$2:$B$722,92,Данные!$C$2:$C$722,1,Данные!$A$2:$A$722,"&gt;="&amp;77233726000,Данные!$A$2:$A$722,"&lt;="&amp;77233726999)</f>
        <v>0</v>
      </c>
      <c r="AB174" s="62" t="n">
        <f aca="false">COUNTIFS(Данные!$B$2:$B$722,92,Данные!$C$2:$C$722,1,Данные!$A$2:$A$722,"&gt;="&amp;77233820000,Данные!$A$2:$A$722,"&lt;="&amp;77233820999)</f>
        <v>0</v>
      </c>
      <c r="AC174" s="62" t="n">
        <f aca="false">COUNTIFS(Данные!$B$2:$B$722,92,Данные!$C$2:$C$722,1,Данные!$A$2:$A$722,"&gt;="&amp;77233850000,Данные!$A$2:$A$722,"&lt;="&amp;77233850999)</f>
        <v>0</v>
      </c>
      <c r="AD174" s="62" t="n">
        <f aca="false">COUNTIFS(Данные!$B$2:$B$722,92,Данные!$C$2:$C$722,1,Данные!$A$2:$A$722,"&gt;="&amp;77233420000,Данные!$A$2:$A$722,"&lt;="&amp;77233420999)</f>
        <v>0</v>
      </c>
      <c r="AE174" s="62" t="n">
        <f aca="false">COUNTIFS(Данные!$B$2:$B$722,92,Данные!$C$2:$C$722,1,Данные!$A$2:$A$722,"&gt;="&amp;77234740000,Данные!$A$2:$A$722,"&lt;="&amp;77234742999)</f>
        <v>0</v>
      </c>
      <c r="AF174" s="62" t="n">
        <f aca="false">COUNTIFS(Данные!$B$2:$B$722,92,Данные!$C$2:$C$722,1,Данные!$A$2:$A$722,"&gt;="&amp;77234767000,Данные!$A$2:$A$722,"&lt;="&amp;77234767999)</f>
        <v>0</v>
      </c>
      <c r="AG174" s="62" t="n">
        <f aca="false">COUNTIFS(Данные!$B$2:$B$722,92,Данные!$C$2:$C$722,1,Данные!$A$2:$A$722,"&gt;="&amp;77234120000,Данные!$A$2:$A$722,"&lt;="&amp;77234120999)</f>
        <v>0</v>
      </c>
      <c r="AH174" s="62" t="n">
        <f aca="false">COUNTIFS(Данные!$B$2:$B$722,92,Данные!$C$2:$C$722,1,Данные!$A$2:$A$722,"&gt;="&amp;77234127000,Данные!$A$2:$A$722,"&lt;="&amp;77234127999)</f>
        <v>0</v>
      </c>
      <c r="AI174" s="62" t="n">
        <f aca="false">COUNTIFS(Данные!$B$2:$B$722,92,Данные!$C$2:$C$722,1,Данные!$A$2:$A$722,"&gt;="&amp;77234220000,Данные!$A$2:$A$722,"&lt;="&amp;77234220999)</f>
        <v>0</v>
      </c>
      <c r="AJ174" s="62" t="n">
        <f aca="false">COUNTIFS(Данные!$B$2:$B$722,92,Данные!$C$2:$C$722,1,Данные!$A$2:$A$722,"&gt;="&amp;77234250000,Данные!$A$2:$A$722,"&lt;="&amp;77234250999)</f>
        <v>0</v>
      </c>
      <c r="AK174" s="62" t="n">
        <f aca="false">COUNTIFS(Данные!$B$2:$B$722,92,Данные!$C$2:$C$722,1,Данные!$A$2:$A$722,"&gt;="&amp;77233922950,Данные!$A$2:$A$722,"&lt;="&amp;77233924999)</f>
        <v>0</v>
      </c>
      <c r="AL174" s="62" t="n">
        <f aca="false">COUNTIFS(Данные!$B$2:$B$722,92,Данные!$C$2:$C$722,1,Данные!$A$2:$A$722,"&gt;="&amp;77234320000,Данные!$A$2:$A$722,"&lt;="&amp;77234320999)</f>
        <v>0</v>
      </c>
      <c r="AM174" s="62" t="n">
        <f aca="false">COUNTIFS(Данные!$B$2:$B$722,92,Данные!$C$2:$C$722,1,Данные!$A$2:$A$722,"&gt;="&amp;77234350000,Данные!$A$2:$A$722,"&lt;="&amp;77234350999)</f>
        <v>0</v>
      </c>
      <c r="AN174" s="62" t="n">
        <f aca="false">COUNTIFS(Данные!$B$2:$B$722,92,Данные!$C$2:$C$722,1,Данные!$A$2:$A$722,"&gt;="&amp;77234020000,Данные!$A$2:$A$722,"&lt;="&amp;77234020999)</f>
        <v>0</v>
      </c>
      <c r="AO174" s="62" t="n">
        <f aca="false">COUNTIFS(Данные!$B$2:$B$722,92,Данные!$C$2:$C$722,1,Данные!$A$2:$A$722,"&gt;="&amp;77234029000,Данные!$A$2:$A$722,"&lt;="&amp;77234029999)</f>
        <v>0</v>
      </c>
      <c r="AP174" s="62" t="n">
        <f aca="false">COUNTIFS(Данные!$B$2:$B$722,92,Данные!$C$2:$C$722,1,Данные!$A$2:$A$722,"&gt;="&amp;77234050000,Данные!$A$2:$A$722,"&lt;="&amp;77234050999)</f>
        <v>0</v>
      </c>
      <c r="AQ174" s="62" t="n">
        <f aca="false">COUNTIFS(Данные!$B$2:$B$722,92,Данные!$C$2:$C$722,1,Данные!$A$2:$A$722,"&gt;="&amp;77234427000,Данные!$A$2:$A$722,"&lt;="&amp;77234428999)</f>
        <v>0</v>
      </c>
      <c r="AR174" s="62" t="n">
        <f aca="false">COUNTIFS(Данные!$B$2:$B$722,92,Данные!$C$2:$C$722,1,Данные!$A$2:$A$722,"&gt;="&amp;77234450000,Данные!$A$2:$A$722,"&lt;="&amp;77234450999)</f>
        <v>0</v>
      </c>
      <c r="AS174" s="62" t="n">
        <f aca="false">COUNTIFS(Данные!$B$2:$B$722,92,Данные!$C$2:$C$722,1,Данные!$A$2:$A$722,"&gt;="&amp;77234620000,Данные!$A$2:$A$722,"&lt;="&amp;77234620999)</f>
        <v>0</v>
      </c>
      <c r="AT174" s="62" t="n">
        <f aca="false">COUNTIFS(Данные!$B$2:$B$722,92,Данные!$C$2:$C$722,1,Данные!$A$2:$A$722,"&gt;="&amp;77234650000,Данные!$A$2:$A$722,"&lt;="&amp;77234650999)</f>
        <v>0</v>
      </c>
      <c r="AU174" s="62" t="n">
        <f aca="false">COUNTIFS(Данные!$B$2:$B$722,92,Данные!$C$2:$C$722,1,Данные!$A$2:$A$722,"&gt;="&amp;77234820000,Данные!$A$2:$A$722,"&lt;="&amp;77234820999)</f>
        <v>0</v>
      </c>
      <c r="AV174" s="62" t="n">
        <f aca="false">COUNTIFS(Данные!$B$2:$B$722,92,Данные!$C$2:$C$722,1,Данные!$A$2:$A$722,"&gt;="&amp;77234850000,Данные!$A$2:$A$722,"&lt;="&amp;77234850999)</f>
        <v>0</v>
      </c>
      <c r="AW174" s="62" t="n">
        <f aca="false">COUNTIFS(Данные!$B$2:$B$722,92,Данные!$C$2:$C$722,1,Данные!$A$2:$A$722,"&gt;="&amp;77233327000,Данные!$A$2:$A$722,"&lt;="&amp;77233327999)</f>
        <v>0</v>
      </c>
      <c r="AX174" s="62" t="n">
        <f aca="false">COUNTIFS(Данные!$B$2:$B$722,92,Данные!$C$2:$C$722,1,Данные!$A$2:$A$722,"&gt;="&amp;77233350000,Данные!$A$2:$A$722,"&lt;="&amp;77233350599)</f>
        <v>0</v>
      </c>
      <c r="AY174" s="62" t="n">
        <f aca="false">COUNTIFS(Данные!$B$2:$B$722,92,Данные!$C$2:$C$722,1,Данные!$A$2:$A$722,"&gt;="&amp;77233351000,Данные!$A$2:$A$722,"&lt;="&amp;77233351999)</f>
        <v>0</v>
      </c>
      <c r="AZ174" s="63" t="n">
        <f aca="false">COUNTIFS(Данные!$B$2:$B$722,92,Данные!$C$2:$C$722,1,Данные!$A$2:$A$722,"&gt;="&amp;7722440000,Данные!$A$2:$A$722,"&lt;="&amp;7722440999)</f>
        <v>0</v>
      </c>
      <c r="BA174" s="63" t="n">
        <f aca="false">COUNTIFS(Данные!$B$2:$B$722,92,Данные!$C$2:$C$722,1,Данные!$A$2:$A$722,"&gt;="&amp;7722442000,Данные!$A$2:$A$722,"&lt;="&amp;7722445659)</f>
        <v>0</v>
      </c>
      <c r="BB174" s="63" t="n">
        <f aca="false">COUNTIFS(Данные!$B$2:$B$722,92,Данные!$C$2:$C$722,1,Данные!$A$2:$A$722,"&gt;="&amp;7722450000,Данные!$A$2:$A$722,"&lt;="&amp;7722450199)</f>
        <v>0</v>
      </c>
      <c r="BC174" s="63" t="n">
        <f aca="false">COUNTIFS(Данные!$B$2:$B$722,92,Данные!$C$2:$C$722,1,Данные!$A$2:$A$722,"&gt;="&amp;7722451000,Данные!$A$2:$A$722,"&lt;="&amp;7722451374)</f>
        <v>0</v>
      </c>
      <c r="BD174" s="63" t="n">
        <f aca="false">COUNTIFS(Данные!$B$2:$B$722,92,Данные!$C$2:$C$722,1,Данные!$A$2:$A$722,"&gt;="&amp;7722452000,Данные!$A$2:$A$722,"&lt;="&amp;7722452299)</f>
        <v>0</v>
      </c>
      <c r="BE174" s="63" t="n">
        <f aca="false">COUNTIFS(Данные!$B$2:$B$722,92,Данные!$C$2:$C$722,1,Данные!$A$2:$A$722,"&gt;="&amp;7722453000,Данные!$A$2:$A$722,"&lt;="&amp;7722453816)</f>
        <v>0</v>
      </c>
      <c r="BF174" s="63" t="n">
        <f aca="false">COUNTIFS(Данные!$B$2:$B$722,92,Данные!$C$2:$C$722,1,Данные!$A$2:$A$722,"&gt;="&amp;7722454000,Данные!$A$2:$A$722,"&lt;="&amp;7722454099)</f>
        <v>0</v>
      </c>
      <c r="BG174" s="63" t="n">
        <f aca="false">COUNTIFS(Данные!$B$2:$B$722,92,Данные!$C$2:$C$722,1,Данные!$A$2:$A$722,"&gt;="&amp;7722458000,Данные!$A$2:$A$722,"&lt;="&amp;7722458999)</f>
        <v>0</v>
      </c>
      <c r="BH174" s="63" t="n">
        <f aca="false">COUNTIFS(Данные!$B$2:$B$722,92,Данные!$C$2:$C$722,1,Данные!$A$2:$A$722,"&gt;="&amp;7722630000,Данные!$A$2:$A$722,"&lt;="&amp;7722638549)</f>
        <v>0</v>
      </c>
      <c r="BI174" s="63" t="n">
        <f aca="false">COUNTIFS(Данные!$B$2:$B$722,92,Данные!$C$2:$C$722,1,Данные!$A$2:$A$722,"&gt;="&amp;7722639400,Данные!$A$2:$A$722,"&lt;="&amp;7722639899)</f>
        <v>0</v>
      </c>
      <c r="BJ174" s="63" t="n">
        <f aca="false">COUNTIFS(Данные!$B$2:$B$722,92,Данные!$C$2:$C$722,1,Данные!$A$2:$A$722,"&gt;="&amp;7725750000,Данные!$A$2:$A$722,"&lt;="&amp;7725750399)</f>
        <v>0</v>
      </c>
      <c r="BK174" s="63" t="n">
        <f aca="false">COUNTIFS(Данные!$B$2:$B$722,92,Данные!$C$2:$C$722,1,Данные!$A$2:$A$722,"&gt;="&amp;7723620000,Данные!$A$2:$A$722,"&lt;="&amp;7723621299)</f>
        <v>0</v>
      </c>
      <c r="BL174" s="63" t="n">
        <f aca="false">COUNTIFS(Данные!$B$2:$B$722,92,Данные!$C$2:$C$722,1,Данные!$A$2:$A$722,"&gt;="&amp;7723621600,Данные!$A$2:$A$722,"&lt;="&amp;7723623399)</f>
        <v>0</v>
      </c>
      <c r="BM174" s="63" t="n">
        <f aca="false">COUNTIFS(Данные!$B$2:$B$722,92,Данные!$C$2:$C$722,1,Данные!$A$2:$A$722,"&gt;="&amp;7725127000,Данные!$A$2:$A$722,"&lt;="&amp;7725127999)</f>
        <v>0</v>
      </c>
      <c r="BN174" s="63" t="n">
        <f aca="false">COUNTIFS(Данные!$B$2:$B$722,92,Данные!$C$2:$C$722,1,Данные!$A$2:$A$722,"&gt;="&amp;7723772000,Данные!$A$2:$A$722,"&lt;="&amp;7723724999)</f>
        <v>0</v>
      </c>
      <c r="BO174" s="62" t="n">
        <f aca="false">COUNTIFS(Данные!$B$2:$B$722,92,Данные!$C$2:$C$722,1,Данные!$A$2:$A$722,"&gt;="&amp;7723765000,Данные!$A$2:$A$722,"&lt;="&amp;7723765499)</f>
        <v>0</v>
      </c>
      <c r="BP174" s="63" t="n">
        <f aca="false">COUNTIFS(Данные!$B$2:$B$722,92,Данные!$C$2:$C$722,1,Данные!$A$2:$A$722,"&gt;="&amp;7723948000,Данные!$A$2:$A$722,"&lt;="&amp;7723948999)</f>
        <v>0</v>
      </c>
      <c r="BQ174" s="63" t="n">
        <f aca="false">COUNTIFS(Данные!$B$2:$B$722,92,Данные!$C$2:$C$722,1,Данные!$A$2:$A$722,"&gt;="&amp;7723950000,Данные!$A$2:$A$722,"&lt;="&amp;7723951099)</f>
        <v>0</v>
      </c>
      <c r="BR174" s="63" t="n">
        <f aca="false">COUNTIFS(Данные!$B$2:$B$722,92,Данные!$C$2:$C$722,1,Данные!$A$2:$A$722,"&gt;="&amp;7723020000,Данные!$A$2:$A$722,"&lt;="&amp;7723020999)</f>
        <v>0</v>
      </c>
      <c r="BS174" s="63" t="n">
        <f aca="false">COUNTIFS(Данные!$B$2:$B$722,92,Данные!$C$2:$C$722,1,Данные!$A$2:$A$722,"&gt;="&amp;7723029000,Данные!$A$2:$A$722,"&lt;="&amp;7723029999)</f>
        <v>0</v>
      </c>
      <c r="BT174" s="63" t="n">
        <f aca="false">COUNTIFS(Данные!$B$2:$B$722,92,Данные!$C$2:$C$722,1,Данные!$A$2:$A$722,"&gt;="&amp;7723055000,Данные!$A$2:$A$722,"&lt;="&amp;7723056549)</f>
        <v>0</v>
      </c>
      <c r="BU174" s="62" t="n">
        <f aca="false">COUNTIFS(Данные!$B$2:$B$722,92,Данные!$C$2:$C$722,1,Данные!$A$2:$A$722,"&gt;="&amp;7725250000,Данные!$A$2:$A$722,"&lt;="&amp;7725250499)</f>
        <v>0</v>
      </c>
      <c r="BV174" s="63" t="n">
        <f aca="false">COUNTIFS(Данные!$B$2:$B$722,92,Данные!$C$2:$C$722,1,Данные!$A$2:$A$722,"&gt;="&amp;7183841400,Данные!$A$2:$A$722,"&lt;="&amp;7183841499)</f>
        <v>0</v>
      </c>
      <c r="BW174" s="40" t="n">
        <v>300</v>
      </c>
      <c r="BX174" s="64" t="n">
        <f aca="false">F174-BW174</f>
        <v>-300</v>
      </c>
    </row>
    <row r="175" s="15" customFormat="true" ht="12" hidden="false" customHeight="true" outlineLevel="0" collapsed="false">
      <c r="A175" s="38"/>
      <c r="B175" s="39"/>
      <c r="C175" s="41" t="n">
        <v>2</v>
      </c>
      <c r="D175" s="41" t="n">
        <v>922</v>
      </c>
      <c r="E175" s="42"/>
      <c r="F175" s="62" t="n">
        <f aca="false">COUNTIFS(Данные!$B$2:$B$722,92,Данные!$C$2:$C$722,2)</f>
        <v>0</v>
      </c>
      <c r="G175" s="62" t="n">
        <f aca="false">COUNTIFS(Данные!$B$2:$B$722,92,Данные!$C$2:$C$722,2,Данные!$A$2:$A$722,"&gt;="&amp;77232210840,Данные!$A$2:$A$722,"&lt;="&amp;77232216999)</f>
        <v>0</v>
      </c>
      <c r="H175" s="62" t="n">
        <f aca="false">COUNTIFS(Данные!$B$2:$B$722,92,Данные!$C$2:$C$722,2,Данные!$A$2:$A$722,"&gt;="&amp;77232510512,Данные!$A$2:$A$722,"&lt;="&amp;77232519487)</f>
        <v>0</v>
      </c>
      <c r="I175" s="62" t="n">
        <f aca="false">COUNTIFS(Данные!$B$2:$B$722,92,Данные!$C$2:$C$722,2,Данные!$A$2:$A$722,"&gt;="&amp;77232524160,Данные!$A$2:$A$722,"&lt;="&amp;77232529999)</f>
        <v>0</v>
      </c>
      <c r="J175" s="62" t="n">
        <f aca="false">COUNTIFS(Данные!$B$2:$B$722,92,Данные!$C$2:$C$722,2,Данные!$A$2:$A$722,"&gt;="&amp;77232544000,Данные!$A$2:$A$722,"&lt;="&amp;77232544999)</f>
        <v>0</v>
      </c>
      <c r="K175" s="62" t="n">
        <f aca="false">COUNTIFS(Данные!$B$2:$B$722,92,Данные!$C$2:$C$722,2,Данные!$A$2:$A$722,"&gt;="&amp;77232295504,Данные!$A$2:$A$722,"&lt;="&amp;77232296999)</f>
        <v>0</v>
      </c>
      <c r="L175" s="62" t="n">
        <f aca="false">COUNTIFS(Данные!$B$2:$B$722,92,Данные!$C$2:$C$722,2,Данные!$A$2:$A$722,"&gt;="&amp;77232785000,Данные!$A$2:$A$722,"&lt;="&amp;77232789999)</f>
        <v>0</v>
      </c>
      <c r="M175" s="62" t="n">
        <f aca="false">COUNTIFS(Данные!$B$2:$B$722,92,Данные!$C$2:$C$722,2,Данные!$A$2:$A$722,"&gt;="&amp;77233150000,Данные!$A$2:$A$722,"&lt;="&amp;77233155999)</f>
        <v>0</v>
      </c>
      <c r="N175" s="62" t="n">
        <f aca="false">COUNTIFS(Данные!$B$2:$B$722,92,Данные!$C$2:$C$722,2,Данные!$A$2:$A$722,"&gt;="&amp;77233235000,Данные!$A$2:$A$722,"&lt;="&amp;77233235999)</f>
        <v>0</v>
      </c>
      <c r="O175" s="62" t="n">
        <f aca="false">COUNTIFS(Данные!$B$2:$B$722,92,Данные!$C$2:$C$722,2,Данные!$A$2:$A$722,"&gt;="&amp;77233239000,Данные!$A$2:$A$722,"&lt;="&amp;77233239999)</f>
        <v>0</v>
      </c>
      <c r="P175" s="62" t="n">
        <f aca="false">COUNTIFS(Данные!$B$2:$B$722,92,Данные!$C$2:$C$722,2,Данные!$A$2:$A$722,"&gt;="&amp;77233272000,Данные!$A$2:$A$722,"&lt;="&amp;77233272999)</f>
        <v>0</v>
      </c>
      <c r="Q175" s="62" t="n">
        <f aca="false">COUNTIFS(Данные!$B$2:$B$722,92,Данные!$C$2:$C$722,2,Данные!$A$2:$A$722,"&gt;="&amp;77233291100,Данные!$A$2:$A$722,"&lt;="&amp;77233292999)</f>
        <v>0</v>
      </c>
      <c r="R175" s="62" t="n">
        <f aca="false">COUNTIFS(Данные!$B$2:$B$722,92,Данные!$C$2:$C$722,2,Данные!$A$2:$A$722,"&gt;="&amp;77233297000,Данные!$A$2:$A$722,"&lt;="&amp;77233298399)</f>
        <v>0</v>
      </c>
      <c r="S175" s="62" t="n">
        <f aca="false">COUNTIFS(Данные!$B$2:$B$722,92,Данные!$C$2:$C$722,2,Данные!$A$2:$A$722,"&gt;="&amp;77235124000,Данные!$A$2:$A$722,"&lt;="&amp;77235128499)</f>
        <v>0</v>
      </c>
      <c r="T175" s="62" t="n">
        <f aca="false">COUNTIFS(Данные!$B$2:$B$722,92,Данные!$C$2:$C$722,2,Данные!$A$2:$A$722,"&gt;="&amp;77235320000,Данные!$A$2:$A$722,"&lt;="&amp;77235320999)</f>
        <v>0</v>
      </c>
      <c r="U175" s="62" t="n">
        <f aca="false">COUNTIFS(Данные!$B$2:$B$722,92,Данные!$C$2:$C$722,2,Данные!$A$2:$A$722,"&gt;="&amp;77233620000,Данные!$A$2:$A$722,"&lt;="&amp;77233623339)</f>
        <v>0</v>
      </c>
      <c r="V175" s="62" t="n">
        <f aca="false">COUNTIFS(Данные!$B$2:$B$722,92,Данные!$C$2:$C$722,2,Данные!$A$2:$A$722,"&gt;="&amp;77233630000,Данные!$A$2:$A$722,"&lt;="&amp;77233630999)</f>
        <v>0</v>
      </c>
      <c r="W175" s="62" t="n">
        <f aca="false">COUNTIFS(Данные!$B$2:$B$722,92,Данные!$C$2:$C$722,2,Данные!$A$2:$A$722,"&gt;="&amp;77233637000,Данные!$A$2:$A$722,"&lt;="&amp;77233637599)</f>
        <v>0</v>
      </c>
      <c r="X175" s="62" t="n">
        <f aca="false">COUNTIFS(Данные!$B$2:$B$722,92,Данные!$C$2:$C$722,2,Данные!$A$2:$A$722,"&gt;="&amp;77233550000,Данные!$A$2:$A$722,"&lt;="&amp;77233550999)</f>
        <v>0</v>
      </c>
      <c r="Y175" s="62" t="n">
        <f aca="false">COUNTIFS(Данные!$B$2:$B$722,92,Данные!$C$2:$C$722,2,Данные!$A$2:$A$722,"&gt;="&amp;77233554000,Данные!$A$2:$A$722,"&lt;="&amp;77233554999)</f>
        <v>0</v>
      </c>
      <c r="Z175" s="62" t="n">
        <f aca="false">COUNTIFS(Данные!$B$2:$B$722,92,Данные!$C$2:$C$722,2,Данные!$A$2:$A$722,"&gt;="&amp;77233555000,Данные!$A$2:$A$722,"&lt;="&amp;77233556999)</f>
        <v>0</v>
      </c>
      <c r="AA175" s="62" t="n">
        <f aca="false">COUNTIFS(Данные!$B$2:$B$722,92,Данные!$C$2:$C$722,2,Данные!$A$2:$A$722,"&gt;="&amp;77233726000,Данные!$A$2:$A$722,"&lt;="&amp;77233726999)</f>
        <v>0</v>
      </c>
      <c r="AB175" s="62" t="n">
        <f aca="false">COUNTIFS(Данные!$B$2:$B$722,92,Данные!$C$2:$C$722,2,Данные!$A$2:$A$722,"&gt;="&amp;77233820000,Данные!$A$2:$A$722,"&lt;="&amp;77233820999)</f>
        <v>0</v>
      </c>
      <c r="AC175" s="62" t="n">
        <f aca="false">COUNTIFS(Данные!$B$2:$B$722,92,Данные!$C$2:$C$722,2,Данные!$A$2:$A$722,"&gt;="&amp;77233850000,Данные!$A$2:$A$722,"&lt;="&amp;77233850999)</f>
        <v>0</v>
      </c>
      <c r="AD175" s="62" t="n">
        <f aca="false">COUNTIFS(Данные!$B$2:$B$722,92,Данные!$C$2:$C$722,2,Данные!$A$2:$A$722,"&gt;="&amp;77233420000,Данные!$A$2:$A$722,"&lt;="&amp;77233420999)</f>
        <v>0</v>
      </c>
      <c r="AE175" s="62" t="n">
        <f aca="false">COUNTIFS(Данные!$B$2:$B$722,92,Данные!$C$2:$C$722,2,Данные!$A$2:$A$722,"&gt;="&amp;77234740000,Данные!$A$2:$A$722,"&lt;="&amp;77234742999)</f>
        <v>0</v>
      </c>
      <c r="AF175" s="62" t="n">
        <f aca="false">COUNTIFS(Данные!$B$2:$B$722,92,Данные!$C$2:$C$722,2,Данные!$A$2:$A$722,"&gt;="&amp;77234767000,Данные!$A$2:$A$722,"&lt;="&amp;77234767999)</f>
        <v>0</v>
      </c>
      <c r="AG175" s="62" t="n">
        <f aca="false">COUNTIFS(Данные!$B$2:$B$722,92,Данные!$C$2:$C$722,2,Данные!$A$2:$A$722,"&gt;="&amp;77234120000,Данные!$A$2:$A$722,"&lt;="&amp;77234120999)</f>
        <v>0</v>
      </c>
      <c r="AH175" s="62" t="n">
        <f aca="false">COUNTIFS(Данные!$B$2:$B$722,92,Данные!$C$2:$C$722,2,Данные!$A$2:$A$722,"&gt;="&amp;77234127000,Данные!$A$2:$A$722,"&lt;="&amp;77234127999)</f>
        <v>0</v>
      </c>
      <c r="AI175" s="62" t="n">
        <f aca="false">COUNTIFS(Данные!$B$2:$B$722,92,Данные!$C$2:$C$722,2,Данные!$A$2:$A$722,"&gt;="&amp;77234220000,Данные!$A$2:$A$722,"&lt;="&amp;77234220999)</f>
        <v>0</v>
      </c>
      <c r="AJ175" s="62" t="n">
        <f aca="false">COUNTIFS(Данные!$B$2:$B$722,92,Данные!$C$2:$C$722,2,Данные!$A$2:$A$722,"&gt;="&amp;77234250000,Данные!$A$2:$A$722,"&lt;="&amp;77234250999)</f>
        <v>0</v>
      </c>
      <c r="AK175" s="62" t="n">
        <f aca="false">COUNTIFS(Данные!$B$2:$B$722,92,Данные!$C$2:$C$722,2,Данные!$A$2:$A$722,"&gt;="&amp;77233922950,Данные!$A$2:$A$722,"&lt;="&amp;77233924999)</f>
        <v>0</v>
      </c>
      <c r="AL175" s="62" t="n">
        <f aca="false">COUNTIFS(Данные!$B$2:$B$722,92,Данные!$C$2:$C$722,2,Данные!$A$2:$A$722,"&gt;="&amp;77234320000,Данные!$A$2:$A$722,"&lt;="&amp;77234320999)</f>
        <v>0</v>
      </c>
      <c r="AM175" s="62" t="n">
        <f aca="false">COUNTIFS(Данные!$B$2:$B$722,92,Данные!$C$2:$C$722,2,Данные!$A$2:$A$722,"&gt;="&amp;77234350000,Данные!$A$2:$A$722,"&lt;="&amp;77234350999)</f>
        <v>0</v>
      </c>
      <c r="AN175" s="62" t="n">
        <f aca="false">COUNTIFS(Данные!$B$2:$B$722,92,Данные!$C$2:$C$722,2,Данные!$A$2:$A$722,"&gt;="&amp;77234020000,Данные!$A$2:$A$722,"&lt;="&amp;77234020999)</f>
        <v>0</v>
      </c>
      <c r="AO175" s="62" t="n">
        <f aca="false">COUNTIFS(Данные!$B$2:$B$722,92,Данные!$C$2:$C$722,2,Данные!$A$2:$A$722,"&gt;="&amp;77234029000,Данные!$A$2:$A$722,"&lt;="&amp;77234029999)</f>
        <v>0</v>
      </c>
      <c r="AP175" s="62" t="n">
        <f aca="false">COUNTIFS(Данные!$B$2:$B$722,92,Данные!$C$2:$C$722,2,Данные!$A$2:$A$722,"&gt;="&amp;77234050000,Данные!$A$2:$A$722,"&lt;="&amp;77234050999)</f>
        <v>0</v>
      </c>
      <c r="AQ175" s="62" t="n">
        <f aca="false">COUNTIFS(Данные!$B$2:$B$722,92,Данные!$C$2:$C$722,2,Данные!$A$2:$A$722,"&gt;="&amp;77234427000,Данные!$A$2:$A$722,"&lt;="&amp;77234428999)</f>
        <v>0</v>
      </c>
      <c r="AR175" s="62" t="n">
        <f aca="false">COUNTIFS(Данные!$B$2:$B$722,92,Данные!$C$2:$C$722,2,Данные!$A$2:$A$722,"&gt;="&amp;77234450000,Данные!$A$2:$A$722,"&lt;="&amp;77234450999)</f>
        <v>0</v>
      </c>
      <c r="AS175" s="62" t="n">
        <f aca="false">COUNTIFS(Данные!$B$2:$B$722,92,Данные!$C$2:$C$722,2,Данные!$A$2:$A$722,"&gt;="&amp;77234620000,Данные!$A$2:$A$722,"&lt;="&amp;77234620999)</f>
        <v>0</v>
      </c>
      <c r="AT175" s="62" t="n">
        <f aca="false">COUNTIFS(Данные!$B$2:$B$722,92,Данные!$C$2:$C$722,2,Данные!$A$2:$A$722,"&gt;="&amp;77234650000,Данные!$A$2:$A$722,"&lt;="&amp;77234650999)</f>
        <v>0</v>
      </c>
      <c r="AU175" s="62" t="n">
        <f aca="false">COUNTIFS(Данные!$B$2:$B$722,92,Данные!$C$2:$C$722,2,Данные!$A$2:$A$722,"&gt;="&amp;77234820000,Данные!$A$2:$A$722,"&lt;="&amp;77234820999)</f>
        <v>0</v>
      </c>
      <c r="AV175" s="62" t="n">
        <f aca="false">COUNTIFS(Данные!$B$2:$B$722,92,Данные!$C$2:$C$722,2,Данные!$A$2:$A$722,"&gt;="&amp;77234850000,Данные!$A$2:$A$722,"&lt;="&amp;77234850999)</f>
        <v>0</v>
      </c>
      <c r="AW175" s="62" t="n">
        <f aca="false">COUNTIFS(Данные!$B$2:$B$722,92,Данные!$C$2:$C$722,2,Данные!$A$2:$A$722,"&gt;="&amp;77233327000,Данные!$A$2:$A$722,"&lt;="&amp;77233327999)</f>
        <v>0</v>
      </c>
      <c r="AX175" s="62" t="n">
        <f aca="false">COUNTIFS(Данные!$B$2:$B$722,92,Данные!$C$2:$C$722,2,Данные!$A$2:$A$722,"&gt;="&amp;77233350000,Данные!$A$2:$A$722,"&lt;="&amp;77233350599)</f>
        <v>0</v>
      </c>
      <c r="AY175" s="62" t="n">
        <f aca="false">COUNTIFS(Данные!$B$2:$B$722,92,Данные!$C$2:$C$722,2,Данные!$A$2:$A$722,"&gt;="&amp;77233351000,Данные!$A$2:$A$722,"&lt;="&amp;77233351999)</f>
        <v>0</v>
      </c>
      <c r="AZ175" s="63" t="n">
        <f aca="false">COUNTIFS(Данные!$B$2:$B$722,92,Данные!$C$2:$C$722,2,Данные!$A$2:$A$722,"&gt;="&amp;7722440000,Данные!$A$2:$A$722,"&lt;="&amp;7722440999)</f>
        <v>0</v>
      </c>
      <c r="BA175" s="63" t="n">
        <f aca="false">COUNTIFS(Данные!$B$2:$B$722,92,Данные!$C$2:$C$722,2,Данные!$A$2:$A$722,"&gt;="&amp;7722442000,Данные!$A$2:$A$722,"&lt;="&amp;7722445659)</f>
        <v>0</v>
      </c>
      <c r="BB175" s="63" t="n">
        <f aca="false">COUNTIFS(Данные!$B$2:$B$722,92,Данные!$C$2:$C$722,2,Данные!$A$2:$A$722,"&gt;="&amp;7722450000,Данные!$A$2:$A$722,"&lt;="&amp;7722450199)</f>
        <v>0</v>
      </c>
      <c r="BC175" s="63" t="n">
        <f aca="false">COUNTIFS(Данные!$B$2:$B$722,92,Данные!$C$2:$C$722,2,Данные!$A$2:$A$722,"&gt;="&amp;7722451000,Данные!$A$2:$A$722,"&lt;="&amp;7722451374)</f>
        <v>0</v>
      </c>
      <c r="BD175" s="63" t="n">
        <f aca="false">COUNTIFS(Данные!$B$2:$B$722,92,Данные!$C$2:$C$722,2,Данные!$A$2:$A$722,"&gt;="&amp;7722452000,Данные!$A$2:$A$722,"&lt;="&amp;7722452299)</f>
        <v>0</v>
      </c>
      <c r="BE175" s="63" t="n">
        <f aca="false">COUNTIFS(Данные!$B$2:$B$722,92,Данные!$C$2:$C$722,2,Данные!$A$2:$A$722,"&gt;="&amp;7722453000,Данные!$A$2:$A$722,"&lt;="&amp;7722453816)</f>
        <v>0</v>
      </c>
      <c r="BF175" s="63" t="n">
        <f aca="false">COUNTIFS(Данные!$B$2:$B$722,92,Данные!$C$2:$C$722,2,Данные!$A$2:$A$722,"&gt;="&amp;7722454000,Данные!$A$2:$A$722,"&lt;="&amp;7722454099)</f>
        <v>0</v>
      </c>
      <c r="BG175" s="63" t="n">
        <f aca="false">COUNTIFS(Данные!$B$2:$B$722,92,Данные!$C$2:$C$722,2,Данные!$A$2:$A$722,"&gt;="&amp;7722458000,Данные!$A$2:$A$722,"&lt;="&amp;7722458999)</f>
        <v>0</v>
      </c>
      <c r="BH175" s="63" t="n">
        <f aca="false">COUNTIFS(Данные!$B$2:$B$722,92,Данные!$C$2:$C$722,2,Данные!$A$2:$A$722,"&gt;="&amp;7722630000,Данные!$A$2:$A$722,"&lt;="&amp;7722638549)</f>
        <v>0</v>
      </c>
      <c r="BI175" s="63" t="n">
        <f aca="false">COUNTIFS(Данные!$B$2:$B$722,92,Данные!$C$2:$C$722,2,Данные!$A$2:$A$722,"&gt;="&amp;7722639400,Данные!$A$2:$A$722,"&lt;="&amp;7722639899)</f>
        <v>0</v>
      </c>
      <c r="BJ175" s="63" t="n">
        <f aca="false">COUNTIFS(Данные!$B$2:$B$722,92,Данные!$C$2:$C$722,2,Данные!$A$2:$A$722,"&gt;="&amp;7725750000,Данные!$A$2:$A$722,"&lt;="&amp;7725750399)</f>
        <v>0</v>
      </c>
      <c r="BK175" s="63" t="n">
        <f aca="false">COUNTIFS(Данные!$B$2:$B$722,92,Данные!$C$2:$C$722,2,Данные!$A$2:$A$722,"&gt;="&amp;7723620000,Данные!$A$2:$A$722,"&lt;="&amp;7723621299)</f>
        <v>0</v>
      </c>
      <c r="BL175" s="63" t="n">
        <f aca="false">COUNTIFS(Данные!$B$2:$B$722,92,Данные!$C$2:$C$722,2,Данные!$A$2:$A$722,"&gt;="&amp;7723621600,Данные!$A$2:$A$722,"&lt;="&amp;7723623399)</f>
        <v>0</v>
      </c>
      <c r="BM175" s="63" t="n">
        <f aca="false">COUNTIFS(Данные!$B$2:$B$722,92,Данные!$C$2:$C$722,2,Данные!$A$2:$A$722,"&gt;="&amp;7725127000,Данные!$A$2:$A$722,"&lt;="&amp;7725127999)</f>
        <v>0</v>
      </c>
      <c r="BN175" s="63" t="n">
        <f aca="false">COUNTIFS(Данные!$B$2:$B$722,92,Данные!$C$2:$C$722,2,Данные!$A$2:$A$722,"&gt;="&amp;7723772000,Данные!$A$2:$A$722,"&lt;="&amp;7723724999)</f>
        <v>0</v>
      </c>
      <c r="BO175" s="62" t="n">
        <f aca="false">COUNTIFS(Данные!$B$2:$B$722,92,Данные!$C$2:$C$722,2,Данные!$A$2:$A$722,"&gt;="&amp;7723765000,Данные!$A$2:$A$722,"&lt;="&amp;7723765499)</f>
        <v>0</v>
      </c>
      <c r="BP175" s="63" t="n">
        <f aca="false">COUNTIFS(Данные!$B$2:$B$722,92,Данные!$C$2:$C$722,2,Данные!$A$2:$A$722,"&gt;="&amp;7723948000,Данные!$A$2:$A$722,"&lt;="&amp;7723948999)</f>
        <v>0</v>
      </c>
      <c r="BQ175" s="63" t="n">
        <f aca="false">COUNTIFS(Данные!$B$2:$B$722,92,Данные!$C$2:$C$722,2,Данные!$A$2:$A$722,"&gt;="&amp;7723950000,Данные!$A$2:$A$722,"&lt;="&amp;7723951099)</f>
        <v>0</v>
      </c>
      <c r="BR175" s="63" t="n">
        <f aca="false">COUNTIFS(Данные!$B$2:$B$722,92,Данные!$C$2:$C$722,2,Данные!$A$2:$A$722,"&gt;="&amp;7723020000,Данные!$A$2:$A$722,"&lt;="&amp;7723020999)</f>
        <v>0</v>
      </c>
      <c r="BS175" s="63" t="n">
        <f aca="false">COUNTIFS(Данные!$B$2:$B$722,92,Данные!$C$2:$C$722,2,Данные!$A$2:$A$722,"&gt;="&amp;7723029000,Данные!$A$2:$A$722,"&lt;="&amp;7723029999)</f>
        <v>0</v>
      </c>
      <c r="BT175" s="63" t="n">
        <f aca="false">COUNTIFS(Данные!$B$2:$B$722,92,Данные!$C$2:$C$722,2,Данные!$A$2:$A$722,"&gt;="&amp;7723055000,Данные!$A$2:$A$722,"&lt;="&amp;7723056549)</f>
        <v>0</v>
      </c>
      <c r="BU175" s="62" t="n">
        <f aca="false">COUNTIFS(Данные!$B$2:$B$722,92,Данные!$C$2:$C$722,2,Данные!$A$2:$A$722,"&gt;="&amp;7725250000,Данные!$A$2:$A$722,"&lt;="&amp;7725250499)</f>
        <v>0</v>
      </c>
      <c r="BV175" s="63" t="n">
        <f aca="false">COUNTIFS(Данные!$B$2:$B$722,92,Данные!$C$2:$C$722,2,Данные!$A$2:$A$722,"&gt;="&amp;7183841400,Данные!$A$2:$A$722,"&lt;="&amp;7183841499)</f>
        <v>0</v>
      </c>
      <c r="BW175" s="40" t="n">
        <v>300</v>
      </c>
      <c r="BX175" s="64" t="n">
        <f aca="false">F175-BW175</f>
        <v>-300</v>
      </c>
    </row>
    <row r="176" customFormat="false" ht="13.5" hidden="false" customHeight="true" outlineLevel="0" collapsed="false">
      <c r="A176" s="55" t="s">
        <v>118</v>
      </c>
      <c r="B176" s="55"/>
      <c r="C176" s="55"/>
      <c r="D176" s="55"/>
      <c r="E176" s="68" t="n">
        <f aca="false">SUM(E5:E175)</f>
        <v>721</v>
      </c>
      <c r="F176" s="68" t="n">
        <f aca="false">SUM(F5:F175)</f>
        <v>721</v>
      </c>
      <c r="G176" s="68" t="n">
        <f aca="false">SUM(G5:G175)</f>
        <v>0</v>
      </c>
      <c r="H176" s="68" t="n">
        <f aca="false">SUM(H5:H175)</f>
        <v>0</v>
      </c>
      <c r="I176" s="68" t="n">
        <f aca="false">SUM(I5:I175)</f>
        <v>0</v>
      </c>
      <c r="J176" s="68" t="n">
        <f aca="false">SUM(J5:J175)</f>
        <v>0</v>
      </c>
      <c r="K176" s="68" t="n">
        <f aca="false">SUM(K5:K175)</f>
        <v>0</v>
      </c>
      <c r="L176" s="68" t="n">
        <f aca="false">SUM(L5:L175)</f>
        <v>0</v>
      </c>
      <c r="M176" s="68" t="n">
        <f aca="false">SUM(M5:M175)</f>
        <v>0</v>
      </c>
      <c r="N176" s="68" t="n">
        <f aca="false">SUM(N5:N175)</f>
        <v>0</v>
      </c>
      <c r="O176" s="68" t="n">
        <f aca="false">SUM(O5:O175)</f>
        <v>0</v>
      </c>
      <c r="P176" s="68" t="n">
        <f aca="false">SUM(P5:P175)</f>
        <v>0</v>
      </c>
      <c r="Q176" s="68" t="n">
        <f aca="false">SUM(Q5:Q175)</f>
        <v>0</v>
      </c>
      <c r="R176" s="68" t="n">
        <f aca="false">SUM(R5:R175)</f>
        <v>0</v>
      </c>
      <c r="S176" s="68" t="n">
        <f aca="false">SUM(S5:S175)</f>
        <v>246</v>
      </c>
      <c r="T176" s="68" t="n">
        <f aca="false">SUM(T5:T175)</f>
        <v>196</v>
      </c>
      <c r="U176" s="68" t="n">
        <f aca="false">SUM(U5:U175)</f>
        <v>0</v>
      </c>
      <c r="V176" s="68" t="n">
        <f aca="false">SUM(V5:V175)</f>
        <v>0</v>
      </c>
      <c r="W176" s="68" t="n">
        <f aca="false">SUM(W5:W175)</f>
        <v>0</v>
      </c>
      <c r="X176" s="68" t="n">
        <f aca="false">SUM(X5:X175)</f>
        <v>0</v>
      </c>
      <c r="Y176" s="68" t="n">
        <f aca="false">SUM(Y5:Y175)</f>
        <v>0</v>
      </c>
      <c r="Z176" s="68" t="n">
        <f aca="false">SUM(Z5:Z175)</f>
        <v>0</v>
      </c>
      <c r="AA176" s="68" t="n">
        <f aca="false">SUM(AA5:AA175)</f>
        <v>0</v>
      </c>
      <c r="AB176" s="68" t="n">
        <f aca="false">SUM(AB5:AB175)</f>
        <v>0</v>
      </c>
      <c r="AC176" s="68" t="n">
        <f aca="false">SUM(AC5:AC175)</f>
        <v>0</v>
      </c>
      <c r="AD176" s="68" t="n">
        <f aca="false">SUM(AD5:AD175)</f>
        <v>0</v>
      </c>
      <c r="AE176" s="68" t="n">
        <f aca="false">SUM(AE5:AE175)</f>
        <v>104</v>
      </c>
      <c r="AF176" s="68" t="n">
        <f aca="false">SUM(AF5:AF175)</f>
        <v>91</v>
      </c>
      <c r="AG176" s="68" t="n">
        <f aca="false">SUM(AG5:AG175)</f>
        <v>0</v>
      </c>
      <c r="AH176" s="68" t="n">
        <f aca="false">SUM(AH5:AH175)</f>
        <v>0</v>
      </c>
      <c r="AI176" s="68" t="n">
        <f aca="false">SUM(AI5:AI175)</f>
        <v>0</v>
      </c>
      <c r="AJ176" s="68" t="n">
        <f aca="false">SUM(AJ5:AJ175)</f>
        <v>0</v>
      </c>
      <c r="AK176" s="68" t="n">
        <f aca="false">SUM(AK5:AK175)</f>
        <v>0</v>
      </c>
      <c r="AL176" s="68" t="n">
        <f aca="false">SUM(AL5:AL175)</f>
        <v>0</v>
      </c>
      <c r="AM176" s="68" t="n">
        <f aca="false">SUM(AM5:AM175)</f>
        <v>0</v>
      </c>
      <c r="AN176" s="68" t="n">
        <f aca="false">SUM(AN5:AN175)</f>
        <v>0</v>
      </c>
      <c r="AO176" s="68" t="n">
        <f aca="false">SUM(AO5:AO175)</f>
        <v>0</v>
      </c>
      <c r="AP176" s="68" t="n">
        <f aca="false">SUM(AP5:AP175)</f>
        <v>0</v>
      </c>
      <c r="AQ176" s="68" t="n">
        <f aca="false">SUM(AQ5:AQ175)</f>
        <v>0</v>
      </c>
      <c r="AR176" s="68" t="n">
        <f aca="false">SUM(AR5:AR175)</f>
        <v>0</v>
      </c>
      <c r="AS176" s="68" t="n">
        <f aca="false">SUM(AS5:AS175)</f>
        <v>0</v>
      </c>
      <c r="AT176" s="68" t="n">
        <f aca="false">SUM(AT5:AT175)</f>
        <v>0</v>
      </c>
      <c r="AU176" s="68" t="n">
        <f aca="false">SUM(AU5:AU175)</f>
        <v>21</v>
      </c>
      <c r="AV176" s="68" t="n">
        <f aca="false">SUM(AV5:AV175)</f>
        <v>14</v>
      </c>
      <c r="AW176" s="68" t="n">
        <f aca="false">SUM(AW5:AW175)</f>
        <v>0</v>
      </c>
      <c r="AX176" s="68" t="n">
        <f aca="false">SUM(AX5:AX175)</f>
        <v>0</v>
      </c>
      <c r="AY176" s="68" t="n">
        <f aca="false">SUM(AY5:AY175)</f>
        <v>0</v>
      </c>
      <c r="AZ176" s="68" t="n">
        <f aca="false">SUM(AZ5:AZ175)</f>
        <v>0</v>
      </c>
      <c r="BA176" s="68" t="n">
        <f aca="false">SUM(BA5:BA175)</f>
        <v>0</v>
      </c>
      <c r="BB176" s="68" t="n">
        <f aca="false">SUM(BB5:BB175)</f>
        <v>0</v>
      </c>
      <c r="BC176" s="68" t="n">
        <f aca="false">SUM(BC5:BC175)</f>
        <v>0</v>
      </c>
      <c r="BD176" s="68" t="n">
        <f aca="false">SUM(BD5:BD175)</f>
        <v>0</v>
      </c>
      <c r="BE176" s="68" t="n">
        <f aca="false">SUM(BE5:BE175)</f>
        <v>0</v>
      </c>
      <c r="BF176" s="68" t="n">
        <f aca="false">SUM(BF5:BF175)</f>
        <v>0</v>
      </c>
      <c r="BG176" s="68" t="n">
        <f aca="false">SUM(BG5:BG175)</f>
        <v>0</v>
      </c>
      <c r="BH176" s="68" t="n">
        <f aca="false">SUM(BH5:BH175)</f>
        <v>0</v>
      </c>
      <c r="BI176" s="68" t="n">
        <f aca="false">SUM(BI5:BI175)</f>
        <v>0</v>
      </c>
      <c r="BJ176" s="68" t="n">
        <f aca="false">SUM(BJ5:BJ175)</f>
        <v>0</v>
      </c>
      <c r="BK176" s="68" t="n">
        <f aca="false">SUM(BK5:BK175)</f>
        <v>0</v>
      </c>
      <c r="BL176" s="68" t="n">
        <f aca="false">SUM(BL5:BL175)</f>
        <v>0</v>
      </c>
      <c r="BM176" s="68" t="n">
        <f aca="false">SUM(BM5:BM175)</f>
        <v>0</v>
      </c>
      <c r="BN176" s="68" t="n">
        <f aca="false">SUM(BN5:BN175)</f>
        <v>0</v>
      </c>
      <c r="BO176" s="68" t="n">
        <f aca="false">SUM(BO5:BO175)</f>
        <v>0</v>
      </c>
      <c r="BP176" s="68" t="n">
        <f aca="false">SUM(BP5:BP175)</f>
        <v>0</v>
      </c>
      <c r="BQ176" s="68" t="n">
        <f aca="false">SUM(BQ5:BQ175)</f>
        <v>0</v>
      </c>
      <c r="BR176" s="68" t="n">
        <f aca="false">SUM(BR5:BR175)</f>
        <v>0</v>
      </c>
      <c r="BS176" s="68" t="n">
        <f aca="false">SUM(BS5:BS175)</f>
        <v>0</v>
      </c>
      <c r="BT176" s="68" t="n">
        <f aca="false">SUM(BT5:BT175)</f>
        <v>0</v>
      </c>
      <c r="BU176" s="68" t="n">
        <f aca="false">SUM(BU5:BU175)</f>
        <v>0</v>
      </c>
      <c r="BV176" s="68" t="n">
        <f aca="false">SUM(BV5:BV175)</f>
        <v>0</v>
      </c>
      <c r="BW176" s="68"/>
      <c r="BX176" s="68"/>
    </row>
  </sheetData>
  <mergeCells count="196">
    <mergeCell ref="A2:A4"/>
    <mergeCell ref="B2:B4"/>
    <mergeCell ref="C2:C4"/>
    <mergeCell ref="D2:D4"/>
    <mergeCell ref="E2:E4"/>
    <mergeCell ref="F2:F4"/>
    <mergeCell ref="G2:J2"/>
    <mergeCell ref="N2:R2"/>
    <mergeCell ref="U2:W2"/>
    <mergeCell ref="X2:Z2"/>
    <mergeCell ref="AB2:AC2"/>
    <mergeCell ref="AE2:AF2"/>
    <mergeCell ref="AG2:AH2"/>
    <mergeCell ref="AI2:AJ2"/>
    <mergeCell ref="AL2:AM2"/>
    <mergeCell ref="AN2:AP2"/>
    <mergeCell ref="AQ2:AR2"/>
    <mergeCell ref="AS2:AT2"/>
    <mergeCell ref="AU2:AV2"/>
    <mergeCell ref="AW2:AY2"/>
    <mergeCell ref="AZ2:BI2"/>
    <mergeCell ref="BN2:BO2"/>
    <mergeCell ref="BW2:BW4"/>
    <mergeCell ref="BX2:BX4"/>
    <mergeCell ref="A5:A7"/>
    <mergeCell ref="B5:B7"/>
    <mergeCell ref="E5:E7"/>
    <mergeCell ref="A8:A10"/>
    <mergeCell ref="B8:B10"/>
    <mergeCell ref="E8:E10"/>
    <mergeCell ref="A11:A13"/>
    <mergeCell ref="B11:B13"/>
    <mergeCell ref="E11:E13"/>
    <mergeCell ref="A14:A16"/>
    <mergeCell ref="B14:B16"/>
    <mergeCell ref="E14:E16"/>
    <mergeCell ref="A17:A19"/>
    <mergeCell ref="B17:B19"/>
    <mergeCell ref="E17:E19"/>
    <mergeCell ref="A20:A22"/>
    <mergeCell ref="B20:B22"/>
    <mergeCell ref="E20:E22"/>
    <mergeCell ref="A23:A25"/>
    <mergeCell ref="B23:B25"/>
    <mergeCell ref="E23:E25"/>
    <mergeCell ref="A26:A28"/>
    <mergeCell ref="B26:B28"/>
    <mergeCell ref="E26:E28"/>
    <mergeCell ref="A29:A31"/>
    <mergeCell ref="B29:B31"/>
    <mergeCell ref="E29:E31"/>
    <mergeCell ref="A32:A34"/>
    <mergeCell ref="B32:B34"/>
    <mergeCell ref="E32:E34"/>
    <mergeCell ref="A35:A37"/>
    <mergeCell ref="B35:B37"/>
    <mergeCell ref="E35:E37"/>
    <mergeCell ref="A38:A40"/>
    <mergeCell ref="B38:B40"/>
    <mergeCell ref="E38:E40"/>
    <mergeCell ref="A41:A43"/>
    <mergeCell ref="B41:B43"/>
    <mergeCell ref="E41:E43"/>
    <mergeCell ref="A44:A46"/>
    <mergeCell ref="B44:B46"/>
    <mergeCell ref="E44:E46"/>
    <mergeCell ref="A47:A49"/>
    <mergeCell ref="B47:B49"/>
    <mergeCell ref="E47:E49"/>
    <mergeCell ref="A50:A52"/>
    <mergeCell ref="B50:B52"/>
    <mergeCell ref="E50:E52"/>
    <mergeCell ref="A53:A55"/>
    <mergeCell ref="B53:B55"/>
    <mergeCell ref="E53:E55"/>
    <mergeCell ref="A56:A58"/>
    <mergeCell ref="B56:B58"/>
    <mergeCell ref="E56:E58"/>
    <mergeCell ref="A59:A61"/>
    <mergeCell ref="B59:B61"/>
    <mergeCell ref="E59:E61"/>
    <mergeCell ref="A62:A64"/>
    <mergeCell ref="B62:B64"/>
    <mergeCell ref="E62:E64"/>
    <mergeCell ref="A65:A67"/>
    <mergeCell ref="B65:B67"/>
    <mergeCell ref="E65:E67"/>
    <mergeCell ref="A68:A70"/>
    <mergeCell ref="B68:B70"/>
    <mergeCell ref="E68:E70"/>
    <mergeCell ref="A71:A73"/>
    <mergeCell ref="B71:B73"/>
    <mergeCell ref="E71:E73"/>
    <mergeCell ref="A74:A76"/>
    <mergeCell ref="B74:B76"/>
    <mergeCell ref="E74:E76"/>
    <mergeCell ref="A77:A79"/>
    <mergeCell ref="B77:B79"/>
    <mergeCell ref="E77:E79"/>
    <mergeCell ref="A80:A82"/>
    <mergeCell ref="B80:B82"/>
    <mergeCell ref="E80:E82"/>
    <mergeCell ref="A83:A85"/>
    <mergeCell ref="B83:B85"/>
    <mergeCell ref="E83:E85"/>
    <mergeCell ref="A86:A88"/>
    <mergeCell ref="B86:B88"/>
    <mergeCell ref="E86:E88"/>
    <mergeCell ref="A89:A91"/>
    <mergeCell ref="B89:B91"/>
    <mergeCell ref="E89:E91"/>
    <mergeCell ref="A92:A94"/>
    <mergeCell ref="B92:B94"/>
    <mergeCell ref="E92:E94"/>
    <mergeCell ref="A95:A97"/>
    <mergeCell ref="B95:B97"/>
    <mergeCell ref="E95:E97"/>
    <mergeCell ref="A98:A100"/>
    <mergeCell ref="B98:B100"/>
    <mergeCell ref="E98:E100"/>
    <mergeCell ref="A101:A103"/>
    <mergeCell ref="B101:B103"/>
    <mergeCell ref="E101:E103"/>
    <mergeCell ref="A104:A106"/>
    <mergeCell ref="B104:B106"/>
    <mergeCell ref="E104:E106"/>
    <mergeCell ref="A107:A109"/>
    <mergeCell ref="B107:B109"/>
    <mergeCell ref="E107:E109"/>
    <mergeCell ref="A110:A112"/>
    <mergeCell ref="B110:B112"/>
    <mergeCell ref="E110:E112"/>
    <mergeCell ref="A113:A115"/>
    <mergeCell ref="B113:B115"/>
    <mergeCell ref="E113:E115"/>
    <mergeCell ref="A116:A118"/>
    <mergeCell ref="B116:B118"/>
    <mergeCell ref="E116:E118"/>
    <mergeCell ref="A119:A121"/>
    <mergeCell ref="B119:B121"/>
    <mergeCell ref="E119:E121"/>
    <mergeCell ref="A122:A124"/>
    <mergeCell ref="B122:B124"/>
    <mergeCell ref="E122:E124"/>
    <mergeCell ref="A125:A127"/>
    <mergeCell ref="B125:B127"/>
    <mergeCell ref="E125:E127"/>
    <mergeCell ref="A128:A130"/>
    <mergeCell ref="B128:B130"/>
    <mergeCell ref="E128:E130"/>
    <mergeCell ref="A131:A133"/>
    <mergeCell ref="B131:B133"/>
    <mergeCell ref="E131:E133"/>
    <mergeCell ref="A134:A136"/>
    <mergeCell ref="B134:B136"/>
    <mergeCell ref="E134:E136"/>
    <mergeCell ref="A137:A139"/>
    <mergeCell ref="B137:B139"/>
    <mergeCell ref="E137:E139"/>
    <mergeCell ref="A140:A142"/>
    <mergeCell ref="B140:B142"/>
    <mergeCell ref="E140:E142"/>
    <mergeCell ref="A143:A145"/>
    <mergeCell ref="B143:B145"/>
    <mergeCell ref="E143:E145"/>
    <mergeCell ref="A146:A148"/>
    <mergeCell ref="B146:B148"/>
    <mergeCell ref="E146:E148"/>
    <mergeCell ref="A149:A151"/>
    <mergeCell ref="B149:B151"/>
    <mergeCell ref="E149:E151"/>
    <mergeCell ref="A152:A154"/>
    <mergeCell ref="B152:B154"/>
    <mergeCell ref="E152:E154"/>
    <mergeCell ref="A155:A157"/>
    <mergeCell ref="B155:B157"/>
    <mergeCell ref="E155:E157"/>
    <mergeCell ref="A158:A160"/>
    <mergeCell ref="B158:B160"/>
    <mergeCell ref="E158:E160"/>
    <mergeCell ref="A161:A163"/>
    <mergeCell ref="B161:B163"/>
    <mergeCell ref="E161:E163"/>
    <mergeCell ref="A164:A166"/>
    <mergeCell ref="B164:B166"/>
    <mergeCell ref="E164:E166"/>
    <mergeCell ref="A167:A169"/>
    <mergeCell ref="B167:B169"/>
    <mergeCell ref="E167:E169"/>
    <mergeCell ref="A170:A172"/>
    <mergeCell ref="B170:B172"/>
    <mergeCell ref="E170:E172"/>
    <mergeCell ref="A173:A175"/>
    <mergeCell ref="B173:B175"/>
    <mergeCell ref="E173:E175"/>
    <mergeCell ref="A176:D176"/>
  </mergeCells>
  <conditionalFormatting sqref="AZ3:BN4 BP3:BT4 BV3:BV4">
    <cfRule type="duplicateValues" priority="2" aboveAverage="0" equalAverage="0" bottom="0" percent="0" rank="0" text="" dxfId="4"/>
    <cfRule type="duplicateValues" priority="3" aboveAverage="0" equalAverage="0" bottom="0" percent="0" rank="0" text="" dxfId="4"/>
  </conditionalFormatting>
  <conditionalFormatting sqref="AL5:AL175">
    <cfRule type="cellIs" priority="4" operator="greaterThan" aboveAverage="0" equalAverage="0" bottom="0" percent="0" rank="0" text="" dxfId="5">
      <formula>0</formula>
    </cfRule>
  </conditionalFormatting>
  <conditionalFormatting sqref="AL8:AL10 AL14:AL16 AL20:AL22 AL26:AL28 AL32:AL34 AL38:AL175 BX5:BX175">
    <cfRule type="cellIs" priority="5" operator="lessThan" aboveAverage="0" equalAverage="0" bottom="0" percent="0" rank="0" text="" dxfId="0">
      <formula>0</formula>
    </cfRule>
  </conditionalFormatting>
  <conditionalFormatting sqref="AL5:AL7 AL11:AL13 AL17:AL19 AL23:AL25 AL29:AL31 AL35:AL175">
    <cfRule type="cellIs" priority="6" operator="lessThan" aboveAverage="0" equalAverage="0" bottom="0" percent="0" rank="0" text="" dxfId="1">
      <formula>0</formula>
    </cfRule>
  </conditionalFormatting>
  <conditionalFormatting sqref="G8:BJ10 G14:BJ16 G20:BJ22 G26:BV28 G32:BJ34 G38:BJ175 G175:BV175 AZ5:BN175 BO8:BO10 BO14:BO16 BO20:BO22 BO32:BO34 BO38:BO175 BP5:BT175 BU8:BU10 BU14:BU16 BU20:BU22 BU32:BU34 BU38:BU175 BV5:BV175">
    <cfRule type="cellIs" priority="7" operator="equal" aboveAverage="0" equalAverage="0" bottom="0" percent="0" rank="0" text="" dxfId="0">
      <formula>0</formula>
    </cfRule>
  </conditionalFormatting>
  <conditionalFormatting sqref="G5:BV175">
    <cfRule type="cellIs" priority="8" operator="equal" aboveAverage="0" equalAverage="0" bottom="0" percent="0" rank="0" text="" dxfId="1">
      <formula>0</formula>
    </cfRule>
  </conditionalFormatting>
  <conditionalFormatting sqref="G3:AJ4 BO3:BO4 BU3:BU4">
    <cfRule type="duplicateValues" priority="9" aboveAverage="0" equalAverage="0" bottom="0" percent="0" rank="0" text="" dxfId="4"/>
  </conditionalFormatting>
  <conditionalFormatting sqref="G3:BV4">
    <cfRule type="duplicateValues" priority="10" aboveAverage="0" equalAverage="0" bottom="0" percent="0" rank="0" text="" dxfId="4"/>
    <cfRule type="duplicateValues" priority="11" aboveAverage="0" equalAverage="0" bottom="0" percent="0" rank="0" text="" dxfId="4"/>
  </conditionalFormatting>
  <printOptions headings="false" gridLines="false" gridLinesSet="true" horizontalCentered="false" verticalCentered="false"/>
  <pageMargins left="0.590277777777778" right="0.39375" top="0.39375" bottom="0.1965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X23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H25" activeCellId="0" sqref="H25"/>
    </sheetView>
  </sheetViews>
  <sheetFormatPr defaultColWidth="9.1484375" defaultRowHeight="11.25" zeroHeight="false" outlineLevelRow="0" outlineLevelCol="0"/>
  <cols>
    <col collapsed="false" customWidth="true" hidden="false" outlineLevel="0" max="1" min="1" style="69" width="6"/>
    <col collapsed="false" customWidth="true" hidden="false" outlineLevel="0" max="2" min="2" style="69" width="9.57"/>
    <col collapsed="false" customWidth="true" hidden="false" outlineLevel="0" max="4" min="3" style="70" width="4.42"/>
    <col collapsed="false" customWidth="true" hidden="false" outlineLevel="0" max="5" min="5" style="69" width="4.57"/>
    <col collapsed="false" customWidth="true" hidden="false" outlineLevel="0" max="18" min="6" style="69" width="4.71"/>
    <col collapsed="false" customWidth="false" hidden="false" outlineLevel="0" max="19" min="19" style="69" width="9.14"/>
    <col collapsed="false" customWidth="true" hidden="false" outlineLevel="0" max="21" min="20" style="69" width="11"/>
    <col collapsed="false" customWidth="false" hidden="false" outlineLevel="0" max="16384" min="22" style="69" width="9.14"/>
  </cols>
  <sheetData>
    <row r="1" customFormat="false" ht="20.25" hidden="false" customHeight="true" outlineLevel="0" collapsed="false">
      <c r="A1" s="71" t="s">
        <v>119</v>
      </c>
    </row>
    <row r="2" customFormat="false" ht="54" hidden="false" customHeight="true" outlineLevel="0" collapsed="false">
      <c r="A2" s="72" t="s">
        <v>11</v>
      </c>
      <c r="B2" s="72" t="s">
        <v>12</v>
      </c>
      <c r="C2" s="73" t="s">
        <v>13</v>
      </c>
      <c r="D2" s="36"/>
      <c r="E2" s="74" t="s">
        <v>14</v>
      </c>
      <c r="F2" s="74" t="s">
        <v>15</v>
      </c>
      <c r="G2" s="24" t="s">
        <v>16</v>
      </c>
      <c r="H2" s="24"/>
      <c r="I2" s="24"/>
      <c r="J2" s="24"/>
      <c r="K2" s="24" t="s">
        <v>17</v>
      </c>
      <c r="L2" s="24" t="s">
        <v>18</v>
      </c>
      <c r="M2" s="24" t="s">
        <v>19</v>
      </c>
      <c r="N2" s="24" t="s">
        <v>20</v>
      </c>
      <c r="O2" s="24"/>
      <c r="P2" s="24"/>
      <c r="Q2" s="24"/>
      <c r="R2" s="24"/>
      <c r="S2" s="22" t="s">
        <v>21</v>
      </c>
      <c r="T2" s="22" t="s">
        <v>22</v>
      </c>
      <c r="U2" s="24" t="s">
        <v>23</v>
      </c>
      <c r="V2" s="24"/>
      <c r="W2" s="24"/>
      <c r="X2" s="24" t="s">
        <v>24</v>
      </c>
      <c r="Y2" s="24"/>
      <c r="Z2" s="24"/>
      <c r="AA2" s="22" t="s">
        <v>25</v>
      </c>
      <c r="AB2" s="22" t="s">
        <v>26</v>
      </c>
      <c r="AC2" s="22"/>
      <c r="AD2" s="24" t="s">
        <v>27</v>
      </c>
      <c r="AE2" s="24" t="s">
        <v>28</v>
      </c>
      <c r="AF2" s="24"/>
      <c r="AG2" s="24" t="s">
        <v>29</v>
      </c>
      <c r="AH2" s="24"/>
      <c r="AI2" s="24" t="s">
        <v>30</v>
      </c>
      <c r="AJ2" s="24"/>
      <c r="AK2" s="26" t="s">
        <v>31</v>
      </c>
      <c r="AL2" s="24" t="s">
        <v>32</v>
      </c>
      <c r="AM2" s="24"/>
      <c r="AN2" s="24" t="s">
        <v>33</v>
      </c>
      <c r="AO2" s="24"/>
      <c r="AP2" s="24"/>
      <c r="AQ2" s="24" t="s">
        <v>34</v>
      </c>
      <c r="AR2" s="24"/>
      <c r="AS2" s="24" t="s">
        <v>35</v>
      </c>
      <c r="AT2" s="24"/>
      <c r="AU2" s="24" t="s">
        <v>36</v>
      </c>
      <c r="AV2" s="24"/>
      <c r="AW2" s="24" t="s">
        <v>37</v>
      </c>
      <c r="AX2" s="24"/>
      <c r="AY2" s="24"/>
      <c r="AZ2" s="27" t="s">
        <v>38</v>
      </c>
      <c r="BA2" s="27"/>
      <c r="BB2" s="27"/>
      <c r="BC2" s="27"/>
      <c r="BD2" s="27"/>
      <c r="BE2" s="27"/>
      <c r="BF2" s="27"/>
      <c r="BG2" s="27"/>
      <c r="BH2" s="27"/>
      <c r="BI2" s="27"/>
      <c r="BJ2" s="28" t="s">
        <v>39</v>
      </c>
      <c r="BK2" s="28" t="s">
        <v>40</v>
      </c>
      <c r="BL2" s="24" t="s">
        <v>120</v>
      </c>
      <c r="BM2" s="28" t="s">
        <v>42</v>
      </c>
      <c r="BN2" s="28" t="s">
        <v>43</v>
      </c>
      <c r="BO2" s="28" t="s">
        <v>44</v>
      </c>
      <c r="BP2" s="28" t="s">
        <v>45</v>
      </c>
      <c r="BQ2" s="28" t="s">
        <v>45</v>
      </c>
      <c r="BR2" s="28" t="s">
        <v>46</v>
      </c>
      <c r="BS2" s="28" t="s">
        <v>46</v>
      </c>
      <c r="BT2" s="28" t="s">
        <v>46</v>
      </c>
      <c r="BU2" s="24" t="s">
        <v>121</v>
      </c>
      <c r="BV2" s="28" t="s">
        <v>48</v>
      </c>
      <c r="BW2" s="29" t="s">
        <v>49</v>
      </c>
      <c r="BX2" s="30"/>
    </row>
    <row r="3" customFormat="false" ht="71.25" hidden="false" customHeight="true" outlineLevel="0" collapsed="false">
      <c r="A3" s="72"/>
      <c r="B3" s="72"/>
      <c r="C3" s="72"/>
      <c r="D3" s="75"/>
      <c r="E3" s="74"/>
      <c r="F3" s="74"/>
      <c r="G3" s="32" t="n">
        <v>77232216999</v>
      </c>
      <c r="H3" s="32" t="n">
        <v>77232519487</v>
      </c>
      <c r="I3" s="32" t="n">
        <v>77232529999</v>
      </c>
      <c r="J3" s="32" t="n">
        <v>77232544999</v>
      </c>
      <c r="K3" s="33" t="n">
        <v>77232296999</v>
      </c>
      <c r="L3" s="33" t="n">
        <v>77232789999</v>
      </c>
      <c r="M3" s="33" t="n">
        <v>77233155999</v>
      </c>
      <c r="N3" s="33" t="n">
        <v>77233235999</v>
      </c>
      <c r="O3" s="33" t="n">
        <v>77233239999</v>
      </c>
      <c r="P3" s="33" t="n">
        <v>772332772399</v>
      </c>
      <c r="Q3" s="33" t="n">
        <v>77233292999</v>
      </c>
      <c r="R3" s="33" t="n">
        <v>77233298399</v>
      </c>
      <c r="S3" s="33" t="n">
        <v>77235128499</v>
      </c>
      <c r="T3" s="33" t="n">
        <v>77235320999</v>
      </c>
      <c r="U3" s="34" t="n">
        <v>77233623339</v>
      </c>
      <c r="V3" s="33" t="n">
        <v>77233630999</v>
      </c>
      <c r="W3" s="33" t="n">
        <v>77233637599</v>
      </c>
      <c r="X3" s="33" t="n">
        <v>77233550999</v>
      </c>
      <c r="Y3" s="33" t="n">
        <v>77233554999</v>
      </c>
      <c r="Z3" s="33" t="n">
        <v>77233556999</v>
      </c>
      <c r="AA3" s="33" t="n">
        <v>77233726999</v>
      </c>
      <c r="AB3" s="33" t="n">
        <v>77233820999</v>
      </c>
      <c r="AC3" s="33" t="n">
        <v>77233850999</v>
      </c>
      <c r="AD3" s="33" t="n">
        <v>77233420999</v>
      </c>
      <c r="AE3" s="33" t="n">
        <v>77234742999</v>
      </c>
      <c r="AF3" s="33" t="n">
        <v>77234767999</v>
      </c>
      <c r="AG3" s="33" t="n">
        <v>77234120999</v>
      </c>
      <c r="AH3" s="33" t="n">
        <v>77234127999</v>
      </c>
      <c r="AI3" s="33" t="n">
        <v>77234220999</v>
      </c>
      <c r="AJ3" s="33" t="n">
        <v>77234250999</v>
      </c>
      <c r="AK3" s="35" t="n">
        <v>77233924999</v>
      </c>
      <c r="AL3" s="35" t="n">
        <v>77234320999</v>
      </c>
      <c r="AM3" s="35" t="n">
        <v>77234350999</v>
      </c>
      <c r="AN3" s="35" t="n">
        <v>77234020999</v>
      </c>
      <c r="AO3" s="35" t="n">
        <v>77234029999</v>
      </c>
      <c r="AP3" s="35" t="n">
        <v>77234050999</v>
      </c>
      <c r="AQ3" s="35" t="n">
        <v>77234428999</v>
      </c>
      <c r="AR3" s="35" t="n">
        <v>77234450999</v>
      </c>
      <c r="AS3" s="35" t="n">
        <v>77234620999</v>
      </c>
      <c r="AT3" s="35" t="n">
        <v>77234650999</v>
      </c>
      <c r="AU3" s="35" t="n">
        <v>77234820999</v>
      </c>
      <c r="AV3" s="35" t="n">
        <v>77234850999</v>
      </c>
      <c r="AW3" s="35" t="n">
        <v>77233327999</v>
      </c>
      <c r="AX3" s="35" t="n">
        <v>77233350599</v>
      </c>
      <c r="AY3" s="35" t="n">
        <v>77233351999</v>
      </c>
      <c r="AZ3" s="36" t="n">
        <v>77222440999</v>
      </c>
      <c r="BA3" s="36" t="n">
        <v>77222445659</v>
      </c>
      <c r="BB3" s="36" t="n">
        <v>77222450199</v>
      </c>
      <c r="BC3" s="36" t="n">
        <v>77222451374</v>
      </c>
      <c r="BD3" s="36" t="n">
        <v>77222452299</v>
      </c>
      <c r="BE3" s="36" t="n">
        <v>77222453816</v>
      </c>
      <c r="BF3" s="36" t="n">
        <v>77222454099</v>
      </c>
      <c r="BG3" s="36" t="n">
        <v>77222458999</v>
      </c>
      <c r="BH3" s="36" t="n">
        <v>77222638549</v>
      </c>
      <c r="BI3" s="36" t="n">
        <v>77222639899</v>
      </c>
      <c r="BJ3" s="37" t="n">
        <v>77225750399</v>
      </c>
      <c r="BK3" s="37" t="n">
        <v>77223724999</v>
      </c>
      <c r="BL3" s="33" t="n">
        <v>77223765499</v>
      </c>
      <c r="BM3" s="37" t="n">
        <v>77223621299</v>
      </c>
      <c r="BN3" s="37" t="n">
        <v>77223623399</v>
      </c>
      <c r="BO3" s="37" t="n">
        <v>77225127999</v>
      </c>
      <c r="BP3" s="37" t="n">
        <v>77223948999</v>
      </c>
      <c r="BQ3" s="37" t="n">
        <v>77223951099</v>
      </c>
      <c r="BR3" s="37" t="n">
        <v>77223020999</v>
      </c>
      <c r="BS3" s="37" t="n">
        <v>77223029999</v>
      </c>
      <c r="BT3" s="37" t="n">
        <v>77223056549</v>
      </c>
      <c r="BU3" s="33" t="n">
        <v>77225250499</v>
      </c>
      <c r="BV3" s="37" t="n">
        <v>7183841499</v>
      </c>
      <c r="BW3" s="29"/>
      <c r="BX3" s="30"/>
    </row>
    <row r="4" customFormat="false" ht="63.75" hidden="false" customHeight="true" outlineLevel="0" collapsed="false">
      <c r="A4" s="72"/>
      <c r="B4" s="72"/>
      <c r="C4" s="72"/>
      <c r="D4" s="75"/>
      <c r="E4" s="74"/>
      <c r="F4" s="74"/>
      <c r="G4" s="32" t="n">
        <v>77232210840</v>
      </c>
      <c r="H4" s="32" t="n">
        <v>77232510512</v>
      </c>
      <c r="I4" s="32" t="n">
        <v>77232524160</v>
      </c>
      <c r="J4" s="32" t="n">
        <v>77232544000</v>
      </c>
      <c r="K4" s="33" t="n">
        <v>77232295504</v>
      </c>
      <c r="L4" s="33" t="n">
        <v>77232785000</v>
      </c>
      <c r="M4" s="33" t="n">
        <v>77233150000</v>
      </c>
      <c r="N4" s="33" t="n">
        <v>77233235000</v>
      </c>
      <c r="O4" s="33" t="n">
        <v>77233239000</v>
      </c>
      <c r="P4" s="33" t="n">
        <v>77233272000</v>
      </c>
      <c r="Q4" s="33" t="n">
        <v>77233291100</v>
      </c>
      <c r="R4" s="33" t="n">
        <v>77233297000</v>
      </c>
      <c r="S4" s="33" t="n">
        <v>77235124000</v>
      </c>
      <c r="T4" s="33" t="n">
        <v>77235320000</v>
      </c>
      <c r="U4" s="34" t="n">
        <v>77233620000</v>
      </c>
      <c r="V4" s="33" t="n">
        <v>77233630000</v>
      </c>
      <c r="W4" s="33" t="n">
        <v>77233637000</v>
      </c>
      <c r="X4" s="33" t="n">
        <v>77233550000</v>
      </c>
      <c r="Y4" s="33" t="n">
        <v>77233554000</v>
      </c>
      <c r="Z4" s="33" t="n">
        <v>77233555000</v>
      </c>
      <c r="AA4" s="33" t="n">
        <v>77233726000</v>
      </c>
      <c r="AB4" s="33" t="n">
        <v>77233820000</v>
      </c>
      <c r="AC4" s="33" t="n">
        <v>77233850000</v>
      </c>
      <c r="AD4" s="33" t="n">
        <v>77233420000</v>
      </c>
      <c r="AE4" s="33" t="n">
        <v>77234740000</v>
      </c>
      <c r="AF4" s="33" t="n">
        <v>77234767000</v>
      </c>
      <c r="AG4" s="33" t="n">
        <v>77234120000</v>
      </c>
      <c r="AH4" s="33" t="n">
        <v>77234127000</v>
      </c>
      <c r="AI4" s="33" t="n">
        <v>77234220000</v>
      </c>
      <c r="AJ4" s="33" t="n">
        <v>77234250000</v>
      </c>
      <c r="AK4" s="35" t="n">
        <v>77233922950</v>
      </c>
      <c r="AL4" s="35" t="n">
        <v>77234320000</v>
      </c>
      <c r="AM4" s="35" t="n">
        <v>77234350000</v>
      </c>
      <c r="AN4" s="35" t="n">
        <v>77234020000</v>
      </c>
      <c r="AO4" s="35" t="n">
        <v>77234029000</v>
      </c>
      <c r="AP4" s="35" t="n">
        <v>77234050000</v>
      </c>
      <c r="AQ4" s="35" t="n">
        <v>77234427000</v>
      </c>
      <c r="AR4" s="35" t="n">
        <v>77234450000</v>
      </c>
      <c r="AS4" s="35" t="n">
        <v>77234620000</v>
      </c>
      <c r="AT4" s="35" t="n">
        <v>77234650000</v>
      </c>
      <c r="AU4" s="35" t="n">
        <v>77234820000</v>
      </c>
      <c r="AV4" s="35" t="n">
        <v>77234850000</v>
      </c>
      <c r="AW4" s="35" t="n">
        <v>77233327000</v>
      </c>
      <c r="AX4" s="35" t="n">
        <v>77233350000</v>
      </c>
      <c r="AY4" s="35" t="n">
        <v>77233351000</v>
      </c>
      <c r="AZ4" s="36" t="n">
        <v>77222440000</v>
      </c>
      <c r="BA4" s="36" t="n">
        <v>77222442000</v>
      </c>
      <c r="BB4" s="36" t="n">
        <v>77222450000</v>
      </c>
      <c r="BC4" s="36" t="n">
        <v>77222451000</v>
      </c>
      <c r="BD4" s="36" t="n">
        <v>77222452000</v>
      </c>
      <c r="BE4" s="36" t="n">
        <v>77222453000</v>
      </c>
      <c r="BF4" s="36" t="n">
        <v>77222454000</v>
      </c>
      <c r="BG4" s="36" t="n">
        <v>77222458000</v>
      </c>
      <c r="BH4" s="36" t="n">
        <v>77222630000</v>
      </c>
      <c r="BI4" s="36" t="n">
        <v>77222639400</v>
      </c>
      <c r="BJ4" s="37" t="n">
        <v>77225750000</v>
      </c>
      <c r="BK4" s="37" t="n">
        <v>772237722000</v>
      </c>
      <c r="BL4" s="33" t="n">
        <v>77223765000</v>
      </c>
      <c r="BM4" s="37" t="n">
        <v>77223620000</v>
      </c>
      <c r="BN4" s="37" t="n">
        <v>77223621600</v>
      </c>
      <c r="BO4" s="37" t="n">
        <v>77225127000</v>
      </c>
      <c r="BP4" s="37" t="n">
        <v>77223948000</v>
      </c>
      <c r="BQ4" s="37" t="n">
        <v>77223950000</v>
      </c>
      <c r="BR4" s="37" t="n">
        <v>77223020000</v>
      </c>
      <c r="BS4" s="37" t="n">
        <v>77223029000</v>
      </c>
      <c r="BT4" s="37" t="n">
        <v>77223055000</v>
      </c>
      <c r="BU4" s="33" t="n">
        <v>77225250000</v>
      </c>
      <c r="BV4" s="37" t="n">
        <v>7183841400</v>
      </c>
      <c r="BW4" s="29"/>
      <c r="BX4" s="30"/>
    </row>
    <row r="5" customFormat="false" ht="11.25" hidden="false" customHeight="false" outlineLevel="0" collapsed="false">
      <c r="A5" s="52" t="n">
        <v>2</v>
      </c>
      <c r="B5" s="76" t="s">
        <v>122</v>
      </c>
      <c r="C5" s="52" t="n">
        <v>0</v>
      </c>
      <c r="D5" s="52" t="n">
        <v>20</v>
      </c>
      <c r="E5" s="77" t="n">
        <f aca="false">SUM(F5:F7)</f>
        <v>0</v>
      </c>
      <c r="F5" s="78" t="n">
        <f aca="false">SUM(G5:BV5)</f>
        <v>0</v>
      </c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0"/>
      <c r="BK5" s="50"/>
      <c r="BL5" s="50"/>
      <c r="BM5" s="50"/>
      <c r="BN5" s="50"/>
      <c r="BO5" s="50"/>
      <c r="BP5" s="50"/>
      <c r="BQ5" s="50"/>
      <c r="BR5" s="50"/>
      <c r="BS5" s="50"/>
      <c r="BT5" s="50"/>
      <c r="BU5" s="50"/>
      <c r="BV5" s="50"/>
      <c r="BW5" s="53" t="n">
        <v>780</v>
      </c>
      <c r="BX5" s="54" t="n">
        <f aca="false">AO5-BW5</f>
        <v>-780</v>
      </c>
    </row>
    <row r="6" customFormat="false" ht="11.25" hidden="false" customHeight="false" outlineLevel="0" collapsed="false">
      <c r="A6" s="52"/>
      <c r="B6" s="52"/>
      <c r="C6" s="52" t="n">
        <v>1</v>
      </c>
      <c r="D6" s="52" t="n">
        <v>21</v>
      </c>
      <c r="E6" s="77"/>
      <c r="F6" s="78" t="n">
        <f aca="false">SUM(G6:BV6)</f>
        <v>0</v>
      </c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3" t="n">
        <v>780</v>
      </c>
      <c r="BX6" s="54" t="n">
        <f aca="false">AO6-BW6</f>
        <v>-780</v>
      </c>
    </row>
    <row r="7" customFormat="false" ht="11.25" hidden="false" customHeight="false" outlineLevel="0" collapsed="false">
      <c r="A7" s="52"/>
      <c r="B7" s="52"/>
      <c r="C7" s="52" t="n">
        <v>2</v>
      </c>
      <c r="D7" s="52" t="n">
        <v>22</v>
      </c>
      <c r="E7" s="77"/>
      <c r="F7" s="78" t="n">
        <f aca="false">SUM(G7:BV7)</f>
        <v>0</v>
      </c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3" t="n">
        <v>780</v>
      </c>
      <c r="BX7" s="54" t="n">
        <f aca="false">AO7-BW7</f>
        <v>-780</v>
      </c>
    </row>
    <row r="8" customFormat="false" ht="11.25" hidden="false" customHeight="false" outlineLevel="0" collapsed="false">
      <c r="A8" s="43" t="n">
        <v>3</v>
      </c>
      <c r="B8" s="79" t="s">
        <v>123</v>
      </c>
      <c r="C8" s="43" t="n">
        <v>0</v>
      </c>
      <c r="D8" s="43" t="n">
        <v>30</v>
      </c>
      <c r="E8" s="80" t="n">
        <f aca="false">SUM(F8:F10)</f>
        <v>0</v>
      </c>
      <c r="F8" s="81" t="n">
        <f aca="false">SUM(G8:BV8)</f>
        <v>0</v>
      </c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4" t="n">
        <v>780</v>
      </c>
      <c r="BX8" s="45" t="n">
        <f aca="false">AO8-BW8</f>
        <v>-780</v>
      </c>
    </row>
    <row r="9" customFormat="false" ht="11.25" hidden="false" customHeight="false" outlineLevel="0" collapsed="false">
      <c r="A9" s="43"/>
      <c r="B9" s="43"/>
      <c r="C9" s="43" t="n">
        <v>1</v>
      </c>
      <c r="D9" s="43" t="n">
        <v>31</v>
      </c>
      <c r="E9" s="80"/>
      <c r="F9" s="81" t="n">
        <f aca="false">SUM(G9:BV9)</f>
        <v>0</v>
      </c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4" t="n">
        <v>780</v>
      </c>
      <c r="BX9" s="45" t="n">
        <f aca="false">AO9-BW9</f>
        <v>-780</v>
      </c>
    </row>
    <row r="10" customFormat="false" ht="11.25" hidden="false" customHeight="false" outlineLevel="0" collapsed="false">
      <c r="A10" s="43"/>
      <c r="B10" s="43"/>
      <c r="C10" s="43" t="n">
        <v>2</v>
      </c>
      <c r="D10" s="43" t="n">
        <v>32</v>
      </c>
      <c r="E10" s="80"/>
      <c r="F10" s="81" t="n">
        <f aca="false">SUM(G10:BV10)</f>
        <v>0</v>
      </c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4" t="n">
        <v>780</v>
      </c>
      <c r="BX10" s="45" t="n">
        <f aca="false">AO10-BW10</f>
        <v>-780</v>
      </c>
    </row>
    <row r="11" customFormat="false" ht="11.25" hidden="false" customHeight="false" outlineLevel="0" collapsed="false">
      <c r="A11" s="52" t="n">
        <v>10</v>
      </c>
      <c r="B11" s="76" t="s">
        <v>124</v>
      </c>
      <c r="C11" s="52" t="n">
        <v>0</v>
      </c>
      <c r="D11" s="52" t="n">
        <v>100</v>
      </c>
      <c r="E11" s="77" t="n">
        <f aca="false">SUM(F11:F13)</f>
        <v>0</v>
      </c>
      <c r="F11" s="78" t="n">
        <f aca="false">SUM(G11:BV11)</f>
        <v>0</v>
      </c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3" t="n">
        <v>780</v>
      </c>
      <c r="BX11" s="54" t="n">
        <f aca="false">AO11-BW11</f>
        <v>-780</v>
      </c>
    </row>
    <row r="12" customFormat="false" ht="11.25" hidden="false" customHeight="false" outlineLevel="0" collapsed="false">
      <c r="A12" s="52"/>
      <c r="B12" s="52"/>
      <c r="C12" s="52" t="n">
        <v>1</v>
      </c>
      <c r="D12" s="52" t="n">
        <v>101</v>
      </c>
      <c r="E12" s="77"/>
      <c r="F12" s="78" t="n">
        <f aca="false">SUM(G12:BV12)</f>
        <v>0</v>
      </c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3" t="n">
        <v>780</v>
      </c>
      <c r="BX12" s="54" t="n">
        <f aca="false">AO12-BW12</f>
        <v>-780</v>
      </c>
    </row>
    <row r="13" customFormat="false" ht="11.25" hidden="false" customHeight="false" outlineLevel="0" collapsed="false">
      <c r="A13" s="52"/>
      <c r="B13" s="52"/>
      <c r="C13" s="52" t="n">
        <v>2</v>
      </c>
      <c r="D13" s="52" t="n">
        <v>102</v>
      </c>
      <c r="E13" s="77"/>
      <c r="F13" s="78" t="n">
        <f aca="false">SUM(G13:BV13)</f>
        <v>0</v>
      </c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3" t="n">
        <v>780</v>
      </c>
      <c r="BX13" s="54" t="n">
        <f aca="false">AO13-BW13</f>
        <v>-780</v>
      </c>
    </row>
    <row r="14" customFormat="false" ht="11.25" hidden="false" customHeight="false" outlineLevel="0" collapsed="false">
      <c r="A14" s="43" t="n">
        <v>12</v>
      </c>
      <c r="B14" s="79" t="s">
        <v>125</v>
      </c>
      <c r="C14" s="43" t="n">
        <v>0</v>
      </c>
      <c r="D14" s="43" t="n">
        <v>120</v>
      </c>
      <c r="E14" s="80" t="n">
        <f aca="false">SUM(F14:F16)</f>
        <v>0</v>
      </c>
      <c r="F14" s="81" t="n">
        <f aca="false">SUM(G14:BV14)</f>
        <v>0</v>
      </c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4" t="n">
        <v>780</v>
      </c>
      <c r="BX14" s="45" t="n">
        <f aca="false">AO14-BW14</f>
        <v>-780</v>
      </c>
    </row>
    <row r="15" customFormat="false" ht="11.25" hidden="false" customHeight="false" outlineLevel="0" collapsed="false">
      <c r="A15" s="43"/>
      <c r="B15" s="43"/>
      <c r="C15" s="43" t="n">
        <v>1</v>
      </c>
      <c r="D15" s="43" t="n">
        <v>121</v>
      </c>
      <c r="E15" s="80"/>
      <c r="F15" s="81" t="n">
        <f aca="false">SUM(G15:BV15)</f>
        <v>0</v>
      </c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4" t="n">
        <v>780</v>
      </c>
      <c r="BX15" s="45" t="n">
        <f aca="false">AO15-BW15</f>
        <v>-780</v>
      </c>
    </row>
    <row r="16" customFormat="false" ht="11.25" hidden="false" customHeight="false" outlineLevel="0" collapsed="false">
      <c r="A16" s="43"/>
      <c r="B16" s="43"/>
      <c r="C16" s="43" t="n">
        <v>2</v>
      </c>
      <c r="D16" s="43" t="n">
        <v>122</v>
      </c>
      <c r="E16" s="80"/>
      <c r="F16" s="81" t="n">
        <f aca="false">SUM(G16:BV16)</f>
        <v>0</v>
      </c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4" t="n">
        <v>780</v>
      </c>
      <c r="BX16" s="45" t="n">
        <f aca="false">AO16-BW16</f>
        <v>-780</v>
      </c>
    </row>
    <row r="17" customFormat="false" ht="12.75" hidden="false" customHeight="true" outlineLevel="0" collapsed="false">
      <c r="A17" s="82" t="s">
        <v>126</v>
      </c>
      <c r="B17" s="82"/>
      <c r="C17" s="82"/>
      <c r="D17" s="82"/>
      <c r="E17" s="78" t="n">
        <f aca="false">SUM(E5:E16)</f>
        <v>0</v>
      </c>
      <c r="F17" s="78" t="n">
        <f aca="false">SUM(F5:F16)</f>
        <v>0</v>
      </c>
      <c r="G17" s="78" t="n">
        <f aca="false">SUM(G5:G16)</f>
        <v>0</v>
      </c>
      <c r="H17" s="78" t="n">
        <f aca="false">SUM(H5:H16)</f>
        <v>0</v>
      </c>
      <c r="I17" s="78" t="n">
        <f aca="false">SUM(I5:I16)</f>
        <v>0</v>
      </c>
      <c r="J17" s="78" t="n">
        <f aca="false">SUM(J5:J16)</f>
        <v>0</v>
      </c>
      <c r="K17" s="78" t="n">
        <f aca="false">SUM(K5:K16)</f>
        <v>0</v>
      </c>
      <c r="L17" s="78" t="n">
        <f aca="false">SUM(L5:L16)</f>
        <v>0</v>
      </c>
      <c r="M17" s="78" t="n">
        <f aca="false">SUM(M5:M16)</f>
        <v>0</v>
      </c>
      <c r="N17" s="78" t="n">
        <f aca="false">SUM(N5:N16)</f>
        <v>0</v>
      </c>
      <c r="O17" s="78" t="n">
        <f aca="false">SUM(O5:O16)</f>
        <v>0</v>
      </c>
      <c r="P17" s="78" t="n">
        <f aca="false">SUM(P5:P16)</f>
        <v>0</v>
      </c>
      <c r="Q17" s="78" t="n">
        <f aca="false">SUM(Q5:Q16)</f>
        <v>0</v>
      </c>
      <c r="R17" s="78" t="n">
        <f aca="false">SUM(R5:R16)</f>
        <v>0</v>
      </c>
      <c r="S17" s="78" t="n">
        <f aca="false">SUM(S5:S16)</f>
        <v>0</v>
      </c>
      <c r="T17" s="78" t="n">
        <f aca="false">SUM(T5:T16)</f>
        <v>0</v>
      </c>
      <c r="U17" s="78" t="n">
        <f aca="false">SUM(U5:U16)</f>
        <v>0</v>
      </c>
      <c r="V17" s="78" t="n">
        <f aca="false">SUM(V5:V16)</f>
        <v>0</v>
      </c>
      <c r="W17" s="78" t="n">
        <f aca="false">SUM(W5:W16)</f>
        <v>0</v>
      </c>
      <c r="X17" s="78" t="n">
        <f aca="false">SUM(X5:X16)</f>
        <v>0</v>
      </c>
      <c r="Y17" s="78" t="n">
        <f aca="false">SUM(Y5:Y16)</f>
        <v>0</v>
      </c>
      <c r="Z17" s="78" t="n">
        <f aca="false">SUM(Z5:Z16)</f>
        <v>0</v>
      </c>
      <c r="AA17" s="78" t="n">
        <f aca="false">SUM(AA5:AA16)</f>
        <v>0</v>
      </c>
      <c r="AB17" s="78" t="n">
        <f aca="false">SUM(AB5:AB16)</f>
        <v>0</v>
      </c>
      <c r="AC17" s="78" t="n">
        <f aca="false">SUM(AC5:AC16)</f>
        <v>0</v>
      </c>
      <c r="AD17" s="78" t="n">
        <f aca="false">SUM(AD5:AD16)</f>
        <v>0</v>
      </c>
      <c r="AE17" s="78" t="n">
        <f aca="false">SUM(AE5:AE16)</f>
        <v>0</v>
      </c>
      <c r="AF17" s="78" t="n">
        <f aca="false">SUM(AF5:AF16)</f>
        <v>0</v>
      </c>
      <c r="AG17" s="78" t="n">
        <f aca="false">SUM(AG5:AG16)</f>
        <v>0</v>
      </c>
      <c r="AH17" s="78" t="n">
        <f aca="false">SUM(AH5:AH16)</f>
        <v>0</v>
      </c>
      <c r="AI17" s="78" t="n">
        <f aca="false">SUM(AI5:AI16)</f>
        <v>0</v>
      </c>
      <c r="AJ17" s="78" t="n">
        <f aca="false">SUM(AJ5:AJ16)</f>
        <v>0</v>
      </c>
      <c r="AK17" s="78" t="n">
        <f aca="false">SUM(AK5:AK16)</f>
        <v>0</v>
      </c>
      <c r="AL17" s="78" t="n">
        <f aca="false">SUM(AL5:AL16)</f>
        <v>0</v>
      </c>
      <c r="AM17" s="78" t="n">
        <f aca="false">SUM(AM5:AM16)</f>
        <v>0</v>
      </c>
      <c r="AN17" s="78" t="n">
        <f aca="false">SUM(AN5:AN16)</f>
        <v>0</v>
      </c>
      <c r="AO17" s="78" t="n">
        <f aca="false">SUM(AO5:AO16)</f>
        <v>0</v>
      </c>
      <c r="AP17" s="78" t="n">
        <f aca="false">SUM(AP5:AP16)</f>
        <v>0</v>
      </c>
      <c r="AQ17" s="78" t="n">
        <f aca="false">SUM(AQ5:AQ16)</f>
        <v>0</v>
      </c>
      <c r="AR17" s="78" t="n">
        <f aca="false">SUM(AR5:AR16)</f>
        <v>0</v>
      </c>
      <c r="AS17" s="78" t="n">
        <f aca="false">SUM(AS5:AS16)</f>
        <v>0</v>
      </c>
      <c r="AT17" s="78" t="n">
        <f aca="false">SUM(AT5:AT16)</f>
        <v>0</v>
      </c>
      <c r="AU17" s="78" t="n">
        <f aca="false">SUM(AU5:AU16)</f>
        <v>0</v>
      </c>
      <c r="AV17" s="78" t="n">
        <f aca="false">SUM(AV5:AV16)</f>
        <v>0</v>
      </c>
      <c r="AW17" s="78" t="n">
        <f aca="false">SUM(AW5:AW16)</f>
        <v>0</v>
      </c>
      <c r="AX17" s="78" t="n">
        <f aca="false">SUM(AX5:AX16)</f>
        <v>0</v>
      </c>
      <c r="AY17" s="78" t="n">
        <f aca="false">SUM(AY5:AY16)</f>
        <v>0</v>
      </c>
      <c r="AZ17" s="78" t="n">
        <f aca="false">SUM(AZ5:AZ16)</f>
        <v>0</v>
      </c>
      <c r="BA17" s="78" t="n">
        <f aca="false">SUM(BA5:BA16)</f>
        <v>0</v>
      </c>
      <c r="BB17" s="78" t="n">
        <f aca="false">SUM(BB5:BB16)</f>
        <v>0</v>
      </c>
      <c r="BC17" s="78" t="n">
        <f aca="false">SUM(BC5:BC16)</f>
        <v>0</v>
      </c>
      <c r="BD17" s="78" t="n">
        <f aca="false">SUM(BD5:BD16)</f>
        <v>0</v>
      </c>
      <c r="BE17" s="78" t="n">
        <f aca="false">SUM(BE5:BE16)</f>
        <v>0</v>
      </c>
      <c r="BF17" s="78" t="n">
        <f aca="false">SUM(BF5:BF16)</f>
        <v>0</v>
      </c>
      <c r="BG17" s="78" t="n">
        <f aca="false">SUM(BG5:BG16)</f>
        <v>0</v>
      </c>
      <c r="BH17" s="78" t="n">
        <f aca="false">SUM(BH5:BH16)</f>
        <v>0</v>
      </c>
      <c r="BI17" s="78" t="n">
        <f aca="false">SUM(BI5:BI16)</f>
        <v>0</v>
      </c>
      <c r="BJ17" s="78" t="n">
        <f aca="false">SUM(BJ5:BJ16)</f>
        <v>0</v>
      </c>
      <c r="BK17" s="78" t="n">
        <f aca="false">SUM(BK5:BK16)</f>
        <v>0</v>
      </c>
      <c r="BL17" s="78" t="n">
        <f aca="false">SUM(BL5:BL16)</f>
        <v>0</v>
      </c>
      <c r="BM17" s="78" t="n">
        <f aca="false">SUM(BM5:BM16)</f>
        <v>0</v>
      </c>
      <c r="BN17" s="78" t="n">
        <f aca="false">SUM(BN5:BN16)</f>
        <v>0</v>
      </c>
      <c r="BO17" s="78" t="n">
        <f aca="false">SUM(BO5:BO16)</f>
        <v>0</v>
      </c>
      <c r="BP17" s="78" t="n">
        <f aca="false">SUM(BP5:BP16)</f>
        <v>0</v>
      </c>
      <c r="BQ17" s="78" t="n">
        <f aca="false">SUM(BQ5:BQ16)</f>
        <v>0</v>
      </c>
      <c r="BR17" s="78" t="n">
        <f aca="false">SUM(BR5:BR16)</f>
        <v>0</v>
      </c>
      <c r="BS17" s="78" t="n">
        <f aca="false">SUM(BS5:BS16)</f>
        <v>0</v>
      </c>
      <c r="BT17" s="78" t="n">
        <f aca="false">SUM(BT5:BT16)</f>
        <v>0</v>
      </c>
      <c r="BU17" s="78" t="n">
        <f aca="false">SUM(BU5:BU16)</f>
        <v>0</v>
      </c>
      <c r="BV17" s="78" t="n">
        <f aca="false">SUM(BV5:BV16)</f>
        <v>0</v>
      </c>
      <c r="BW17" s="78"/>
      <c r="BX17" s="78"/>
    </row>
    <row r="22" customFormat="false" ht="11.25" hidden="false" customHeight="false" outlineLevel="0" collapsed="false">
      <c r="G22" s="83"/>
      <c r="H22" s="83"/>
      <c r="I22" s="83"/>
      <c r="J22" s="83"/>
      <c r="K22" s="83"/>
      <c r="L22" s="83"/>
      <c r="M22" s="83"/>
      <c r="N22" s="83"/>
      <c r="O22" s="83"/>
    </row>
    <row r="23" customFormat="false" ht="11.25" hidden="false" customHeight="false" outlineLevel="0" collapsed="false">
      <c r="G23" s="83"/>
      <c r="H23" s="83"/>
      <c r="I23" s="83"/>
      <c r="J23" s="83"/>
      <c r="K23" s="83"/>
      <c r="L23" s="83"/>
      <c r="M23" s="83"/>
      <c r="N23" s="83"/>
      <c r="O23" s="83"/>
    </row>
  </sheetData>
  <mergeCells count="35">
    <mergeCell ref="A2:A4"/>
    <mergeCell ref="B2:B4"/>
    <mergeCell ref="C2:C4"/>
    <mergeCell ref="E2:E4"/>
    <mergeCell ref="F2:F4"/>
    <mergeCell ref="G2:J2"/>
    <mergeCell ref="N2:R2"/>
    <mergeCell ref="U2:W2"/>
    <mergeCell ref="X2:Z2"/>
    <mergeCell ref="AB2:AC2"/>
    <mergeCell ref="AE2:AF2"/>
    <mergeCell ref="AG2:AH2"/>
    <mergeCell ref="AI2:AJ2"/>
    <mergeCell ref="AL2:AM2"/>
    <mergeCell ref="AN2:AP2"/>
    <mergeCell ref="AQ2:AR2"/>
    <mergeCell ref="AS2:AT2"/>
    <mergeCell ref="AU2:AV2"/>
    <mergeCell ref="AW2:AY2"/>
    <mergeCell ref="AZ2:BI2"/>
    <mergeCell ref="BW2:BW4"/>
    <mergeCell ref="BX2:BX4"/>
    <mergeCell ref="A5:A7"/>
    <mergeCell ref="B5:B7"/>
    <mergeCell ref="E5:E7"/>
    <mergeCell ref="A8:A10"/>
    <mergeCell ref="B8:B10"/>
    <mergeCell ref="E8:E10"/>
    <mergeCell ref="A11:A13"/>
    <mergeCell ref="B11:B13"/>
    <mergeCell ref="E11:E13"/>
    <mergeCell ref="A14:A16"/>
    <mergeCell ref="B14:B16"/>
    <mergeCell ref="E14:E16"/>
    <mergeCell ref="A17:D17"/>
  </mergeCells>
  <conditionalFormatting sqref="G3:AJ4 BL3:BL4 BU3:BU4">
    <cfRule type="duplicateValues" priority="2" aboveAverage="0" equalAverage="0" bottom="0" percent="0" rank="0" text="" dxfId="4"/>
  </conditionalFormatting>
  <conditionalFormatting sqref="G3:BV4">
    <cfRule type="duplicateValues" priority="3" aboveAverage="0" equalAverage="0" bottom="0" percent="0" rank="0" text="" dxfId="4"/>
    <cfRule type="duplicateValues" priority="4" aboveAverage="0" equalAverage="0" bottom="0" percent="0" rank="0" text="" dxfId="4"/>
  </conditionalFormatting>
  <conditionalFormatting sqref="G5:BV7 G11:BV13">
    <cfRule type="cellIs" priority="5" operator="equal" aboveAverage="0" equalAverage="0" bottom="0" percent="0" rank="0" text="" dxfId="0">
      <formula>0</formula>
    </cfRule>
  </conditionalFormatting>
  <conditionalFormatting sqref="G8:BV10 G14:BV16">
    <cfRule type="cellIs" priority="6" operator="equal" aboveAverage="0" equalAverage="0" bottom="0" percent="0" rank="0" text="" dxfId="1">
      <formula>0</formula>
    </cfRule>
  </conditionalFormatting>
  <conditionalFormatting sqref="Q5:Q7 Q11:Q13 BX5:BX7 BX11:BX13">
    <cfRule type="cellIs" priority="7" operator="lessThan" aboveAverage="0" equalAverage="0" bottom="0" percent="0" rank="0" text="" dxfId="0">
      <formula>0</formula>
    </cfRule>
  </conditionalFormatting>
  <conditionalFormatting sqref="Q8:Q10 Q14:Q16 BX8:BX10 BX14:BX16">
    <cfRule type="cellIs" priority="8" operator="lessThan" aboveAverage="0" equalAverage="0" bottom="0" percent="0" rank="0" text="" dxfId="1">
      <formula>0</formula>
    </cfRule>
  </conditionalFormatting>
  <conditionalFormatting sqref="Q5:Q16 BX5:BX16">
    <cfRule type="cellIs" priority="9" operator="greaterThan" aboveAverage="0" equalAverage="0" bottom="0" percent="0" rank="0" text="" dxfId="3">
      <formula>0</formula>
    </cfRule>
  </conditionalFormatting>
  <conditionalFormatting sqref="I5:P16 AZ5:BK16 BM5:BT16 BV5:BV16">
    <cfRule type="cellIs" priority="10" operator="equal" aboveAverage="0" equalAverage="0" bottom="0" percent="0" rank="0" text="" dxfId="0">
      <formula>0</formula>
    </cfRule>
  </conditionalFormatting>
  <conditionalFormatting sqref="F5:F16">
    <cfRule type="cellIs" priority="11" operator="greaterThan" aboveAverage="0" equalAverage="0" bottom="0" percent="0" rank="0" text="" dxfId="2">
      <formula>780</formula>
    </cfRule>
  </conditionalFormatting>
  <conditionalFormatting sqref="E5:E16">
    <cfRule type="cellIs" priority="12" operator="greaterThan" aboveAverage="0" equalAverage="0" bottom="0" percent="0" rank="0" text="" dxfId="2">
      <formula>2340</formula>
    </cfRule>
  </conditionalFormatting>
  <conditionalFormatting sqref="R5:R7 R11:R13">
    <cfRule type="cellIs" priority="13" operator="lessThan" aboveAverage="0" equalAverage="0" bottom="0" percent="0" rank="0" text="" dxfId="0">
      <formula>0</formula>
    </cfRule>
  </conditionalFormatting>
  <conditionalFormatting sqref="R8:R10 R14:R16">
    <cfRule type="cellIs" priority="14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W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3" activeCellId="0" sqref="P3"/>
    </sheetView>
  </sheetViews>
  <sheetFormatPr defaultColWidth="9.1484375" defaultRowHeight="11.25" zeroHeight="false" outlineLevelRow="0" outlineLevelCol="0"/>
  <cols>
    <col collapsed="false" customWidth="true" hidden="false" outlineLevel="0" max="1" min="1" style="84" width="4.14"/>
    <col collapsed="false" customWidth="true" hidden="false" outlineLevel="0" max="2" min="2" style="84" width="10.71"/>
    <col collapsed="false" customWidth="true" hidden="false" outlineLevel="0" max="4" min="3" style="84" width="6.43"/>
    <col collapsed="false" customWidth="true" hidden="false" outlineLevel="0" max="6" min="5" style="84" width="5.71"/>
    <col collapsed="false" customWidth="true" hidden="false" outlineLevel="0" max="18" min="7" style="69" width="4.71"/>
    <col collapsed="false" customWidth="true" hidden="false" outlineLevel="0" max="75" min="19" style="69" width="5.71"/>
    <col collapsed="false" customWidth="false" hidden="false" outlineLevel="0" max="16384" min="76" style="84" width="9.14"/>
  </cols>
  <sheetData>
    <row r="1" s="19" customFormat="true" ht="15.75" hidden="false" customHeight="true" outlineLevel="0" collapsed="false">
      <c r="B1" s="85" t="s">
        <v>127</v>
      </c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</row>
    <row r="2" s="88" customFormat="true" ht="63" hidden="false" customHeight="true" outlineLevel="0" collapsed="false">
      <c r="A2" s="86" t="s">
        <v>11</v>
      </c>
      <c r="B2" s="87" t="s">
        <v>12</v>
      </c>
      <c r="C2" s="28" t="s">
        <v>13</v>
      </c>
      <c r="D2" s="28"/>
      <c r="E2" s="28" t="s">
        <v>60</v>
      </c>
      <c r="F2" s="28" t="s">
        <v>15</v>
      </c>
      <c r="G2" s="24" t="s">
        <v>16</v>
      </c>
      <c r="H2" s="24"/>
      <c r="I2" s="24"/>
      <c r="J2" s="24"/>
      <c r="K2" s="24" t="s">
        <v>17</v>
      </c>
      <c r="L2" s="24" t="s">
        <v>18</v>
      </c>
      <c r="M2" s="24" t="s">
        <v>19</v>
      </c>
      <c r="N2" s="24" t="s">
        <v>20</v>
      </c>
      <c r="O2" s="24"/>
      <c r="P2" s="24"/>
      <c r="Q2" s="24"/>
      <c r="R2" s="24"/>
      <c r="S2" s="22" t="s">
        <v>21</v>
      </c>
      <c r="T2" s="22" t="s">
        <v>22</v>
      </c>
      <c r="U2" s="24" t="s">
        <v>23</v>
      </c>
      <c r="V2" s="24"/>
      <c r="W2" s="24"/>
      <c r="X2" s="24" t="s">
        <v>24</v>
      </c>
      <c r="Y2" s="24"/>
      <c r="Z2" s="24"/>
      <c r="AA2" s="22" t="s">
        <v>25</v>
      </c>
      <c r="AB2" s="22" t="s">
        <v>26</v>
      </c>
      <c r="AC2" s="22"/>
      <c r="AD2" s="24" t="s">
        <v>27</v>
      </c>
      <c r="AE2" s="24" t="s">
        <v>28</v>
      </c>
      <c r="AF2" s="24"/>
      <c r="AG2" s="24" t="s">
        <v>29</v>
      </c>
      <c r="AH2" s="24"/>
      <c r="AI2" s="24" t="s">
        <v>30</v>
      </c>
      <c r="AJ2" s="24"/>
      <c r="AK2" s="26" t="s">
        <v>31</v>
      </c>
      <c r="AL2" s="24" t="s">
        <v>32</v>
      </c>
      <c r="AM2" s="24"/>
      <c r="AN2" s="24" t="s">
        <v>33</v>
      </c>
      <c r="AO2" s="24"/>
      <c r="AP2" s="24"/>
      <c r="AQ2" s="24" t="s">
        <v>34</v>
      </c>
      <c r="AR2" s="24"/>
      <c r="AS2" s="24" t="s">
        <v>35</v>
      </c>
      <c r="AT2" s="24"/>
      <c r="AU2" s="24" t="s">
        <v>36</v>
      </c>
      <c r="AV2" s="24"/>
      <c r="AW2" s="24" t="s">
        <v>37</v>
      </c>
      <c r="AX2" s="24"/>
      <c r="AY2" s="24"/>
      <c r="AZ2" s="27" t="s">
        <v>38</v>
      </c>
      <c r="BA2" s="27"/>
      <c r="BB2" s="27"/>
      <c r="BC2" s="27"/>
      <c r="BD2" s="27"/>
      <c r="BE2" s="27"/>
      <c r="BF2" s="27"/>
      <c r="BG2" s="27"/>
      <c r="BH2" s="27"/>
      <c r="BI2" s="27"/>
      <c r="BJ2" s="28" t="s">
        <v>39</v>
      </c>
      <c r="BK2" s="28" t="s">
        <v>40</v>
      </c>
      <c r="BL2" s="24" t="s">
        <v>120</v>
      </c>
      <c r="BM2" s="28" t="s">
        <v>42</v>
      </c>
      <c r="BN2" s="28" t="s">
        <v>43</v>
      </c>
      <c r="BO2" s="28" t="s">
        <v>44</v>
      </c>
      <c r="BP2" s="28" t="s">
        <v>45</v>
      </c>
      <c r="BQ2" s="28" t="s">
        <v>45</v>
      </c>
      <c r="BR2" s="28" t="s">
        <v>46</v>
      </c>
      <c r="BS2" s="28" t="s">
        <v>46</v>
      </c>
      <c r="BT2" s="28" t="s">
        <v>46</v>
      </c>
      <c r="BU2" s="24" t="s">
        <v>121</v>
      </c>
      <c r="BV2" s="28" t="s">
        <v>48</v>
      </c>
      <c r="BW2" s="29" t="s">
        <v>49</v>
      </c>
    </row>
    <row r="3" s="88" customFormat="true" ht="71.25" hidden="false" customHeight="true" outlineLevel="0" collapsed="false">
      <c r="A3" s="86"/>
      <c r="B3" s="87"/>
      <c r="C3" s="87"/>
      <c r="D3" s="87"/>
      <c r="E3" s="87"/>
      <c r="F3" s="87"/>
      <c r="G3" s="32" t="n">
        <v>77232216999</v>
      </c>
      <c r="H3" s="32" t="n">
        <v>77232519487</v>
      </c>
      <c r="I3" s="32" t="n">
        <v>77232529999</v>
      </c>
      <c r="J3" s="32" t="n">
        <v>77232544999</v>
      </c>
      <c r="K3" s="33" t="n">
        <v>77232296999</v>
      </c>
      <c r="L3" s="33" t="n">
        <v>77232789999</v>
      </c>
      <c r="M3" s="33" t="n">
        <v>77233155999</v>
      </c>
      <c r="N3" s="33" t="n">
        <v>77233235999</v>
      </c>
      <c r="O3" s="33" t="n">
        <v>77233239999</v>
      </c>
      <c r="P3" s="33" t="n">
        <v>772332772399</v>
      </c>
      <c r="Q3" s="33" t="n">
        <v>77233292999</v>
      </c>
      <c r="R3" s="33" t="n">
        <v>77233298399</v>
      </c>
      <c r="S3" s="33" t="n">
        <v>77235128499</v>
      </c>
      <c r="T3" s="33" t="n">
        <v>77235320999</v>
      </c>
      <c r="U3" s="34" t="n">
        <v>77233623339</v>
      </c>
      <c r="V3" s="33" t="n">
        <v>77233630999</v>
      </c>
      <c r="W3" s="33" t="n">
        <v>77233637599</v>
      </c>
      <c r="X3" s="33" t="n">
        <v>77233550999</v>
      </c>
      <c r="Y3" s="33" t="n">
        <v>77233554999</v>
      </c>
      <c r="Z3" s="33" t="n">
        <v>77233556999</v>
      </c>
      <c r="AA3" s="33" t="n">
        <v>77233726999</v>
      </c>
      <c r="AB3" s="33" t="n">
        <v>77233820999</v>
      </c>
      <c r="AC3" s="33" t="n">
        <v>77233850999</v>
      </c>
      <c r="AD3" s="33" t="n">
        <v>77233420999</v>
      </c>
      <c r="AE3" s="33" t="n">
        <v>77234742999</v>
      </c>
      <c r="AF3" s="33" t="n">
        <v>77234767999</v>
      </c>
      <c r="AG3" s="33" t="n">
        <v>77234120999</v>
      </c>
      <c r="AH3" s="33" t="n">
        <v>77234127999</v>
      </c>
      <c r="AI3" s="33" t="n">
        <v>77234220999</v>
      </c>
      <c r="AJ3" s="33" t="n">
        <v>77234250999</v>
      </c>
      <c r="AK3" s="35" t="n">
        <v>77233924999</v>
      </c>
      <c r="AL3" s="35" t="n">
        <v>77234320999</v>
      </c>
      <c r="AM3" s="35" t="n">
        <v>77234350999</v>
      </c>
      <c r="AN3" s="35" t="n">
        <v>77234020999</v>
      </c>
      <c r="AO3" s="35" t="n">
        <v>77234029999</v>
      </c>
      <c r="AP3" s="35" t="n">
        <v>77234050999</v>
      </c>
      <c r="AQ3" s="35" t="n">
        <v>77234428999</v>
      </c>
      <c r="AR3" s="35" t="n">
        <v>77234450999</v>
      </c>
      <c r="AS3" s="35" t="n">
        <v>77234620999</v>
      </c>
      <c r="AT3" s="35" t="n">
        <v>77234650999</v>
      </c>
      <c r="AU3" s="35" t="n">
        <v>77234820999</v>
      </c>
      <c r="AV3" s="35" t="n">
        <v>77234850999</v>
      </c>
      <c r="AW3" s="35" t="n">
        <v>77233327999</v>
      </c>
      <c r="AX3" s="35" t="n">
        <v>77233350599</v>
      </c>
      <c r="AY3" s="35" t="n">
        <v>77233351999</v>
      </c>
      <c r="AZ3" s="36" t="n">
        <v>77222440999</v>
      </c>
      <c r="BA3" s="36" t="n">
        <v>77222445659</v>
      </c>
      <c r="BB3" s="36" t="n">
        <v>77222450199</v>
      </c>
      <c r="BC3" s="36" t="n">
        <v>77222451374</v>
      </c>
      <c r="BD3" s="36" t="n">
        <v>77222452299</v>
      </c>
      <c r="BE3" s="36" t="n">
        <v>77222453816</v>
      </c>
      <c r="BF3" s="36" t="n">
        <v>77222454099</v>
      </c>
      <c r="BG3" s="36" t="n">
        <v>77222458999</v>
      </c>
      <c r="BH3" s="36" t="n">
        <v>77222638549</v>
      </c>
      <c r="BI3" s="36" t="n">
        <v>77222639899</v>
      </c>
      <c r="BJ3" s="37" t="n">
        <v>77225750399</v>
      </c>
      <c r="BK3" s="37" t="n">
        <v>77223724999</v>
      </c>
      <c r="BL3" s="33" t="n">
        <v>77223765499</v>
      </c>
      <c r="BM3" s="37" t="n">
        <v>77223621299</v>
      </c>
      <c r="BN3" s="37" t="n">
        <v>77223623399</v>
      </c>
      <c r="BO3" s="37" t="n">
        <v>77225127999</v>
      </c>
      <c r="BP3" s="37" t="n">
        <v>77223948999</v>
      </c>
      <c r="BQ3" s="37" t="n">
        <v>77223951099</v>
      </c>
      <c r="BR3" s="37" t="n">
        <v>77223020999</v>
      </c>
      <c r="BS3" s="37" t="n">
        <v>77223029999</v>
      </c>
      <c r="BT3" s="37" t="n">
        <v>77223056549</v>
      </c>
      <c r="BU3" s="33" t="n">
        <v>77225250499</v>
      </c>
      <c r="BV3" s="37" t="n">
        <v>7183841499</v>
      </c>
      <c r="BW3" s="29"/>
    </row>
    <row r="4" s="88" customFormat="true" ht="62.25" hidden="false" customHeight="true" outlineLevel="0" collapsed="false">
      <c r="A4" s="86"/>
      <c r="B4" s="87"/>
      <c r="C4" s="87"/>
      <c r="D4" s="87"/>
      <c r="E4" s="87"/>
      <c r="F4" s="87"/>
      <c r="G4" s="32" t="n">
        <v>77232210840</v>
      </c>
      <c r="H4" s="32" t="n">
        <v>77232510512</v>
      </c>
      <c r="I4" s="32" t="n">
        <v>77232524160</v>
      </c>
      <c r="J4" s="32" t="n">
        <v>77232544000</v>
      </c>
      <c r="K4" s="33" t="n">
        <v>77232295504</v>
      </c>
      <c r="L4" s="33" t="n">
        <v>77232785000</v>
      </c>
      <c r="M4" s="33" t="n">
        <v>77233150000</v>
      </c>
      <c r="N4" s="33" t="n">
        <v>77233235000</v>
      </c>
      <c r="O4" s="33" t="n">
        <v>77233239000</v>
      </c>
      <c r="P4" s="33" t="n">
        <v>77233272000</v>
      </c>
      <c r="Q4" s="33" t="n">
        <v>77233291100</v>
      </c>
      <c r="R4" s="33" t="n">
        <v>77233297000</v>
      </c>
      <c r="S4" s="33" t="n">
        <v>77235124000</v>
      </c>
      <c r="T4" s="33" t="n">
        <v>77235320000</v>
      </c>
      <c r="U4" s="34" t="n">
        <v>77233620000</v>
      </c>
      <c r="V4" s="33" t="n">
        <v>77233630000</v>
      </c>
      <c r="W4" s="33" t="n">
        <v>77233637000</v>
      </c>
      <c r="X4" s="33" t="n">
        <v>77233550000</v>
      </c>
      <c r="Y4" s="33" t="n">
        <v>77233554000</v>
      </c>
      <c r="Z4" s="33" t="n">
        <v>77233555000</v>
      </c>
      <c r="AA4" s="33" t="n">
        <v>77233726000</v>
      </c>
      <c r="AB4" s="33" t="n">
        <v>77233820000</v>
      </c>
      <c r="AC4" s="33" t="n">
        <v>77233850000</v>
      </c>
      <c r="AD4" s="33" t="n">
        <v>77233420000</v>
      </c>
      <c r="AE4" s="33" t="n">
        <v>77234740000</v>
      </c>
      <c r="AF4" s="33" t="n">
        <v>77234767000</v>
      </c>
      <c r="AG4" s="33" t="n">
        <v>77234120000</v>
      </c>
      <c r="AH4" s="33" t="n">
        <v>77234127000</v>
      </c>
      <c r="AI4" s="33" t="n">
        <v>77234220000</v>
      </c>
      <c r="AJ4" s="33" t="n">
        <v>77234250000</v>
      </c>
      <c r="AK4" s="35" t="n">
        <v>77233922950</v>
      </c>
      <c r="AL4" s="35" t="n">
        <v>77234320000</v>
      </c>
      <c r="AM4" s="35" t="n">
        <v>77234350000</v>
      </c>
      <c r="AN4" s="35" t="n">
        <v>77234020000</v>
      </c>
      <c r="AO4" s="35" t="n">
        <v>77234029000</v>
      </c>
      <c r="AP4" s="35" t="n">
        <v>77234050000</v>
      </c>
      <c r="AQ4" s="35" t="n">
        <v>77234427000</v>
      </c>
      <c r="AR4" s="35" t="n">
        <v>77234450000</v>
      </c>
      <c r="AS4" s="35" t="n">
        <v>77234620000</v>
      </c>
      <c r="AT4" s="35" t="n">
        <v>77234650000</v>
      </c>
      <c r="AU4" s="35" t="n">
        <v>77234820000</v>
      </c>
      <c r="AV4" s="35" t="n">
        <v>77234850000</v>
      </c>
      <c r="AW4" s="35" t="n">
        <v>77233327000</v>
      </c>
      <c r="AX4" s="35" t="n">
        <v>77233350000</v>
      </c>
      <c r="AY4" s="35" t="n">
        <v>77233351000</v>
      </c>
      <c r="AZ4" s="36" t="n">
        <v>77222440000</v>
      </c>
      <c r="BA4" s="36" t="n">
        <v>77222442000</v>
      </c>
      <c r="BB4" s="36" t="n">
        <v>77222450000</v>
      </c>
      <c r="BC4" s="36" t="n">
        <v>77222451000</v>
      </c>
      <c r="BD4" s="36" t="n">
        <v>77222452000</v>
      </c>
      <c r="BE4" s="36" t="n">
        <v>77222453000</v>
      </c>
      <c r="BF4" s="36" t="n">
        <v>77222454000</v>
      </c>
      <c r="BG4" s="36" t="n">
        <v>77222458000</v>
      </c>
      <c r="BH4" s="36" t="n">
        <v>77222630000</v>
      </c>
      <c r="BI4" s="36" t="n">
        <v>77222639400</v>
      </c>
      <c r="BJ4" s="37" t="n">
        <v>77225750000</v>
      </c>
      <c r="BK4" s="37" t="n">
        <v>772237722000</v>
      </c>
      <c r="BL4" s="33" t="n">
        <v>77223765000</v>
      </c>
      <c r="BM4" s="37" t="n">
        <v>77223620000</v>
      </c>
      <c r="BN4" s="37" t="n">
        <v>77223621600</v>
      </c>
      <c r="BO4" s="37" t="n">
        <v>77225127000</v>
      </c>
      <c r="BP4" s="37" t="n">
        <v>77223948000</v>
      </c>
      <c r="BQ4" s="37" t="n">
        <v>77223950000</v>
      </c>
      <c r="BR4" s="37" t="n">
        <v>77223020000</v>
      </c>
      <c r="BS4" s="37" t="n">
        <v>77223029000</v>
      </c>
      <c r="BT4" s="37" t="n">
        <v>77223055000</v>
      </c>
      <c r="BU4" s="33" t="n">
        <v>77225250000</v>
      </c>
      <c r="BV4" s="37" t="n">
        <v>7183841400</v>
      </c>
      <c r="BW4" s="29"/>
    </row>
    <row r="5" customFormat="false" ht="11.25" hidden="false" customHeight="false" outlineLevel="0" collapsed="false">
      <c r="A5" s="89" t="n">
        <v>4</v>
      </c>
      <c r="B5" s="43" t="s">
        <v>40</v>
      </c>
      <c r="C5" s="43" t="n">
        <v>0</v>
      </c>
      <c r="D5" s="43" t="n">
        <v>40</v>
      </c>
      <c r="E5" s="90" t="n">
        <f aca="false">SUM(F5:F7)</f>
        <v>0</v>
      </c>
      <c r="F5" s="90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4" t="n">
        <v>780</v>
      </c>
    </row>
    <row r="6" customFormat="false" ht="11.25" hidden="false" customHeight="true" outlineLevel="0" collapsed="false">
      <c r="A6" s="89"/>
      <c r="B6" s="43"/>
      <c r="C6" s="43" t="n">
        <v>1</v>
      </c>
      <c r="D6" s="43" t="n">
        <v>41</v>
      </c>
      <c r="E6" s="90"/>
      <c r="F6" s="90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4" t="n">
        <v>780</v>
      </c>
    </row>
    <row r="7" customFormat="false" ht="12" hidden="false" customHeight="true" outlineLevel="0" collapsed="false">
      <c r="A7" s="89"/>
      <c r="B7" s="43"/>
      <c r="C7" s="43" t="n">
        <v>2</v>
      </c>
      <c r="D7" s="43" t="n">
        <v>42</v>
      </c>
      <c r="E7" s="90"/>
      <c r="F7" s="90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4" t="n">
        <v>780</v>
      </c>
    </row>
    <row r="8" customFormat="false" ht="11.25" hidden="false" customHeight="false" outlineLevel="0" collapsed="false">
      <c r="A8" s="91" t="n">
        <v>5</v>
      </c>
      <c r="B8" s="52" t="s">
        <v>128</v>
      </c>
      <c r="C8" s="52" t="n">
        <v>0</v>
      </c>
      <c r="D8" s="52" t="n">
        <v>50</v>
      </c>
      <c r="E8" s="92" t="n">
        <f aca="false">SUM(F8:F10)</f>
        <v>0</v>
      </c>
      <c r="F8" s="92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3" t="n">
        <v>780</v>
      </c>
    </row>
    <row r="9" customFormat="false" ht="11.25" hidden="false" customHeight="true" outlineLevel="0" collapsed="false">
      <c r="A9" s="91"/>
      <c r="B9" s="52"/>
      <c r="C9" s="52" t="n">
        <v>1</v>
      </c>
      <c r="D9" s="52" t="n">
        <v>51</v>
      </c>
      <c r="E9" s="92"/>
      <c r="F9" s="92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3" t="n">
        <v>780</v>
      </c>
    </row>
    <row r="10" customFormat="false" ht="12" hidden="false" customHeight="true" outlineLevel="0" collapsed="false">
      <c r="A10" s="91"/>
      <c r="B10" s="52"/>
      <c r="C10" s="52" t="n">
        <v>2</v>
      </c>
      <c r="D10" s="52" t="n">
        <v>52</v>
      </c>
      <c r="E10" s="92"/>
      <c r="F10" s="92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3" t="n">
        <v>780</v>
      </c>
    </row>
    <row r="11" customFormat="false" ht="11.25" hidden="false" customHeight="false" outlineLevel="0" collapsed="false">
      <c r="A11" s="89" t="n">
        <v>6</v>
      </c>
      <c r="B11" s="43" t="s">
        <v>129</v>
      </c>
      <c r="C11" s="43" t="n">
        <v>0</v>
      </c>
      <c r="D11" s="43" t="n">
        <v>60</v>
      </c>
      <c r="E11" s="90" t="n">
        <f aca="false">SUM(F11:F13)</f>
        <v>0</v>
      </c>
      <c r="F11" s="90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4" t="n">
        <v>780</v>
      </c>
    </row>
    <row r="12" customFormat="false" ht="11.25" hidden="false" customHeight="true" outlineLevel="0" collapsed="false">
      <c r="A12" s="89"/>
      <c r="B12" s="43"/>
      <c r="C12" s="43" t="n">
        <v>1</v>
      </c>
      <c r="D12" s="43" t="n">
        <v>61</v>
      </c>
      <c r="E12" s="90"/>
      <c r="F12" s="90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4" t="n">
        <v>780</v>
      </c>
    </row>
    <row r="13" customFormat="false" ht="12" hidden="false" customHeight="true" outlineLevel="0" collapsed="false">
      <c r="A13" s="89"/>
      <c r="B13" s="43"/>
      <c r="C13" s="43" t="n">
        <v>2</v>
      </c>
      <c r="D13" s="43" t="n">
        <v>62</v>
      </c>
      <c r="E13" s="90"/>
      <c r="F13" s="90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4" t="n">
        <v>780</v>
      </c>
    </row>
    <row r="14" customFormat="false" ht="11.25" hidden="false" customHeight="false" outlineLevel="0" collapsed="false">
      <c r="A14" s="91" t="n">
        <v>7</v>
      </c>
      <c r="B14" s="52" t="s">
        <v>44</v>
      </c>
      <c r="C14" s="52" t="n">
        <v>0</v>
      </c>
      <c r="D14" s="52" t="n">
        <v>70</v>
      </c>
      <c r="E14" s="92" t="n">
        <f aca="false">SUM(F14:F16)</f>
        <v>0</v>
      </c>
      <c r="F14" s="92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3" t="n">
        <v>780</v>
      </c>
    </row>
    <row r="15" customFormat="false" ht="11.25" hidden="false" customHeight="true" outlineLevel="0" collapsed="false">
      <c r="A15" s="91"/>
      <c r="B15" s="52"/>
      <c r="C15" s="52" t="n">
        <v>1</v>
      </c>
      <c r="D15" s="52" t="n">
        <v>71</v>
      </c>
      <c r="E15" s="92"/>
      <c r="F15" s="92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3" t="n">
        <v>780</v>
      </c>
    </row>
    <row r="16" customFormat="false" ht="12" hidden="false" customHeight="true" outlineLevel="0" collapsed="false">
      <c r="A16" s="91"/>
      <c r="B16" s="52"/>
      <c r="C16" s="52" t="n">
        <v>2</v>
      </c>
      <c r="D16" s="52" t="n">
        <v>72</v>
      </c>
      <c r="E16" s="92"/>
      <c r="F16" s="92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3" t="n">
        <v>780</v>
      </c>
    </row>
    <row r="17" customFormat="false" ht="11.25" hidden="false" customHeight="false" outlineLevel="0" collapsed="false">
      <c r="A17" s="89" t="n">
        <v>8</v>
      </c>
      <c r="B17" s="43" t="s">
        <v>130</v>
      </c>
      <c r="C17" s="43" t="n">
        <v>0</v>
      </c>
      <c r="D17" s="43" t="n">
        <v>80</v>
      </c>
      <c r="E17" s="90" t="n">
        <f aca="false">SUM(F17:F19)</f>
        <v>0</v>
      </c>
      <c r="F17" s="90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4" t="n">
        <v>780</v>
      </c>
    </row>
    <row r="18" customFormat="false" ht="11.25" hidden="false" customHeight="true" outlineLevel="0" collapsed="false">
      <c r="A18" s="89"/>
      <c r="B18" s="43"/>
      <c r="C18" s="43" t="n">
        <v>1</v>
      </c>
      <c r="D18" s="43" t="n">
        <v>81</v>
      </c>
      <c r="E18" s="90"/>
      <c r="F18" s="90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4" t="n">
        <v>780</v>
      </c>
    </row>
    <row r="19" customFormat="false" ht="12" hidden="false" customHeight="true" outlineLevel="0" collapsed="false">
      <c r="A19" s="89"/>
      <c r="B19" s="43"/>
      <c r="C19" s="43" t="n">
        <v>2</v>
      </c>
      <c r="D19" s="43" t="n">
        <v>82</v>
      </c>
      <c r="E19" s="90"/>
      <c r="F19" s="90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4" t="n">
        <v>780</v>
      </c>
    </row>
    <row r="20" customFormat="false" ht="11.25" hidden="false" customHeight="false" outlineLevel="0" collapsed="false">
      <c r="A20" s="91" t="n">
        <v>9</v>
      </c>
      <c r="B20" s="52" t="s">
        <v>131</v>
      </c>
      <c r="C20" s="52" t="n">
        <v>0</v>
      </c>
      <c r="D20" s="52" t="n">
        <v>90</v>
      </c>
      <c r="E20" s="92" t="n">
        <f aca="false">SUM(F20:F22)</f>
        <v>0</v>
      </c>
      <c r="F20" s="92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3" t="n">
        <v>780</v>
      </c>
    </row>
    <row r="21" customFormat="false" ht="11.25" hidden="false" customHeight="true" outlineLevel="0" collapsed="false">
      <c r="A21" s="91"/>
      <c r="B21" s="52"/>
      <c r="C21" s="52" t="n">
        <v>1</v>
      </c>
      <c r="D21" s="52" t="n">
        <v>91</v>
      </c>
      <c r="E21" s="92"/>
      <c r="F21" s="92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3" t="n">
        <v>780</v>
      </c>
    </row>
    <row r="22" customFormat="false" ht="12.75" hidden="false" customHeight="true" outlineLevel="0" collapsed="false">
      <c r="A22" s="91"/>
      <c r="B22" s="52"/>
      <c r="C22" s="52" t="n">
        <v>2</v>
      </c>
      <c r="D22" s="52" t="n">
        <v>92</v>
      </c>
      <c r="E22" s="92"/>
      <c r="F22" s="92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3" t="n">
        <v>780</v>
      </c>
    </row>
    <row r="23" customFormat="false" ht="11.25" hidden="false" customHeight="false" outlineLevel="0" collapsed="false">
      <c r="A23" s="89" t="n">
        <v>11</v>
      </c>
      <c r="B23" s="43" t="s">
        <v>132</v>
      </c>
      <c r="C23" s="43" t="n">
        <v>0</v>
      </c>
      <c r="D23" s="43" t="n">
        <v>110</v>
      </c>
      <c r="E23" s="90" t="n">
        <f aca="false">SUM(F23:F25)</f>
        <v>0</v>
      </c>
      <c r="F23" s="90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4" t="n">
        <v>780</v>
      </c>
    </row>
    <row r="24" customFormat="false" ht="11.25" hidden="false" customHeight="true" outlineLevel="0" collapsed="false">
      <c r="A24" s="89"/>
      <c r="B24" s="43"/>
      <c r="C24" s="43" t="n">
        <v>1</v>
      </c>
      <c r="D24" s="43" t="n">
        <v>111</v>
      </c>
      <c r="E24" s="90"/>
      <c r="F24" s="90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4" t="n">
        <v>780</v>
      </c>
    </row>
    <row r="25" customFormat="false" ht="12" hidden="false" customHeight="true" outlineLevel="0" collapsed="false">
      <c r="A25" s="89"/>
      <c r="B25" s="43"/>
      <c r="C25" s="43" t="n">
        <v>2</v>
      </c>
      <c r="D25" s="43" t="n">
        <v>112</v>
      </c>
      <c r="E25" s="90"/>
      <c r="F25" s="90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4" t="n">
        <v>780</v>
      </c>
    </row>
    <row r="26" customFormat="false" ht="11.25" hidden="false" customHeight="false" outlineLevel="0" collapsed="false">
      <c r="A26" s="91" t="n">
        <v>13</v>
      </c>
      <c r="B26" s="52" t="s">
        <v>45</v>
      </c>
      <c r="C26" s="52" t="n">
        <v>0</v>
      </c>
      <c r="D26" s="52" t="n">
        <v>130</v>
      </c>
      <c r="E26" s="92" t="n">
        <f aca="false">SUM(F26:F28)</f>
        <v>0</v>
      </c>
      <c r="F26" s="92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3" t="n">
        <v>780</v>
      </c>
    </row>
    <row r="27" customFormat="false" ht="11.25" hidden="false" customHeight="true" outlineLevel="0" collapsed="false">
      <c r="A27" s="91"/>
      <c r="B27" s="52"/>
      <c r="C27" s="52" t="n">
        <v>1</v>
      </c>
      <c r="D27" s="52" t="n">
        <v>131</v>
      </c>
      <c r="E27" s="92"/>
      <c r="F27" s="92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3" t="n">
        <v>780</v>
      </c>
    </row>
    <row r="28" customFormat="false" ht="12" hidden="false" customHeight="true" outlineLevel="0" collapsed="false">
      <c r="A28" s="91"/>
      <c r="B28" s="52"/>
      <c r="C28" s="52" t="n">
        <v>2</v>
      </c>
      <c r="D28" s="52" t="n">
        <v>132</v>
      </c>
      <c r="E28" s="92"/>
      <c r="F28" s="92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3" t="n">
        <v>780</v>
      </c>
    </row>
    <row r="29" customFormat="false" ht="11.25" hidden="false" customHeight="false" outlineLevel="0" collapsed="false">
      <c r="A29" s="89" t="n">
        <v>14</v>
      </c>
      <c r="B29" s="43" t="s">
        <v>133</v>
      </c>
      <c r="C29" s="43" t="n">
        <v>0</v>
      </c>
      <c r="D29" s="43" t="n">
        <v>140</v>
      </c>
      <c r="E29" s="90" t="n">
        <f aca="false">SUM(F29:F31)</f>
        <v>0</v>
      </c>
      <c r="F29" s="90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4" t="n">
        <v>780</v>
      </c>
    </row>
    <row r="30" customFormat="false" ht="11.25" hidden="false" customHeight="true" outlineLevel="0" collapsed="false">
      <c r="A30" s="89"/>
      <c r="B30" s="43"/>
      <c r="C30" s="43" t="n">
        <v>1</v>
      </c>
      <c r="D30" s="43" t="n">
        <v>141</v>
      </c>
      <c r="E30" s="90"/>
      <c r="F30" s="90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4" t="n">
        <v>780</v>
      </c>
    </row>
    <row r="31" customFormat="false" ht="12" hidden="false" customHeight="true" outlineLevel="0" collapsed="false">
      <c r="A31" s="89"/>
      <c r="B31" s="43"/>
      <c r="C31" s="43" t="n">
        <v>2</v>
      </c>
      <c r="D31" s="43" t="n">
        <v>142</v>
      </c>
      <c r="E31" s="90"/>
      <c r="F31" s="90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4" t="n">
        <v>780</v>
      </c>
    </row>
    <row r="32" customFormat="false" ht="11.25" hidden="false" customHeight="false" outlineLevel="0" collapsed="false">
      <c r="A32" s="91" t="n">
        <v>15</v>
      </c>
      <c r="B32" s="52" t="s">
        <v>134</v>
      </c>
      <c r="C32" s="52" t="n">
        <v>0</v>
      </c>
      <c r="D32" s="52" t="n">
        <v>150</v>
      </c>
      <c r="E32" s="92" t="n">
        <f aca="false">SUM(F32:F34)</f>
        <v>0</v>
      </c>
      <c r="F32" s="92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3" t="n">
        <v>780</v>
      </c>
    </row>
    <row r="33" customFormat="false" ht="11.25" hidden="false" customHeight="true" outlineLevel="0" collapsed="false">
      <c r="A33" s="91"/>
      <c r="B33" s="52"/>
      <c r="C33" s="52" t="n">
        <v>1</v>
      </c>
      <c r="D33" s="52" t="n">
        <v>151</v>
      </c>
      <c r="E33" s="92"/>
      <c r="F33" s="92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3" t="n">
        <v>780</v>
      </c>
    </row>
    <row r="34" customFormat="false" ht="12" hidden="false" customHeight="true" outlineLevel="0" collapsed="false">
      <c r="A34" s="91"/>
      <c r="B34" s="52"/>
      <c r="C34" s="52" t="n">
        <v>2</v>
      </c>
      <c r="D34" s="52" t="n">
        <v>152</v>
      </c>
      <c r="E34" s="92"/>
      <c r="F34" s="92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3" t="n">
        <v>780</v>
      </c>
    </row>
    <row r="35" customFormat="false" ht="11.25" hidden="false" customHeight="false" outlineLevel="0" collapsed="false">
      <c r="A35" s="89" t="n">
        <v>16</v>
      </c>
      <c r="B35" s="43" t="s">
        <v>46</v>
      </c>
      <c r="C35" s="43" t="n">
        <v>0</v>
      </c>
      <c r="D35" s="43" t="n">
        <v>160</v>
      </c>
      <c r="E35" s="90" t="n">
        <f aca="false">SUM(F35:F37)</f>
        <v>0</v>
      </c>
      <c r="F35" s="90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4" t="n">
        <v>780</v>
      </c>
    </row>
    <row r="36" customFormat="false" ht="11.25" hidden="false" customHeight="true" outlineLevel="0" collapsed="false">
      <c r="A36" s="89"/>
      <c r="B36" s="43"/>
      <c r="C36" s="43" t="n">
        <v>1</v>
      </c>
      <c r="D36" s="43" t="n">
        <v>161</v>
      </c>
      <c r="E36" s="90"/>
      <c r="F36" s="90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41"/>
      <c r="BV36" s="41"/>
      <c r="BW36" s="44" t="n">
        <v>780</v>
      </c>
    </row>
    <row r="37" customFormat="false" ht="11.25" hidden="false" customHeight="true" outlineLevel="0" collapsed="false">
      <c r="A37" s="89"/>
      <c r="B37" s="43"/>
      <c r="C37" s="43" t="n">
        <v>2</v>
      </c>
      <c r="D37" s="43" t="n">
        <v>162</v>
      </c>
      <c r="E37" s="90"/>
      <c r="F37" s="90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41"/>
      <c r="BV37" s="41"/>
      <c r="BW37" s="44" t="n">
        <v>780</v>
      </c>
    </row>
    <row r="38" customFormat="false" ht="11.25" hidden="false" customHeight="false" outlineLevel="0" collapsed="false">
      <c r="A38" s="91" t="n">
        <v>17</v>
      </c>
      <c r="B38" s="52" t="s">
        <v>135</v>
      </c>
      <c r="C38" s="52" t="n">
        <v>0</v>
      </c>
      <c r="D38" s="52" t="n">
        <v>170</v>
      </c>
      <c r="E38" s="92" t="n">
        <f aca="false">SUM(F38:F40)</f>
        <v>0</v>
      </c>
      <c r="F38" s="92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3" t="n">
        <v>780</v>
      </c>
    </row>
    <row r="39" customFormat="false" ht="11.25" hidden="false" customHeight="true" outlineLevel="0" collapsed="false">
      <c r="A39" s="91"/>
      <c r="B39" s="52"/>
      <c r="C39" s="52" t="n">
        <v>1</v>
      </c>
      <c r="D39" s="52" t="n">
        <v>171</v>
      </c>
      <c r="E39" s="92"/>
      <c r="F39" s="92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3" t="n">
        <v>780</v>
      </c>
    </row>
    <row r="40" customFormat="false" ht="12" hidden="false" customHeight="true" outlineLevel="0" collapsed="false">
      <c r="A40" s="91"/>
      <c r="B40" s="52"/>
      <c r="C40" s="52" t="n">
        <v>2</v>
      </c>
      <c r="D40" s="52" t="n">
        <v>172</v>
      </c>
      <c r="E40" s="92"/>
      <c r="F40" s="92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3" t="n">
        <v>780</v>
      </c>
    </row>
    <row r="41" customFormat="false" ht="11.25" hidden="false" customHeight="false" outlineLevel="0" collapsed="false">
      <c r="A41" s="89" t="n">
        <v>18</v>
      </c>
      <c r="B41" s="43" t="s">
        <v>73</v>
      </c>
      <c r="C41" s="43" t="n">
        <v>0</v>
      </c>
      <c r="D41" s="43" t="n">
        <v>180</v>
      </c>
      <c r="E41" s="90" t="n">
        <f aca="false">SUM(F41:F43)</f>
        <v>0</v>
      </c>
      <c r="F41" s="90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1"/>
      <c r="BW41" s="44" t="n">
        <v>780</v>
      </c>
    </row>
    <row r="42" customFormat="false" ht="11.25" hidden="false" customHeight="true" outlineLevel="0" collapsed="false">
      <c r="A42" s="89"/>
      <c r="B42" s="43"/>
      <c r="C42" s="43" t="n">
        <v>1</v>
      </c>
      <c r="D42" s="43" t="n">
        <v>181</v>
      </c>
      <c r="E42" s="90"/>
      <c r="F42" s="90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1"/>
      <c r="BW42" s="44" t="n">
        <v>780</v>
      </c>
    </row>
    <row r="43" customFormat="false" ht="11.25" hidden="false" customHeight="true" outlineLevel="0" collapsed="false">
      <c r="A43" s="89"/>
      <c r="B43" s="43"/>
      <c r="C43" s="43" t="n">
        <v>2</v>
      </c>
      <c r="D43" s="43" t="n">
        <v>182</v>
      </c>
      <c r="E43" s="90"/>
      <c r="F43" s="90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4" t="n">
        <v>780</v>
      </c>
    </row>
    <row r="44" customFormat="false" ht="11.25" hidden="false" customHeight="false" outlineLevel="0" collapsed="false">
      <c r="A44" s="91" t="n">
        <v>22</v>
      </c>
      <c r="B44" s="52" t="s">
        <v>136</v>
      </c>
      <c r="C44" s="52" t="n">
        <v>0</v>
      </c>
      <c r="D44" s="52" t="n">
        <v>220</v>
      </c>
      <c r="E44" s="92" t="n">
        <f aca="false">SUM(F44:F46)</f>
        <v>0</v>
      </c>
      <c r="F44" s="92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3" t="n">
        <v>780</v>
      </c>
    </row>
    <row r="45" customFormat="false" ht="11.25" hidden="false" customHeight="false" outlineLevel="0" collapsed="false">
      <c r="A45" s="91"/>
      <c r="B45" s="52"/>
      <c r="C45" s="52" t="n">
        <v>1</v>
      </c>
      <c r="D45" s="52" t="n">
        <v>221</v>
      </c>
      <c r="E45" s="92"/>
      <c r="F45" s="92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3" t="n">
        <v>780</v>
      </c>
    </row>
    <row r="46" customFormat="false" ht="11.25" hidden="false" customHeight="false" outlineLevel="0" collapsed="false">
      <c r="A46" s="91"/>
      <c r="B46" s="52"/>
      <c r="C46" s="52" t="n">
        <v>2</v>
      </c>
      <c r="D46" s="52" t="n">
        <v>222</v>
      </c>
      <c r="E46" s="92"/>
      <c r="F46" s="92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3" t="n">
        <v>780</v>
      </c>
    </row>
    <row r="47" customFormat="false" ht="11.25" hidden="false" customHeight="false" outlineLevel="0" collapsed="false">
      <c r="A47" s="89" t="n">
        <v>23</v>
      </c>
      <c r="B47" s="43" t="s">
        <v>137</v>
      </c>
      <c r="C47" s="43" t="n">
        <v>0</v>
      </c>
      <c r="D47" s="43" t="n">
        <v>230</v>
      </c>
      <c r="E47" s="90" t="n">
        <f aca="false">SUM(F47:F49)</f>
        <v>0</v>
      </c>
      <c r="F47" s="90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41"/>
      <c r="BP47" s="41"/>
      <c r="BQ47" s="41"/>
      <c r="BR47" s="41"/>
      <c r="BS47" s="41"/>
      <c r="BT47" s="41"/>
      <c r="BU47" s="41"/>
      <c r="BV47" s="41"/>
      <c r="BW47" s="44" t="n">
        <v>780</v>
      </c>
    </row>
    <row r="48" customFormat="false" ht="11.25" hidden="false" customHeight="false" outlineLevel="0" collapsed="false">
      <c r="A48" s="89"/>
      <c r="B48" s="43"/>
      <c r="C48" s="43" t="n">
        <v>1</v>
      </c>
      <c r="D48" s="43" t="n">
        <v>231</v>
      </c>
      <c r="E48" s="90"/>
      <c r="F48" s="90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41"/>
      <c r="BP48" s="41"/>
      <c r="BQ48" s="41"/>
      <c r="BR48" s="41"/>
      <c r="BS48" s="41"/>
      <c r="BT48" s="41"/>
      <c r="BU48" s="41"/>
      <c r="BV48" s="41"/>
      <c r="BW48" s="44" t="n">
        <v>780</v>
      </c>
    </row>
    <row r="49" customFormat="false" ht="11.25" hidden="false" customHeight="false" outlineLevel="0" collapsed="false">
      <c r="A49" s="89"/>
      <c r="B49" s="43"/>
      <c r="C49" s="43" t="n">
        <v>2</v>
      </c>
      <c r="D49" s="43" t="n">
        <v>232</v>
      </c>
      <c r="E49" s="90"/>
      <c r="F49" s="90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41"/>
      <c r="BP49" s="41"/>
      <c r="BQ49" s="41"/>
      <c r="BR49" s="41"/>
      <c r="BS49" s="41"/>
      <c r="BT49" s="41"/>
      <c r="BU49" s="41"/>
      <c r="BV49" s="41"/>
      <c r="BW49" s="44" t="n">
        <v>780</v>
      </c>
    </row>
    <row r="50" customFormat="false" ht="11.25" hidden="false" customHeight="false" outlineLevel="0" collapsed="false">
      <c r="A50" s="91" t="n">
        <v>26</v>
      </c>
      <c r="B50" s="52" t="s">
        <v>138</v>
      </c>
      <c r="C50" s="52" t="n">
        <v>0</v>
      </c>
      <c r="D50" s="52" t="n">
        <v>260</v>
      </c>
      <c r="E50" s="92" t="n">
        <f aca="false">SUM(F50:F52)</f>
        <v>0</v>
      </c>
      <c r="F50" s="92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3" t="n">
        <v>780</v>
      </c>
    </row>
    <row r="51" customFormat="false" ht="11.25" hidden="false" customHeight="false" outlineLevel="0" collapsed="false">
      <c r="A51" s="91"/>
      <c r="B51" s="52"/>
      <c r="C51" s="52" t="n">
        <v>1</v>
      </c>
      <c r="D51" s="52" t="n">
        <v>261</v>
      </c>
      <c r="E51" s="92"/>
      <c r="F51" s="92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3" t="n">
        <v>780</v>
      </c>
    </row>
    <row r="52" customFormat="false" ht="11.25" hidden="false" customHeight="false" outlineLevel="0" collapsed="false">
      <c r="A52" s="91"/>
      <c r="B52" s="52"/>
      <c r="C52" s="52" t="n">
        <v>2</v>
      </c>
      <c r="D52" s="52" t="n">
        <v>262</v>
      </c>
      <c r="E52" s="92"/>
      <c r="F52" s="92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3" t="n">
        <v>780</v>
      </c>
    </row>
    <row r="53" customFormat="false" ht="11.25" hidden="false" customHeight="false" outlineLevel="0" collapsed="false">
      <c r="A53" s="89" t="n">
        <v>27</v>
      </c>
      <c r="B53" s="43" t="s">
        <v>139</v>
      </c>
      <c r="C53" s="43" t="n">
        <v>0</v>
      </c>
      <c r="D53" s="43" t="n">
        <v>270</v>
      </c>
      <c r="E53" s="90" t="n">
        <f aca="false">SUM(F53:F55)</f>
        <v>0</v>
      </c>
      <c r="F53" s="90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41"/>
      <c r="BP53" s="41"/>
      <c r="BQ53" s="41"/>
      <c r="BR53" s="41"/>
      <c r="BS53" s="41"/>
      <c r="BT53" s="41"/>
      <c r="BU53" s="41"/>
      <c r="BV53" s="41"/>
      <c r="BW53" s="44" t="n">
        <v>780</v>
      </c>
    </row>
    <row r="54" customFormat="false" ht="11.25" hidden="false" customHeight="false" outlineLevel="0" collapsed="false">
      <c r="A54" s="89"/>
      <c r="B54" s="43"/>
      <c r="C54" s="43" t="n">
        <v>1</v>
      </c>
      <c r="D54" s="43" t="n">
        <v>271</v>
      </c>
      <c r="E54" s="90"/>
      <c r="F54" s="90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41"/>
      <c r="BP54" s="41"/>
      <c r="BQ54" s="41"/>
      <c r="BR54" s="41"/>
      <c r="BS54" s="41"/>
      <c r="BT54" s="41"/>
      <c r="BU54" s="41"/>
      <c r="BV54" s="41"/>
      <c r="BW54" s="44" t="n">
        <v>780</v>
      </c>
    </row>
    <row r="55" customFormat="false" ht="11.25" hidden="false" customHeight="false" outlineLevel="0" collapsed="false">
      <c r="A55" s="89"/>
      <c r="B55" s="43"/>
      <c r="C55" s="43" t="n">
        <v>2</v>
      </c>
      <c r="D55" s="43" t="n">
        <v>272</v>
      </c>
      <c r="E55" s="90"/>
      <c r="F55" s="90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4" t="n">
        <v>780</v>
      </c>
    </row>
    <row r="56" customFormat="false" ht="11.25" hidden="false" customHeight="false" outlineLevel="0" collapsed="false">
      <c r="A56" s="91" t="n">
        <v>28</v>
      </c>
      <c r="B56" s="52" t="s">
        <v>140</v>
      </c>
      <c r="C56" s="52" t="n">
        <v>0</v>
      </c>
      <c r="D56" s="52" t="n">
        <v>280</v>
      </c>
      <c r="E56" s="92" t="n">
        <f aca="false">SUM(F56:F58)</f>
        <v>0</v>
      </c>
      <c r="F56" s="92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3" t="n">
        <v>780</v>
      </c>
    </row>
    <row r="57" customFormat="false" ht="11.25" hidden="false" customHeight="false" outlineLevel="0" collapsed="false">
      <c r="A57" s="91"/>
      <c r="B57" s="52"/>
      <c r="C57" s="52" t="n">
        <v>1</v>
      </c>
      <c r="D57" s="52" t="n">
        <v>281</v>
      </c>
      <c r="E57" s="92"/>
      <c r="F57" s="92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  <c r="BK57" s="50"/>
      <c r="BL57" s="50"/>
      <c r="BM57" s="50"/>
      <c r="BN57" s="50"/>
      <c r="BO57" s="50"/>
      <c r="BP57" s="50"/>
      <c r="BQ57" s="50"/>
      <c r="BR57" s="50"/>
      <c r="BS57" s="50"/>
      <c r="BT57" s="50"/>
      <c r="BU57" s="50"/>
      <c r="BV57" s="50"/>
      <c r="BW57" s="53" t="n">
        <v>780</v>
      </c>
    </row>
    <row r="58" customFormat="false" ht="11.25" hidden="false" customHeight="false" outlineLevel="0" collapsed="false">
      <c r="A58" s="91"/>
      <c r="B58" s="52"/>
      <c r="C58" s="52" t="n">
        <v>2</v>
      </c>
      <c r="D58" s="52" t="n">
        <v>282</v>
      </c>
      <c r="E58" s="92"/>
      <c r="F58" s="92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3" t="n">
        <v>780</v>
      </c>
    </row>
    <row r="59" customFormat="false" ht="11.25" hidden="false" customHeight="false" outlineLevel="0" collapsed="false">
      <c r="A59" s="89" t="n">
        <v>29</v>
      </c>
      <c r="B59" s="43" t="s">
        <v>141</v>
      </c>
      <c r="C59" s="43" t="n">
        <v>0</v>
      </c>
      <c r="D59" s="43" t="n">
        <v>290</v>
      </c>
      <c r="E59" s="90" t="n">
        <f aca="false">SUM(F59:F61)</f>
        <v>0</v>
      </c>
      <c r="F59" s="90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  <c r="BK59" s="41"/>
      <c r="BL59" s="41"/>
      <c r="BM59" s="41"/>
      <c r="BN59" s="41"/>
      <c r="BO59" s="41"/>
      <c r="BP59" s="41"/>
      <c r="BQ59" s="41"/>
      <c r="BR59" s="41"/>
      <c r="BS59" s="41"/>
      <c r="BT59" s="41"/>
      <c r="BU59" s="41"/>
      <c r="BV59" s="41"/>
      <c r="BW59" s="44" t="n">
        <v>780</v>
      </c>
    </row>
    <row r="60" customFormat="false" ht="11.25" hidden="false" customHeight="false" outlineLevel="0" collapsed="false">
      <c r="A60" s="89"/>
      <c r="B60" s="43"/>
      <c r="C60" s="43" t="n">
        <v>1</v>
      </c>
      <c r="D60" s="43" t="n">
        <v>291</v>
      </c>
      <c r="E60" s="90"/>
      <c r="F60" s="90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  <c r="BK60" s="41"/>
      <c r="BL60" s="41"/>
      <c r="BM60" s="41"/>
      <c r="BN60" s="41"/>
      <c r="BO60" s="41"/>
      <c r="BP60" s="41"/>
      <c r="BQ60" s="41"/>
      <c r="BR60" s="41"/>
      <c r="BS60" s="41"/>
      <c r="BT60" s="41"/>
      <c r="BU60" s="41"/>
      <c r="BV60" s="41"/>
      <c r="BW60" s="44" t="n">
        <v>780</v>
      </c>
    </row>
    <row r="61" customFormat="false" ht="11.25" hidden="false" customHeight="false" outlineLevel="0" collapsed="false">
      <c r="A61" s="89"/>
      <c r="B61" s="43"/>
      <c r="C61" s="43" t="n">
        <v>2</v>
      </c>
      <c r="D61" s="43" t="n">
        <v>292</v>
      </c>
      <c r="E61" s="90"/>
      <c r="F61" s="90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  <c r="BK61" s="41"/>
      <c r="BL61" s="41"/>
      <c r="BM61" s="41"/>
      <c r="BN61" s="41"/>
      <c r="BO61" s="41"/>
      <c r="BP61" s="41"/>
      <c r="BQ61" s="41"/>
      <c r="BR61" s="41"/>
      <c r="BS61" s="41"/>
      <c r="BT61" s="41"/>
      <c r="BU61" s="41"/>
      <c r="BV61" s="41"/>
      <c r="BW61" s="44" t="n">
        <v>780</v>
      </c>
    </row>
    <row r="62" customFormat="false" ht="11.25" hidden="false" customHeight="false" outlineLevel="0" collapsed="false">
      <c r="A62" s="91" t="n">
        <v>30</v>
      </c>
      <c r="B62" s="52" t="s">
        <v>142</v>
      </c>
      <c r="C62" s="52" t="n">
        <v>0</v>
      </c>
      <c r="D62" s="52" t="n">
        <v>300</v>
      </c>
      <c r="E62" s="92" t="n">
        <f aca="false">SUM(F62:F64)</f>
        <v>0</v>
      </c>
      <c r="F62" s="92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  <c r="BO62" s="50"/>
      <c r="BP62" s="50"/>
      <c r="BQ62" s="50"/>
      <c r="BR62" s="50"/>
      <c r="BS62" s="50"/>
      <c r="BT62" s="50"/>
      <c r="BU62" s="50"/>
      <c r="BV62" s="50"/>
      <c r="BW62" s="53" t="n">
        <v>780</v>
      </c>
    </row>
    <row r="63" customFormat="false" ht="11.25" hidden="false" customHeight="false" outlineLevel="0" collapsed="false">
      <c r="A63" s="91"/>
      <c r="B63" s="52"/>
      <c r="C63" s="52" t="n">
        <v>1</v>
      </c>
      <c r="D63" s="52" t="n">
        <v>301</v>
      </c>
      <c r="E63" s="92"/>
      <c r="F63" s="92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50"/>
      <c r="BV63" s="50"/>
      <c r="BW63" s="53" t="n">
        <v>780</v>
      </c>
    </row>
    <row r="64" customFormat="false" ht="11.25" hidden="false" customHeight="false" outlineLevel="0" collapsed="false">
      <c r="A64" s="91"/>
      <c r="B64" s="52"/>
      <c r="C64" s="52" t="n">
        <v>2</v>
      </c>
      <c r="D64" s="52" t="n">
        <v>302</v>
      </c>
      <c r="E64" s="92"/>
      <c r="F64" s="92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0"/>
      <c r="BR64" s="50"/>
      <c r="BS64" s="50"/>
      <c r="BT64" s="50"/>
      <c r="BU64" s="50"/>
      <c r="BV64" s="50"/>
      <c r="BW64" s="53" t="n">
        <v>780</v>
      </c>
    </row>
    <row r="65" customFormat="false" ht="11.25" hidden="false" customHeight="false" outlineLevel="0" collapsed="false">
      <c r="A65" s="89" t="n">
        <v>31</v>
      </c>
      <c r="B65" s="43" t="s">
        <v>143</v>
      </c>
      <c r="C65" s="43" t="n">
        <v>0</v>
      </c>
      <c r="D65" s="43" t="n">
        <v>310</v>
      </c>
      <c r="E65" s="90" t="n">
        <f aca="false">SUM(F65:F67)</f>
        <v>0</v>
      </c>
      <c r="F65" s="90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  <c r="BL65" s="41"/>
      <c r="BM65" s="41"/>
      <c r="BN65" s="41"/>
      <c r="BO65" s="41"/>
      <c r="BP65" s="41"/>
      <c r="BQ65" s="41"/>
      <c r="BR65" s="41"/>
      <c r="BS65" s="41"/>
      <c r="BT65" s="41"/>
      <c r="BU65" s="41"/>
      <c r="BV65" s="41"/>
      <c r="BW65" s="44" t="n">
        <v>780</v>
      </c>
    </row>
    <row r="66" customFormat="false" ht="11.25" hidden="false" customHeight="false" outlineLevel="0" collapsed="false">
      <c r="A66" s="89"/>
      <c r="B66" s="43"/>
      <c r="C66" s="43" t="n">
        <v>1</v>
      </c>
      <c r="D66" s="43" t="n">
        <v>311</v>
      </c>
      <c r="E66" s="90"/>
      <c r="F66" s="90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/>
      <c r="BP66" s="41"/>
      <c r="BQ66" s="41"/>
      <c r="BR66" s="41"/>
      <c r="BS66" s="41"/>
      <c r="BT66" s="41"/>
      <c r="BU66" s="41"/>
      <c r="BV66" s="41"/>
      <c r="BW66" s="44" t="n">
        <v>780</v>
      </c>
    </row>
    <row r="67" customFormat="false" ht="11.25" hidden="false" customHeight="false" outlineLevel="0" collapsed="false">
      <c r="A67" s="89"/>
      <c r="B67" s="43"/>
      <c r="C67" s="43" t="n">
        <v>2</v>
      </c>
      <c r="D67" s="43" t="n">
        <v>312</v>
      </c>
      <c r="E67" s="90"/>
      <c r="F67" s="90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41"/>
      <c r="BL67" s="41"/>
      <c r="BM67" s="41"/>
      <c r="BN67" s="41"/>
      <c r="BO67" s="41"/>
      <c r="BP67" s="41"/>
      <c r="BQ67" s="41"/>
      <c r="BR67" s="41"/>
      <c r="BS67" s="41"/>
      <c r="BT67" s="41"/>
      <c r="BU67" s="41"/>
      <c r="BV67" s="41"/>
      <c r="BW67" s="44" t="n">
        <v>780</v>
      </c>
    </row>
    <row r="68" customFormat="false" ht="11.25" hidden="false" customHeight="false" outlineLevel="0" collapsed="false">
      <c r="A68" s="91" t="n">
        <v>62</v>
      </c>
      <c r="B68" s="52" t="s">
        <v>144</v>
      </c>
      <c r="C68" s="52" t="n">
        <v>0</v>
      </c>
      <c r="D68" s="52" t="n">
        <v>620</v>
      </c>
      <c r="E68" s="92" t="n">
        <f aca="false">SUM(F68:F70)</f>
        <v>0</v>
      </c>
      <c r="F68" s="92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  <c r="BS68" s="50"/>
      <c r="BT68" s="50"/>
      <c r="BU68" s="50"/>
      <c r="BV68" s="50"/>
      <c r="BW68" s="53" t="n">
        <v>780</v>
      </c>
    </row>
    <row r="69" customFormat="false" ht="11.25" hidden="false" customHeight="false" outlineLevel="0" collapsed="false">
      <c r="A69" s="91"/>
      <c r="B69" s="52"/>
      <c r="C69" s="52" t="n">
        <v>1</v>
      </c>
      <c r="D69" s="52" t="n">
        <v>621</v>
      </c>
      <c r="E69" s="92"/>
      <c r="F69" s="92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/>
      <c r="BR69" s="50"/>
      <c r="BS69" s="50"/>
      <c r="BT69" s="50"/>
      <c r="BU69" s="50"/>
      <c r="BV69" s="50"/>
      <c r="BW69" s="53" t="n">
        <v>780</v>
      </c>
    </row>
    <row r="70" customFormat="false" ht="11.25" hidden="false" customHeight="false" outlineLevel="0" collapsed="false">
      <c r="A70" s="91"/>
      <c r="B70" s="52"/>
      <c r="C70" s="52" t="n">
        <v>2</v>
      </c>
      <c r="D70" s="52" t="n">
        <v>622</v>
      </c>
      <c r="E70" s="92"/>
      <c r="F70" s="92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0"/>
      <c r="BS70" s="50"/>
      <c r="BT70" s="50"/>
      <c r="BU70" s="50"/>
      <c r="BV70" s="50"/>
      <c r="BW70" s="53" t="n">
        <v>780</v>
      </c>
    </row>
    <row r="71" customFormat="false" ht="13.5" hidden="false" customHeight="true" outlineLevel="0" collapsed="false">
      <c r="A71" s="93" t="s">
        <v>145</v>
      </c>
      <c r="B71" s="93"/>
      <c r="C71" s="93"/>
      <c r="D71" s="93"/>
      <c r="E71" s="94" t="n">
        <f aca="false">SUM(E5:E70)</f>
        <v>0</v>
      </c>
      <c r="F71" s="94" t="n">
        <f aca="false">SUM(F5:F70)</f>
        <v>0</v>
      </c>
      <c r="G71" s="94" t="n">
        <f aca="false">SUM(G5:G70)</f>
        <v>0</v>
      </c>
      <c r="H71" s="94" t="n">
        <f aca="false">SUM(H5:H70)</f>
        <v>0</v>
      </c>
      <c r="I71" s="94" t="n">
        <f aca="false">SUM(I5:I70)</f>
        <v>0</v>
      </c>
      <c r="J71" s="94" t="n">
        <f aca="false">SUM(J5:J70)</f>
        <v>0</v>
      </c>
      <c r="K71" s="94" t="n">
        <f aca="false">SUM(K5:K70)</f>
        <v>0</v>
      </c>
      <c r="L71" s="94" t="n">
        <f aca="false">SUM(L5:L70)</f>
        <v>0</v>
      </c>
      <c r="M71" s="94" t="n">
        <f aca="false">SUM(M5:M70)</f>
        <v>0</v>
      </c>
      <c r="N71" s="94" t="n">
        <f aca="false">SUM(N5:N70)</f>
        <v>0</v>
      </c>
      <c r="O71" s="94" t="n">
        <f aca="false">SUM(O5:O70)</f>
        <v>0</v>
      </c>
      <c r="P71" s="94" t="n">
        <f aca="false">SUM(P5:P70)</f>
        <v>0</v>
      </c>
      <c r="Q71" s="94" t="n">
        <f aca="false">SUM(Q5:Q70)</f>
        <v>0</v>
      </c>
      <c r="R71" s="94" t="n">
        <f aca="false">SUM(R5:R70)</f>
        <v>0</v>
      </c>
      <c r="S71" s="94" t="n">
        <f aca="false">SUM(S5:S70)</f>
        <v>0</v>
      </c>
      <c r="T71" s="94" t="n">
        <f aca="false">SUM(T5:T70)</f>
        <v>0</v>
      </c>
      <c r="U71" s="94" t="n">
        <f aca="false">SUM(U5:U70)</f>
        <v>0</v>
      </c>
      <c r="V71" s="94" t="n">
        <f aca="false">SUM(V5:V70)</f>
        <v>0</v>
      </c>
      <c r="W71" s="94" t="n">
        <f aca="false">SUM(W5:W70)</f>
        <v>0</v>
      </c>
      <c r="X71" s="94" t="n">
        <f aca="false">SUM(X5:X70)</f>
        <v>0</v>
      </c>
      <c r="Y71" s="94" t="n">
        <f aca="false">SUM(Y5:Y70)</f>
        <v>0</v>
      </c>
      <c r="Z71" s="94" t="n">
        <f aca="false">SUM(Z5:Z70)</f>
        <v>0</v>
      </c>
      <c r="AA71" s="94" t="n">
        <f aca="false">SUM(AA5:AA70)</f>
        <v>0</v>
      </c>
      <c r="AB71" s="94" t="n">
        <f aca="false">SUM(AB5:AB70)</f>
        <v>0</v>
      </c>
      <c r="AC71" s="94" t="n">
        <f aca="false">SUM(AC5:AC70)</f>
        <v>0</v>
      </c>
      <c r="AD71" s="94" t="n">
        <f aca="false">SUM(AD5:AD70)</f>
        <v>0</v>
      </c>
      <c r="AE71" s="94" t="n">
        <f aca="false">SUM(AE5:AE70)</f>
        <v>0</v>
      </c>
      <c r="AF71" s="94" t="n">
        <f aca="false">SUM(AF5:AF70)</f>
        <v>0</v>
      </c>
      <c r="AG71" s="94" t="n">
        <f aca="false">SUM(AG5:AG70)</f>
        <v>0</v>
      </c>
      <c r="AH71" s="94" t="n">
        <f aca="false">SUM(AH5:AH70)</f>
        <v>0</v>
      </c>
      <c r="AI71" s="94" t="n">
        <f aca="false">SUM(AI5:AI70)</f>
        <v>0</v>
      </c>
      <c r="AJ71" s="94" t="n">
        <f aca="false">SUM(AJ5:AJ70)</f>
        <v>0</v>
      </c>
      <c r="AK71" s="94" t="n">
        <f aca="false">SUM(AK5:AK70)</f>
        <v>0</v>
      </c>
      <c r="AL71" s="94" t="n">
        <f aca="false">SUM(AL5:AL70)</f>
        <v>0</v>
      </c>
      <c r="AM71" s="94" t="n">
        <f aca="false">SUM(AM5:AM70)</f>
        <v>0</v>
      </c>
      <c r="AN71" s="94" t="n">
        <f aca="false">SUM(AN5:AN70)</f>
        <v>0</v>
      </c>
      <c r="AO71" s="94" t="n">
        <f aca="false">SUM(AO5:AO70)</f>
        <v>0</v>
      </c>
      <c r="AP71" s="94" t="n">
        <f aca="false">SUM(AP5:AP70)</f>
        <v>0</v>
      </c>
      <c r="AQ71" s="94" t="n">
        <f aca="false">SUM(AQ5:AQ70)</f>
        <v>0</v>
      </c>
      <c r="AR71" s="94" t="n">
        <f aca="false">SUM(AR5:AR70)</f>
        <v>0</v>
      </c>
      <c r="AS71" s="94" t="n">
        <f aca="false">SUM(AS5:AS70)</f>
        <v>0</v>
      </c>
      <c r="AT71" s="94" t="n">
        <f aca="false">SUM(AT5:AT70)</f>
        <v>0</v>
      </c>
      <c r="AU71" s="94" t="n">
        <f aca="false">SUM(AU5:AU70)</f>
        <v>0</v>
      </c>
      <c r="AV71" s="94" t="n">
        <f aca="false">SUM(AV5:AV70)</f>
        <v>0</v>
      </c>
      <c r="AW71" s="94" t="n">
        <f aca="false">SUM(AW5:AW70)</f>
        <v>0</v>
      </c>
      <c r="AX71" s="94" t="n">
        <f aca="false">SUM(AX5:AX70)</f>
        <v>0</v>
      </c>
      <c r="AY71" s="94" t="n">
        <f aca="false">SUM(AY5:AY70)</f>
        <v>0</v>
      </c>
      <c r="AZ71" s="94" t="n">
        <f aca="false">SUM(AZ5:AZ70)</f>
        <v>0</v>
      </c>
      <c r="BA71" s="94" t="n">
        <f aca="false">SUM(BA5:BA70)</f>
        <v>0</v>
      </c>
      <c r="BB71" s="94" t="n">
        <f aca="false">SUM(BB5:BB70)</f>
        <v>0</v>
      </c>
      <c r="BC71" s="94" t="n">
        <f aca="false">SUM(BC5:BC70)</f>
        <v>0</v>
      </c>
      <c r="BD71" s="94" t="n">
        <f aca="false">SUM(BD5:BD70)</f>
        <v>0</v>
      </c>
      <c r="BE71" s="94" t="n">
        <f aca="false">SUM(BE5:BE70)</f>
        <v>0</v>
      </c>
      <c r="BF71" s="94" t="n">
        <f aca="false">SUM(BF5:BF70)</f>
        <v>0</v>
      </c>
      <c r="BG71" s="94" t="n">
        <f aca="false">SUM(BG5:BG70)</f>
        <v>0</v>
      </c>
      <c r="BH71" s="94" t="n">
        <f aca="false">SUM(BH5:BH70)</f>
        <v>0</v>
      </c>
      <c r="BI71" s="94" t="n">
        <f aca="false">SUM(BI5:BI70)</f>
        <v>0</v>
      </c>
      <c r="BJ71" s="94" t="n">
        <f aca="false">SUM(BJ5:BJ70)</f>
        <v>0</v>
      </c>
      <c r="BK71" s="94" t="n">
        <f aca="false">SUM(BK5:BK70)</f>
        <v>0</v>
      </c>
      <c r="BL71" s="94" t="n">
        <f aca="false">SUM(BL5:BL70)</f>
        <v>0</v>
      </c>
      <c r="BM71" s="94" t="n">
        <f aca="false">SUM(BM5:BM70)</f>
        <v>0</v>
      </c>
      <c r="BN71" s="94" t="n">
        <f aca="false">SUM(BN5:BN70)</f>
        <v>0</v>
      </c>
      <c r="BO71" s="94" t="n">
        <f aca="false">SUM(BO5:BO70)</f>
        <v>0</v>
      </c>
      <c r="BP71" s="94" t="n">
        <f aca="false">SUM(BP5:BP70)</f>
        <v>0</v>
      </c>
      <c r="BQ71" s="94" t="n">
        <f aca="false">SUM(BQ5:BQ70)</f>
        <v>0</v>
      </c>
      <c r="BR71" s="94" t="n">
        <f aca="false">SUM(BR5:BR70)</f>
        <v>0</v>
      </c>
      <c r="BS71" s="94" t="n">
        <f aca="false">SUM(BS5:BS70)</f>
        <v>0</v>
      </c>
      <c r="BT71" s="94" t="n">
        <f aca="false">SUM(BT5:BT70)</f>
        <v>0</v>
      </c>
      <c r="BU71" s="94" t="n">
        <f aca="false">SUM(BU5:BU70)</f>
        <v>0</v>
      </c>
      <c r="BV71" s="94" t="n">
        <f aca="false">SUM(BV5:BV70)</f>
        <v>0</v>
      </c>
      <c r="BW71" s="94"/>
    </row>
  </sheetData>
  <mergeCells count="89">
    <mergeCell ref="A2:A4"/>
    <mergeCell ref="B2:B4"/>
    <mergeCell ref="C2:C4"/>
    <mergeCell ref="D2:D4"/>
    <mergeCell ref="E2:E4"/>
    <mergeCell ref="F2:F4"/>
    <mergeCell ref="G2:J2"/>
    <mergeCell ref="N2:R2"/>
    <mergeCell ref="U2:W2"/>
    <mergeCell ref="X2:Z2"/>
    <mergeCell ref="AB2:AC2"/>
    <mergeCell ref="AE2:AF2"/>
    <mergeCell ref="AG2:AH2"/>
    <mergeCell ref="AI2:AJ2"/>
    <mergeCell ref="AL2:AM2"/>
    <mergeCell ref="AN2:AP2"/>
    <mergeCell ref="AQ2:AR2"/>
    <mergeCell ref="AS2:AT2"/>
    <mergeCell ref="AU2:AV2"/>
    <mergeCell ref="AW2:AY2"/>
    <mergeCell ref="AZ2:BI2"/>
    <mergeCell ref="BW2:BW4"/>
    <mergeCell ref="A5:A7"/>
    <mergeCell ref="B5:B7"/>
    <mergeCell ref="E5:E7"/>
    <mergeCell ref="A8:A10"/>
    <mergeCell ref="B8:B10"/>
    <mergeCell ref="E8:E10"/>
    <mergeCell ref="A11:A13"/>
    <mergeCell ref="B11:B13"/>
    <mergeCell ref="E11:E13"/>
    <mergeCell ref="A14:A16"/>
    <mergeCell ref="B14:B16"/>
    <mergeCell ref="E14:E16"/>
    <mergeCell ref="A17:A19"/>
    <mergeCell ref="B17:B19"/>
    <mergeCell ref="E17:E19"/>
    <mergeCell ref="A20:A22"/>
    <mergeCell ref="B20:B22"/>
    <mergeCell ref="E20:E22"/>
    <mergeCell ref="A23:A25"/>
    <mergeCell ref="B23:B25"/>
    <mergeCell ref="E23:E25"/>
    <mergeCell ref="A26:A28"/>
    <mergeCell ref="B26:B28"/>
    <mergeCell ref="E26:E28"/>
    <mergeCell ref="A29:A31"/>
    <mergeCell ref="B29:B31"/>
    <mergeCell ref="E29:E31"/>
    <mergeCell ref="A32:A34"/>
    <mergeCell ref="B32:B34"/>
    <mergeCell ref="E32:E34"/>
    <mergeCell ref="A35:A37"/>
    <mergeCell ref="B35:B37"/>
    <mergeCell ref="E35:E37"/>
    <mergeCell ref="A38:A40"/>
    <mergeCell ref="B38:B40"/>
    <mergeCell ref="E38:E40"/>
    <mergeCell ref="A41:A43"/>
    <mergeCell ref="B41:B43"/>
    <mergeCell ref="E41:E43"/>
    <mergeCell ref="A44:A46"/>
    <mergeCell ref="B44:B46"/>
    <mergeCell ref="E44:E46"/>
    <mergeCell ref="A47:A49"/>
    <mergeCell ref="B47:B49"/>
    <mergeCell ref="E47:E49"/>
    <mergeCell ref="A50:A52"/>
    <mergeCell ref="B50:B52"/>
    <mergeCell ref="E50:E52"/>
    <mergeCell ref="A53:A55"/>
    <mergeCell ref="B53:B55"/>
    <mergeCell ref="E53:E55"/>
    <mergeCell ref="A56:A58"/>
    <mergeCell ref="B56:B58"/>
    <mergeCell ref="E56:E58"/>
    <mergeCell ref="A59:A61"/>
    <mergeCell ref="B59:B61"/>
    <mergeCell ref="E59:E61"/>
    <mergeCell ref="A62:A64"/>
    <mergeCell ref="B62:B64"/>
    <mergeCell ref="E62:E64"/>
    <mergeCell ref="A65:A67"/>
    <mergeCell ref="B65:B67"/>
    <mergeCell ref="E65:E67"/>
    <mergeCell ref="A68:A70"/>
    <mergeCell ref="B68:B70"/>
    <mergeCell ref="E68:E70"/>
    <mergeCell ref="A71:D71"/>
  </mergeCells>
  <conditionalFormatting sqref="G3:AJ4 BL3:BL4 BU3:BU4">
    <cfRule type="duplicateValues" priority="2" aboveAverage="0" equalAverage="0" bottom="0" percent="0" rank="0" text="" dxfId="4"/>
  </conditionalFormatting>
  <conditionalFormatting sqref="G3:BV4">
    <cfRule type="duplicateValues" priority="3" aboveAverage="0" equalAverage="0" bottom="0" percent="0" rank="0" text="" dxfId="4"/>
    <cfRule type="duplicateValues" priority="4" aboveAverage="0" equalAverage="0" bottom="0" percent="0" rank="0" text="" dxfId="4"/>
  </conditionalFormatting>
  <conditionalFormatting sqref="P6 P12 P18 P24 P30 P36 P42 P48 P51 P54 P57 P60 P63 P66 P69 Q5:Q70 BW6 BW12 BW18 BW24 BW30 BW36 BW42 BW48 BW51 BW54 BW57 BW60 BW63 BW66 BW69">
    <cfRule type="cellIs" priority="5" operator="greaterThan" aboveAverage="0" equalAverage="0" bottom="0" percent="0" rank="0" text="" dxfId="3">
      <formula>0</formula>
    </cfRule>
  </conditionalFormatting>
  <conditionalFormatting sqref="E5:E70">
    <cfRule type="cellIs" priority="6" operator="greaterThan" aboveAverage="0" equalAverage="0" bottom="0" percent="0" rank="0" text="" dxfId="2">
      <formula>900</formula>
    </cfRule>
  </conditionalFormatting>
  <conditionalFormatting sqref="Q8:R10 Q14:R16 Q20:R22 Q26:R28 Q32:R34 Q38:R40 Q44:R46 Q50:R70 AF8:AF10 AF14:AF16 AF20:AF22 AF26:AF28 AF32:AF34 AF38:AF40 AF44:AF46 AF50:AF70">
    <cfRule type="cellIs" priority="7" operator="lessThan" aboveAverage="0" equalAverage="0" bottom="0" percent="0" rank="0" text="" dxfId="0">
      <formula>0</formula>
    </cfRule>
  </conditionalFormatting>
  <conditionalFormatting sqref="P6:Q6 P12:Q12 P18:Q18 P24:Q24 P30:Q30 P36:Q36 P42:Q42 P48:Q48 P51:Q51 P54:Q54 P57:Q57 P60:Q60 P63:Q63 P66:Q66 P69:Q69 Q5:R70 AE6 AE12 AE18 AE24 AE30 AE36 AE42 AE48 AE51 AE54 AE57 AE60 AE63 AE66 AE69 AF5:AF70 BW6 BW12 BW18 BW24 BW30 BW36 BW42 BW48 BW51 BW54 BW57 BW60 BW63 BW66 BW69">
    <cfRule type="cellIs" priority="8" operator="lessThan" aboveAverage="0" equalAverage="0" bottom="0" percent="0" rank="0" text="" dxfId="1">
      <formula>0</formula>
    </cfRule>
  </conditionalFormatting>
  <conditionalFormatting sqref="G8:AY10 G14:AY16 G20:AY22 G26:AY28 G32:AY34 G38:AY40 G44:AY46 G50:AY70 H6:O6 H12:O12 H18:O18 H24:O24 H30:O30 H36:O36 H42:O42 H48:O48 I5:P70 AY6:BJ6 AY12:BJ12 AY18:BJ18 AY24:BJ24 AY30:BJ30 AY36:BJ36 AY42:BJ42 AY48:BJ48 AY51:BJ51 AY54:BJ54 AY57:BJ57 AY60:BJ60 AY63:BJ63 AY66:BJ66 AY69:BJ69 AZ5:BK70 BL6:BS6 BL8:BL10 BL12:BS12 BL14:BL16 BL18:BS18 BL20:BL22 BL24:BS24 BL26:BL28 BL30:BS30 BL32:BL34 BL36:BS36 BL38:BL40 BL42:BS42 BL44:BL46 BL48:BS48 BL50:BL70 BL51:BS51 BL54:BS54 BL57:BS57 BL60:BS60 BL63:BS63 BL66:BS66 BL69:BS69 BM5:BT70 BU6 BU8:BU10 BU12 BU14:BU16 BU18 BU20:BU22 BU24 BU26:BU28 BU30 BU32:BU34 BU36 BU38:BU40 BU42 BU44:BU46 BU48 BU50:BU70 BV5:BV70">
    <cfRule type="cellIs" priority="9" operator="equal" aboveAverage="0" equalAverage="0" bottom="0" percent="0" rank="0" text="" dxfId="0">
      <formula>0</formula>
    </cfRule>
  </conditionalFormatting>
  <conditionalFormatting sqref="F6:BU6 F12:BU12 F18:BU18 F24:BU24 F30:BU30 F36:BU36 F42:BU42 F48:BU48 F51:BU51 F54:BU54 F57:BU57 F60:BU60 F63:BU63 F66:BU66 F69:BU69 G5:BV70">
    <cfRule type="cellIs" priority="10" operator="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590277777777778" right="0.39375" top="0.39375" bottom="0.1965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2"/>
  <sheetViews>
    <sheetView showFormulas="false" showGridLines="true" showRowColHeaders="true" showZeros="true" rightToLeft="false" tabSelected="true" showOutlineSymbols="true" defaultGridColor="true" view="normal" topLeftCell="A3" colorId="64" zoomScale="100" zoomScaleNormal="100" zoomScalePageLayoutView="100" workbookViewId="0">
      <selection pane="topLeft" activeCell="Q12" activeCellId="0" sqref="Q12"/>
    </sheetView>
  </sheetViews>
  <sheetFormatPr defaultColWidth="8.6796875" defaultRowHeight="12.75" zeroHeight="false" outlineLevelRow="0" outlineLevelCol="0"/>
  <sheetData>
    <row r="1" s="19" customFormat="true" ht="15.75" hidden="false" customHeight="true" outlineLevel="0" collapsed="false">
      <c r="B1" s="85" t="s">
        <v>127</v>
      </c>
      <c r="G1" s="69"/>
      <c r="H1" s="69"/>
      <c r="I1" s="69"/>
      <c r="J1" s="69"/>
      <c r="K1" s="69"/>
      <c r="L1" s="69"/>
      <c r="M1" s="69"/>
      <c r="N1" s="69"/>
      <c r="O1" s="69"/>
      <c r="P1" s="69"/>
    </row>
    <row r="2" s="88" customFormat="true" ht="63" hidden="false" customHeight="true" outlineLevel="0" collapsed="false">
      <c r="A2" s="86" t="s">
        <v>11</v>
      </c>
      <c r="B2" s="87" t="s">
        <v>12</v>
      </c>
      <c r="C2" s="28" t="s">
        <v>13</v>
      </c>
      <c r="D2" s="28"/>
      <c r="E2" s="28" t="s">
        <v>60</v>
      </c>
      <c r="F2" s="28" t="s">
        <v>15</v>
      </c>
      <c r="G2" s="24" t="s">
        <v>146</v>
      </c>
      <c r="H2" s="24" t="s">
        <v>147</v>
      </c>
      <c r="I2" s="24" t="s">
        <v>148</v>
      </c>
      <c r="J2" s="24" t="s">
        <v>149</v>
      </c>
      <c r="K2" s="24" t="s">
        <v>150</v>
      </c>
      <c r="L2" s="24" t="s">
        <v>151</v>
      </c>
      <c r="M2" s="24" t="s">
        <v>152</v>
      </c>
      <c r="N2" s="24" t="s">
        <v>153</v>
      </c>
      <c r="O2" s="24" t="s">
        <v>154</v>
      </c>
      <c r="P2" s="29" t="s">
        <v>49</v>
      </c>
    </row>
    <row r="3" s="88" customFormat="true" ht="71.25" hidden="false" customHeight="true" outlineLevel="0" collapsed="false">
      <c r="A3" s="86"/>
      <c r="B3" s="87"/>
      <c r="C3" s="87"/>
      <c r="D3" s="87"/>
      <c r="E3" s="87"/>
      <c r="F3" s="87"/>
      <c r="G3" s="95" t="n">
        <v>77223760999</v>
      </c>
      <c r="H3" s="95" t="n">
        <v>77223763499</v>
      </c>
      <c r="I3" s="33" t="n">
        <v>77223764999</v>
      </c>
      <c r="J3" s="95" t="n">
        <v>77234651199</v>
      </c>
      <c r="K3" s="95" t="n">
        <v>77234350499</v>
      </c>
      <c r="L3" s="33" t="n">
        <v>77225650499</v>
      </c>
      <c r="M3" s="33" t="n">
        <v>77234051699</v>
      </c>
      <c r="N3" s="33" t="n">
        <v>77234250999</v>
      </c>
      <c r="O3" s="33" t="n">
        <v>77233925499</v>
      </c>
      <c r="P3" s="29"/>
    </row>
    <row r="4" s="88" customFormat="true" ht="62.25" hidden="false" customHeight="true" outlineLevel="0" collapsed="false">
      <c r="A4" s="86"/>
      <c r="B4" s="87"/>
      <c r="C4" s="87"/>
      <c r="D4" s="87"/>
      <c r="E4" s="87"/>
      <c r="F4" s="87"/>
      <c r="G4" s="95" t="n">
        <v>77223760000</v>
      </c>
      <c r="H4" s="95" t="n">
        <v>77223763000</v>
      </c>
      <c r="I4" s="33" t="n">
        <v>77223764000</v>
      </c>
      <c r="J4" s="95" t="n">
        <v>77234651000</v>
      </c>
      <c r="K4" s="95" t="n">
        <v>77234350000</v>
      </c>
      <c r="L4" s="33" t="n">
        <v>77225650000</v>
      </c>
      <c r="M4" s="33" t="n">
        <v>77234051000</v>
      </c>
      <c r="N4" s="33" t="n">
        <v>77234250900</v>
      </c>
      <c r="O4" s="33" t="n">
        <v>77233925000</v>
      </c>
      <c r="P4" s="29"/>
    </row>
    <row r="5" s="84" customFormat="true" ht="11.25" hidden="false" customHeight="true" outlineLevel="0" collapsed="false">
      <c r="A5" s="89" t="n">
        <v>1004</v>
      </c>
      <c r="B5" s="43" t="s">
        <v>146</v>
      </c>
      <c r="C5" s="43" t="n">
        <v>0</v>
      </c>
      <c r="D5" s="43" t="n">
        <v>10040</v>
      </c>
      <c r="E5" s="90" t="n">
        <f aca="false">SUM(F5:F7)</f>
        <v>0</v>
      </c>
      <c r="F5" s="90"/>
      <c r="G5" s="41"/>
      <c r="H5" s="41"/>
      <c r="I5" s="41"/>
      <c r="J5" s="41"/>
      <c r="K5" s="41"/>
      <c r="L5" s="41"/>
      <c r="M5" s="41"/>
      <c r="N5" s="41"/>
      <c r="O5" s="41"/>
      <c r="P5" s="96" t="n">
        <v>300</v>
      </c>
    </row>
    <row r="6" s="84" customFormat="true" ht="11.25" hidden="false" customHeight="true" outlineLevel="0" collapsed="false">
      <c r="A6" s="89"/>
      <c r="B6" s="43"/>
      <c r="C6" s="43" t="n">
        <v>1</v>
      </c>
      <c r="D6" s="43" t="n">
        <v>10041</v>
      </c>
      <c r="E6" s="90"/>
      <c r="F6" s="90"/>
      <c r="G6" s="41"/>
      <c r="H6" s="41"/>
      <c r="I6" s="41"/>
      <c r="J6" s="41"/>
      <c r="K6" s="41"/>
      <c r="L6" s="41"/>
      <c r="M6" s="41"/>
      <c r="N6" s="41"/>
      <c r="O6" s="41"/>
      <c r="P6" s="96" t="n">
        <v>300</v>
      </c>
    </row>
    <row r="7" s="84" customFormat="true" ht="12" hidden="false" customHeight="true" outlineLevel="0" collapsed="false">
      <c r="A7" s="89"/>
      <c r="B7" s="43"/>
      <c r="C7" s="43" t="n">
        <v>2</v>
      </c>
      <c r="D7" s="43" t="n">
        <v>10042</v>
      </c>
      <c r="E7" s="90"/>
      <c r="F7" s="90"/>
      <c r="G7" s="41"/>
      <c r="H7" s="41"/>
      <c r="I7" s="41"/>
      <c r="J7" s="41"/>
      <c r="K7" s="41"/>
      <c r="L7" s="41"/>
      <c r="M7" s="41"/>
      <c r="N7" s="41"/>
      <c r="O7" s="41"/>
      <c r="P7" s="96" t="n">
        <v>300</v>
      </c>
    </row>
    <row r="8" s="84" customFormat="true" ht="11.25" hidden="false" customHeight="true" outlineLevel="0" collapsed="false">
      <c r="A8" s="91" t="n">
        <v>1044</v>
      </c>
      <c r="B8" s="52" t="s">
        <v>147</v>
      </c>
      <c r="C8" s="52" t="n">
        <v>0</v>
      </c>
      <c r="D8" s="52" t="n">
        <v>10440</v>
      </c>
      <c r="E8" s="92" t="n">
        <f aca="false">SUM(F8:F10)</f>
        <v>0</v>
      </c>
      <c r="F8" s="92"/>
      <c r="G8" s="50"/>
      <c r="H8" s="50"/>
      <c r="I8" s="50"/>
      <c r="J8" s="50"/>
      <c r="K8" s="50"/>
      <c r="L8" s="50"/>
      <c r="M8" s="50"/>
      <c r="N8" s="50"/>
      <c r="O8" s="50"/>
      <c r="P8" s="97" t="n">
        <v>300</v>
      </c>
    </row>
    <row r="9" s="84" customFormat="true" ht="11.25" hidden="false" customHeight="true" outlineLevel="0" collapsed="false">
      <c r="A9" s="91"/>
      <c r="B9" s="52"/>
      <c r="C9" s="52" t="n">
        <v>1</v>
      </c>
      <c r="D9" s="52" t="n">
        <v>10441</v>
      </c>
      <c r="E9" s="92"/>
      <c r="F9" s="92"/>
      <c r="G9" s="50"/>
      <c r="H9" s="50"/>
      <c r="I9" s="50"/>
      <c r="J9" s="50"/>
      <c r="K9" s="50"/>
      <c r="L9" s="50"/>
      <c r="M9" s="50"/>
      <c r="N9" s="50"/>
      <c r="O9" s="50"/>
      <c r="P9" s="97" t="n">
        <v>300</v>
      </c>
    </row>
    <row r="10" s="84" customFormat="true" ht="12" hidden="false" customHeight="true" outlineLevel="0" collapsed="false">
      <c r="A10" s="91"/>
      <c r="B10" s="52"/>
      <c r="C10" s="52" t="n">
        <v>2</v>
      </c>
      <c r="D10" s="52" t="n">
        <v>10442</v>
      </c>
      <c r="E10" s="92"/>
      <c r="F10" s="92"/>
      <c r="G10" s="50"/>
      <c r="H10" s="50"/>
      <c r="I10" s="50"/>
      <c r="J10" s="50"/>
      <c r="K10" s="50"/>
      <c r="L10" s="50"/>
      <c r="M10" s="50"/>
      <c r="N10" s="50"/>
      <c r="O10" s="50"/>
      <c r="P10" s="97" t="n">
        <v>300</v>
      </c>
    </row>
    <row r="11" s="84" customFormat="true" ht="11.25" hidden="false" customHeight="true" outlineLevel="0" collapsed="false">
      <c r="A11" s="89" t="n">
        <v>1045</v>
      </c>
      <c r="B11" s="43" t="s">
        <v>149</v>
      </c>
      <c r="C11" s="43" t="n">
        <v>0</v>
      </c>
      <c r="D11" s="43" t="n">
        <v>10450</v>
      </c>
      <c r="E11" s="90" t="n">
        <f aca="false">SUM(F11:F13)</f>
        <v>0</v>
      </c>
      <c r="F11" s="90"/>
      <c r="G11" s="41"/>
      <c r="H11" s="41"/>
      <c r="I11" s="41"/>
      <c r="J11" s="41"/>
      <c r="K11" s="41"/>
      <c r="L11" s="41"/>
      <c r="M11" s="41"/>
      <c r="N11" s="41"/>
      <c r="O11" s="41"/>
      <c r="P11" s="96" t="n">
        <v>300</v>
      </c>
    </row>
    <row r="12" s="84" customFormat="true" ht="11.25" hidden="false" customHeight="true" outlineLevel="0" collapsed="false">
      <c r="A12" s="89"/>
      <c r="B12" s="43"/>
      <c r="C12" s="43" t="n">
        <v>1</v>
      </c>
      <c r="D12" s="43" t="n">
        <v>10451</v>
      </c>
      <c r="E12" s="90"/>
      <c r="F12" s="90"/>
      <c r="G12" s="41"/>
      <c r="H12" s="41"/>
      <c r="I12" s="41"/>
      <c r="J12" s="41"/>
      <c r="K12" s="41"/>
      <c r="L12" s="41"/>
      <c r="M12" s="41"/>
      <c r="N12" s="41"/>
      <c r="O12" s="41"/>
      <c r="P12" s="96" t="n">
        <v>300</v>
      </c>
    </row>
    <row r="13" s="84" customFormat="true" ht="12" hidden="false" customHeight="true" outlineLevel="0" collapsed="false">
      <c r="A13" s="89"/>
      <c r="B13" s="43"/>
      <c r="C13" s="43" t="n">
        <v>2</v>
      </c>
      <c r="D13" s="43" t="n">
        <v>10452</v>
      </c>
      <c r="E13" s="90"/>
      <c r="F13" s="90"/>
      <c r="G13" s="41"/>
      <c r="H13" s="41"/>
      <c r="I13" s="41"/>
      <c r="J13" s="41"/>
      <c r="K13" s="41"/>
      <c r="L13" s="41"/>
      <c r="M13" s="41"/>
      <c r="N13" s="41"/>
      <c r="O13" s="41"/>
      <c r="P13" s="96" t="n">
        <v>300</v>
      </c>
    </row>
    <row r="14" s="84" customFormat="true" ht="11.25" hidden="false" customHeight="true" outlineLevel="0" collapsed="false">
      <c r="A14" s="91" t="n">
        <v>1046</v>
      </c>
      <c r="B14" s="52" t="s">
        <v>155</v>
      </c>
      <c r="C14" s="52" t="n">
        <v>0</v>
      </c>
      <c r="D14" s="52" t="n">
        <v>10460</v>
      </c>
      <c r="E14" s="92" t="n">
        <f aca="false">SUM(F14:F16)</f>
        <v>0</v>
      </c>
      <c r="F14" s="92"/>
      <c r="G14" s="50"/>
      <c r="H14" s="50"/>
      <c r="I14" s="50"/>
      <c r="J14" s="50"/>
      <c r="K14" s="50"/>
      <c r="L14" s="50"/>
      <c r="M14" s="50"/>
      <c r="N14" s="50"/>
      <c r="O14" s="50"/>
      <c r="P14" s="97" t="n">
        <v>300</v>
      </c>
    </row>
    <row r="15" s="84" customFormat="true" ht="11.25" hidden="false" customHeight="true" outlineLevel="0" collapsed="false">
      <c r="A15" s="91"/>
      <c r="B15" s="52"/>
      <c r="C15" s="52" t="n">
        <v>1</v>
      </c>
      <c r="D15" s="52" t="n">
        <v>10461</v>
      </c>
      <c r="E15" s="92"/>
      <c r="F15" s="92"/>
      <c r="G15" s="50"/>
      <c r="H15" s="50"/>
      <c r="I15" s="50"/>
      <c r="J15" s="50"/>
      <c r="K15" s="50"/>
      <c r="L15" s="50"/>
      <c r="M15" s="50"/>
      <c r="N15" s="50"/>
      <c r="O15" s="50"/>
      <c r="P15" s="97" t="n">
        <v>300</v>
      </c>
    </row>
    <row r="16" s="84" customFormat="true" ht="12" hidden="false" customHeight="true" outlineLevel="0" collapsed="false">
      <c r="A16" s="91"/>
      <c r="B16" s="52"/>
      <c r="C16" s="52" t="n">
        <v>2</v>
      </c>
      <c r="D16" s="52" t="n">
        <v>10462</v>
      </c>
      <c r="E16" s="92"/>
      <c r="F16" s="92"/>
      <c r="G16" s="50"/>
      <c r="H16" s="50"/>
      <c r="I16" s="50"/>
      <c r="J16" s="50"/>
      <c r="K16" s="50"/>
      <c r="L16" s="50"/>
      <c r="M16" s="50"/>
      <c r="N16" s="50"/>
      <c r="O16" s="50"/>
      <c r="P16" s="97" t="n">
        <v>300</v>
      </c>
    </row>
    <row r="17" s="84" customFormat="true" ht="11.25" hidden="false" customHeight="true" outlineLevel="0" collapsed="false">
      <c r="A17" s="89" t="n">
        <v>1047</v>
      </c>
      <c r="B17" s="43" t="s">
        <v>151</v>
      </c>
      <c r="C17" s="43" t="n">
        <v>0</v>
      </c>
      <c r="D17" s="43" t="n">
        <v>10470</v>
      </c>
      <c r="E17" s="90" t="n">
        <f aca="false">SUM(F17:F19)</f>
        <v>0</v>
      </c>
      <c r="F17" s="90"/>
      <c r="G17" s="41"/>
      <c r="H17" s="41"/>
      <c r="I17" s="41"/>
      <c r="J17" s="41"/>
      <c r="K17" s="41"/>
      <c r="L17" s="41"/>
      <c r="M17" s="41"/>
      <c r="N17" s="41"/>
      <c r="O17" s="41"/>
      <c r="P17" s="96" t="n">
        <v>300</v>
      </c>
    </row>
    <row r="18" s="84" customFormat="true" ht="11.25" hidden="false" customHeight="true" outlineLevel="0" collapsed="false">
      <c r="A18" s="89"/>
      <c r="B18" s="43"/>
      <c r="C18" s="43" t="n">
        <v>1</v>
      </c>
      <c r="D18" s="43" t="n">
        <v>10471</v>
      </c>
      <c r="E18" s="90"/>
      <c r="F18" s="90"/>
      <c r="G18" s="41"/>
      <c r="H18" s="41"/>
      <c r="I18" s="41"/>
      <c r="J18" s="41"/>
      <c r="K18" s="41"/>
      <c r="L18" s="41"/>
      <c r="M18" s="41"/>
      <c r="N18" s="41"/>
      <c r="O18" s="41"/>
      <c r="P18" s="96" t="n">
        <v>300</v>
      </c>
    </row>
    <row r="19" s="84" customFormat="true" ht="12" hidden="false" customHeight="true" outlineLevel="0" collapsed="false">
      <c r="A19" s="89"/>
      <c r="B19" s="43"/>
      <c r="C19" s="43" t="n">
        <v>2</v>
      </c>
      <c r="D19" s="43" t="n">
        <v>10472</v>
      </c>
      <c r="E19" s="90"/>
      <c r="F19" s="90"/>
      <c r="G19" s="41"/>
      <c r="H19" s="41"/>
      <c r="I19" s="41"/>
      <c r="J19" s="41"/>
      <c r="K19" s="41"/>
      <c r="L19" s="41"/>
      <c r="M19" s="41"/>
      <c r="N19" s="41"/>
      <c r="O19" s="41"/>
      <c r="P19" s="96" t="n">
        <v>300</v>
      </c>
    </row>
    <row r="20" s="84" customFormat="true" ht="11.25" hidden="false" customHeight="true" outlineLevel="0" collapsed="false">
      <c r="A20" s="91" t="n">
        <v>1048</v>
      </c>
      <c r="B20" s="52" t="s">
        <v>152</v>
      </c>
      <c r="C20" s="52" t="n">
        <v>0</v>
      </c>
      <c r="D20" s="52" t="n">
        <v>10480</v>
      </c>
      <c r="E20" s="92" t="n">
        <f aca="false">SUM(F20:F22)</f>
        <v>0</v>
      </c>
      <c r="F20" s="92"/>
      <c r="G20" s="50"/>
      <c r="H20" s="50"/>
      <c r="I20" s="50"/>
      <c r="J20" s="50"/>
      <c r="K20" s="50"/>
      <c r="L20" s="50"/>
      <c r="M20" s="50"/>
      <c r="N20" s="50"/>
      <c r="O20" s="50"/>
      <c r="P20" s="97" t="n">
        <v>300</v>
      </c>
    </row>
    <row r="21" s="84" customFormat="true" ht="11.25" hidden="false" customHeight="true" outlineLevel="0" collapsed="false">
      <c r="A21" s="91"/>
      <c r="B21" s="52"/>
      <c r="C21" s="52" t="n">
        <v>1</v>
      </c>
      <c r="D21" s="52" t="n">
        <v>10481</v>
      </c>
      <c r="E21" s="92"/>
      <c r="F21" s="92"/>
      <c r="G21" s="50"/>
      <c r="H21" s="50"/>
      <c r="I21" s="50"/>
      <c r="J21" s="50"/>
      <c r="K21" s="50"/>
      <c r="L21" s="50"/>
      <c r="M21" s="50"/>
      <c r="N21" s="50"/>
      <c r="O21" s="50"/>
      <c r="P21" s="97" t="n">
        <v>300</v>
      </c>
    </row>
    <row r="22" s="84" customFormat="true" ht="12.75" hidden="false" customHeight="true" outlineLevel="0" collapsed="false">
      <c r="A22" s="91"/>
      <c r="B22" s="52"/>
      <c r="C22" s="52" t="n">
        <v>2</v>
      </c>
      <c r="D22" s="52" t="n">
        <v>10482</v>
      </c>
      <c r="E22" s="92"/>
      <c r="F22" s="92"/>
      <c r="G22" s="50"/>
      <c r="H22" s="50"/>
      <c r="I22" s="50"/>
      <c r="J22" s="50"/>
      <c r="K22" s="50"/>
      <c r="L22" s="50"/>
      <c r="M22" s="50"/>
      <c r="N22" s="50"/>
      <c r="O22" s="50"/>
      <c r="P22" s="97" t="n">
        <v>300</v>
      </c>
    </row>
    <row r="23" s="84" customFormat="true" ht="11.25" hidden="false" customHeight="true" outlineLevel="0" collapsed="false">
      <c r="A23" s="89" t="n">
        <v>1057</v>
      </c>
      <c r="B23" s="43" t="s">
        <v>153</v>
      </c>
      <c r="C23" s="43" t="n">
        <v>0</v>
      </c>
      <c r="D23" s="43" t="n">
        <v>10570</v>
      </c>
      <c r="E23" s="90" t="n">
        <f aca="false">SUM(F23:F25)</f>
        <v>0</v>
      </c>
      <c r="F23" s="90"/>
      <c r="G23" s="41"/>
      <c r="H23" s="41"/>
      <c r="I23" s="41"/>
      <c r="J23" s="41"/>
      <c r="K23" s="41"/>
      <c r="L23" s="41"/>
      <c r="M23" s="41"/>
      <c r="N23" s="41"/>
      <c r="O23" s="41"/>
      <c r="P23" s="96" t="n">
        <v>300</v>
      </c>
    </row>
    <row r="24" s="84" customFormat="true" ht="11.25" hidden="false" customHeight="true" outlineLevel="0" collapsed="false">
      <c r="A24" s="89"/>
      <c r="B24" s="43"/>
      <c r="C24" s="43" t="n">
        <v>1</v>
      </c>
      <c r="D24" s="43" t="n">
        <v>10571</v>
      </c>
      <c r="E24" s="90"/>
      <c r="F24" s="90"/>
      <c r="G24" s="41"/>
      <c r="H24" s="41"/>
      <c r="I24" s="41"/>
      <c r="J24" s="41"/>
      <c r="K24" s="41"/>
      <c r="L24" s="41"/>
      <c r="M24" s="41"/>
      <c r="N24" s="41"/>
      <c r="O24" s="41"/>
      <c r="P24" s="96" t="n">
        <v>300</v>
      </c>
    </row>
    <row r="25" s="84" customFormat="true" ht="12" hidden="false" customHeight="true" outlineLevel="0" collapsed="false">
      <c r="A25" s="89"/>
      <c r="B25" s="43"/>
      <c r="C25" s="43" t="n">
        <v>2</v>
      </c>
      <c r="D25" s="43" t="n">
        <v>10572</v>
      </c>
      <c r="E25" s="90"/>
      <c r="F25" s="90"/>
      <c r="G25" s="41"/>
      <c r="H25" s="41"/>
      <c r="I25" s="41"/>
      <c r="J25" s="41"/>
      <c r="K25" s="41"/>
      <c r="L25" s="41"/>
      <c r="M25" s="41"/>
      <c r="N25" s="41"/>
      <c r="O25" s="41"/>
      <c r="P25" s="96" t="n">
        <v>300</v>
      </c>
    </row>
    <row r="26" s="84" customFormat="true" ht="11.25" hidden="false" customHeight="true" outlineLevel="0" collapsed="false">
      <c r="A26" s="91" t="n">
        <v>1087</v>
      </c>
      <c r="B26" s="52" t="s">
        <v>148</v>
      </c>
      <c r="C26" s="52" t="n">
        <v>0</v>
      </c>
      <c r="D26" s="52" t="n">
        <v>10870</v>
      </c>
      <c r="E26" s="92" t="n">
        <f aca="false">SUM(F26:F28)</f>
        <v>0</v>
      </c>
      <c r="F26" s="92"/>
      <c r="G26" s="50"/>
      <c r="H26" s="50"/>
      <c r="I26" s="50"/>
      <c r="J26" s="50"/>
      <c r="K26" s="50"/>
      <c r="L26" s="50"/>
      <c r="M26" s="50"/>
      <c r="N26" s="50"/>
      <c r="O26" s="50"/>
      <c r="P26" s="97" t="n">
        <v>300</v>
      </c>
    </row>
    <row r="27" s="84" customFormat="true" ht="11.25" hidden="false" customHeight="true" outlineLevel="0" collapsed="false">
      <c r="A27" s="91"/>
      <c r="B27" s="52"/>
      <c r="C27" s="52" t="n">
        <v>1</v>
      </c>
      <c r="D27" s="52" t="n">
        <v>10871</v>
      </c>
      <c r="E27" s="92"/>
      <c r="F27" s="92"/>
      <c r="G27" s="50"/>
      <c r="H27" s="50"/>
      <c r="I27" s="50"/>
      <c r="J27" s="50"/>
      <c r="K27" s="50"/>
      <c r="L27" s="50"/>
      <c r="M27" s="50"/>
      <c r="N27" s="50"/>
      <c r="O27" s="50"/>
      <c r="P27" s="97" t="n">
        <v>300</v>
      </c>
    </row>
    <row r="28" s="84" customFormat="true" ht="12" hidden="false" customHeight="true" outlineLevel="0" collapsed="false">
      <c r="A28" s="91"/>
      <c r="B28" s="52"/>
      <c r="C28" s="52" t="n">
        <v>2</v>
      </c>
      <c r="D28" s="52" t="n">
        <v>10872</v>
      </c>
      <c r="E28" s="92"/>
      <c r="F28" s="92"/>
      <c r="G28" s="50"/>
      <c r="H28" s="50"/>
      <c r="I28" s="50"/>
      <c r="J28" s="50"/>
      <c r="K28" s="50"/>
      <c r="L28" s="50"/>
      <c r="M28" s="50"/>
      <c r="N28" s="50"/>
      <c r="O28" s="50"/>
      <c r="P28" s="97" t="n">
        <v>300</v>
      </c>
    </row>
    <row r="29" s="84" customFormat="true" ht="11.25" hidden="false" customHeight="true" outlineLevel="0" collapsed="false">
      <c r="A29" s="89" t="n">
        <v>1097</v>
      </c>
      <c r="B29" s="43" t="s">
        <v>154</v>
      </c>
      <c r="C29" s="43" t="n">
        <v>0</v>
      </c>
      <c r="D29" s="43" t="n">
        <v>10970</v>
      </c>
      <c r="E29" s="90" t="n">
        <f aca="false">SUM(F29:F31)</f>
        <v>0</v>
      </c>
      <c r="F29" s="90"/>
      <c r="G29" s="41"/>
      <c r="H29" s="41"/>
      <c r="I29" s="41"/>
      <c r="J29" s="41"/>
      <c r="K29" s="41"/>
      <c r="L29" s="41"/>
      <c r="M29" s="41"/>
      <c r="N29" s="41"/>
      <c r="O29" s="41"/>
      <c r="P29" s="96" t="n">
        <v>300</v>
      </c>
    </row>
    <row r="30" s="84" customFormat="true" ht="11.25" hidden="false" customHeight="true" outlineLevel="0" collapsed="false">
      <c r="A30" s="89"/>
      <c r="B30" s="43"/>
      <c r="C30" s="43" t="n">
        <v>1</v>
      </c>
      <c r="D30" s="43" t="n">
        <v>10971</v>
      </c>
      <c r="E30" s="90"/>
      <c r="F30" s="90"/>
      <c r="G30" s="41"/>
      <c r="H30" s="41"/>
      <c r="I30" s="41"/>
      <c r="J30" s="41"/>
      <c r="K30" s="41"/>
      <c r="L30" s="41"/>
      <c r="M30" s="41"/>
      <c r="N30" s="41"/>
      <c r="O30" s="41"/>
      <c r="P30" s="96" t="n">
        <v>300</v>
      </c>
    </row>
    <row r="31" s="84" customFormat="true" ht="12" hidden="false" customHeight="true" outlineLevel="0" collapsed="false">
      <c r="A31" s="89"/>
      <c r="B31" s="43"/>
      <c r="C31" s="43" t="n">
        <v>2</v>
      </c>
      <c r="D31" s="43" t="n">
        <v>10972</v>
      </c>
      <c r="E31" s="90"/>
      <c r="F31" s="90"/>
      <c r="G31" s="41"/>
      <c r="H31" s="41"/>
      <c r="I31" s="41"/>
      <c r="J31" s="41"/>
      <c r="K31" s="41"/>
      <c r="L31" s="41"/>
      <c r="M31" s="41"/>
      <c r="N31" s="41"/>
      <c r="O31" s="41"/>
      <c r="P31" s="96" t="n">
        <v>300</v>
      </c>
    </row>
    <row r="32" customFormat="false" ht="13.5" hidden="false" customHeight="true" outlineLevel="0" collapsed="false">
      <c r="A32" s="55" t="s">
        <v>156</v>
      </c>
      <c r="B32" s="55"/>
      <c r="C32" s="55"/>
      <c r="D32" s="55"/>
      <c r="E32" s="56"/>
      <c r="F32" s="98" t="n">
        <f aca="false">SUM(F5:F31)</f>
        <v>0</v>
      </c>
      <c r="G32" s="98" t="n">
        <f aca="false">SUM(G5:G31)</f>
        <v>0</v>
      </c>
      <c r="H32" s="98" t="n">
        <f aca="false">SUM(H5:H31)</f>
        <v>0</v>
      </c>
      <c r="I32" s="98" t="n">
        <f aca="false">SUM(I5:I31)</f>
        <v>0</v>
      </c>
      <c r="J32" s="98" t="n">
        <f aca="false">SUM(J5:J31)</f>
        <v>0</v>
      </c>
      <c r="K32" s="98" t="n">
        <f aca="false">SUM(K5:K31)</f>
        <v>0</v>
      </c>
      <c r="L32" s="98" t="n">
        <f aca="false">SUM(L5:L31)</f>
        <v>0</v>
      </c>
      <c r="M32" s="98" t="n">
        <f aca="false">SUM(M5:M31)</f>
        <v>0</v>
      </c>
      <c r="N32" s="98" t="n">
        <f aca="false">SUM(N5:N31)</f>
        <v>0</v>
      </c>
      <c r="O32" s="98" t="n">
        <f aca="false">SUM(O5:O31)</f>
        <v>0</v>
      </c>
      <c r="P32" s="50"/>
    </row>
  </sheetData>
  <mergeCells count="35">
    <mergeCell ref="A2:A4"/>
    <mergeCell ref="B2:B4"/>
    <mergeCell ref="C2:C4"/>
    <mergeCell ref="D2:D4"/>
    <mergeCell ref="E2:E4"/>
    <mergeCell ref="F2:F4"/>
    <mergeCell ref="P2:P4"/>
    <mergeCell ref="A5:A7"/>
    <mergeCell ref="B5:B7"/>
    <mergeCell ref="E5:E7"/>
    <mergeCell ref="A8:A10"/>
    <mergeCell ref="B8:B10"/>
    <mergeCell ref="E8:E10"/>
    <mergeCell ref="A11:A13"/>
    <mergeCell ref="B11:B13"/>
    <mergeCell ref="E11:E13"/>
    <mergeCell ref="A14:A16"/>
    <mergeCell ref="B14:B16"/>
    <mergeCell ref="E14:E16"/>
    <mergeCell ref="A17:A19"/>
    <mergeCell ref="B17:B19"/>
    <mergeCell ref="E17:E19"/>
    <mergeCell ref="A20:A22"/>
    <mergeCell ref="B20:B22"/>
    <mergeCell ref="E20:E22"/>
    <mergeCell ref="A23:A25"/>
    <mergeCell ref="B23:B25"/>
    <mergeCell ref="E23:E25"/>
    <mergeCell ref="A26:A28"/>
    <mergeCell ref="B26:B28"/>
    <mergeCell ref="E26:E28"/>
    <mergeCell ref="A29:A31"/>
    <mergeCell ref="B29:B31"/>
    <mergeCell ref="E29:E31"/>
    <mergeCell ref="A32:D32"/>
  </mergeCells>
  <conditionalFormatting sqref="E5:E31">
    <cfRule type="cellIs" priority="2" operator="greaterThan" aboveAverage="0" equalAverage="0" bottom="0" percent="0" rank="0" text="" dxfId="2">
      <formula>900</formula>
    </cfRule>
  </conditionalFormatting>
  <conditionalFormatting sqref="G8:O10 G14:O16 G20:O22 G26:O28 H6:O6 H12:O12 H18:O18 H24:O24 H30:O30 J5:O5 J7:O7 J11:O11 J13:O13 J17:O17 J19:O19 J23:O23 J25:O25 J29:O29 J31:O31 P32">
    <cfRule type="cellIs" priority="3" operator="equal" aboveAverage="0" equalAverage="0" bottom="0" percent="0" rank="0" text="" dxfId="0">
      <formula>0</formula>
    </cfRule>
  </conditionalFormatting>
  <conditionalFormatting sqref="F6:O6 F12:O12 F18:O18 F24:O24 F30:O30 G5:O31 P32">
    <cfRule type="cellIs" priority="4" operator="equal" aboveAverage="0" equalAverage="0" bottom="0" percent="0" rank="0" text="" dxfId="1">
      <formula>0</formula>
    </cfRule>
  </conditionalFormatting>
  <conditionalFormatting sqref="G3:O4">
    <cfRule type="duplicateValues" priority="5" aboveAverage="0" equalAverage="0" bottom="0" percent="0" rank="0" text="" dxfId="4"/>
    <cfRule type="duplicateValues" priority="6" aboveAverage="0" equalAverage="0" bottom="0" percent="0" rank="0" text="" dxfId="4"/>
    <cfRule type="duplicateValues" priority="7" aboveAverage="0" equalAverage="0" bottom="0" percent="0" rank="0" text="" dxfId="4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8"/>
  <sheetViews>
    <sheetView showFormulas="false" showGridLines="true" showRowColHeaders="true" showZeros="true" rightToLeft="false" tabSelected="false" showOutlineSymbols="true" defaultGridColor="true" view="normal" topLeftCell="A1" colorId="64" zoomScale="190" zoomScaleNormal="19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>
    <row r="1" customFormat="false" ht="13.5" hidden="false" customHeight="true" outlineLevel="0" collapsed="false">
      <c r="A1" s="99" t="s">
        <v>16</v>
      </c>
      <c r="B1" s="100" t="n">
        <v>7232216999</v>
      </c>
      <c r="C1" s="100" t="n">
        <v>7232210840</v>
      </c>
    </row>
    <row r="2" customFormat="false" ht="13.5" hidden="false" customHeight="true" outlineLevel="0" collapsed="false">
      <c r="A2" s="99"/>
      <c r="B2" s="100" t="n">
        <v>7232519487</v>
      </c>
      <c r="C2" s="100" t="n">
        <v>7232510512</v>
      </c>
    </row>
    <row r="3" customFormat="false" ht="13.5" hidden="false" customHeight="true" outlineLevel="0" collapsed="false">
      <c r="A3" s="99"/>
      <c r="B3" s="100" t="n">
        <v>7232529999</v>
      </c>
      <c r="C3" s="100" t="n">
        <v>7232524160</v>
      </c>
    </row>
    <row r="4" customFormat="false" ht="13.5" hidden="false" customHeight="true" outlineLevel="0" collapsed="false">
      <c r="A4" s="99"/>
      <c r="B4" s="100" t="n">
        <v>7232544999</v>
      </c>
      <c r="C4" s="100" t="n">
        <v>7232544000</v>
      </c>
    </row>
    <row r="5" customFormat="false" ht="57" hidden="false" customHeight="true" outlineLevel="0" collapsed="false">
      <c r="A5" s="99" t="s">
        <v>157</v>
      </c>
      <c r="B5" s="101" t="n">
        <v>7232296999</v>
      </c>
      <c r="C5" s="101" t="n">
        <v>7232295504</v>
      </c>
    </row>
    <row r="6" customFormat="false" ht="34.5" hidden="false" customHeight="true" outlineLevel="0" collapsed="false">
      <c r="A6" s="99" t="s">
        <v>158</v>
      </c>
      <c r="B6" s="101" t="n">
        <v>7232789999</v>
      </c>
      <c r="C6" s="101" t="n">
        <v>7232785000</v>
      </c>
    </row>
    <row r="7" customFormat="false" ht="23.25" hidden="false" customHeight="true" outlineLevel="0" collapsed="false">
      <c r="A7" s="99" t="s">
        <v>159</v>
      </c>
      <c r="B7" s="101" t="n">
        <v>7233155999</v>
      </c>
      <c r="C7" s="101" t="n">
        <v>7233150000</v>
      </c>
    </row>
    <row r="8" customFormat="false" ht="13.5" hidden="false" customHeight="true" outlineLevel="0" collapsed="false">
      <c r="A8" s="99" t="s">
        <v>160</v>
      </c>
      <c r="B8" s="101" t="n">
        <v>7233235999</v>
      </c>
      <c r="C8" s="101" t="n">
        <v>7233235000</v>
      </c>
    </row>
    <row r="9" customFormat="false" ht="13.5" hidden="false" customHeight="true" outlineLevel="0" collapsed="false">
      <c r="A9" s="99"/>
      <c r="B9" s="101" t="n">
        <v>7233239999</v>
      </c>
      <c r="C9" s="101" t="n">
        <v>7233239000</v>
      </c>
    </row>
    <row r="10" customFormat="false" ht="13.5" hidden="false" customHeight="true" outlineLevel="0" collapsed="false">
      <c r="A10" s="99"/>
      <c r="B10" s="101" t="n">
        <v>7233272399</v>
      </c>
      <c r="C10" s="101" t="n">
        <v>7233272000</v>
      </c>
    </row>
    <row r="11" customFormat="false" ht="13.5" hidden="false" customHeight="true" outlineLevel="0" collapsed="false">
      <c r="A11" s="99"/>
      <c r="B11" s="101" t="n">
        <v>7233292999</v>
      </c>
      <c r="C11" s="101" t="n">
        <v>7233291100</v>
      </c>
    </row>
    <row r="12" customFormat="false" ht="13.5" hidden="false" customHeight="true" outlineLevel="0" collapsed="false">
      <c r="A12" s="99"/>
      <c r="B12" s="101" t="n">
        <v>7233298399</v>
      </c>
      <c r="C12" s="101" t="n">
        <v>7233297000</v>
      </c>
    </row>
    <row r="13" customFormat="false" ht="13.5" hidden="false" customHeight="true" outlineLevel="0" collapsed="false">
      <c r="A13" s="102" t="s">
        <v>161</v>
      </c>
      <c r="B13" s="101" t="n">
        <v>7235128499</v>
      </c>
      <c r="C13" s="101" t="n">
        <v>7235124000</v>
      </c>
    </row>
    <row r="14" customFormat="false" ht="13.5" hidden="false" customHeight="true" outlineLevel="0" collapsed="false">
      <c r="A14" s="102" t="s">
        <v>162</v>
      </c>
      <c r="B14" s="101" t="n">
        <v>7235320999</v>
      </c>
      <c r="C14" s="101" t="n">
        <v>7235320000</v>
      </c>
    </row>
    <row r="15" customFormat="false" ht="13.5" hidden="false" customHeight="true" outlineLevel="0" collapsed="false">
      <c r="A15" s="99" t="s">
        <v>163</v>
      </c>
      <c r="B15" s="103" t="n">
        <v>7233623339</v>
      </c>
      <c r="C15" s="103" t="n">
        <v>7233620000</v>
      </c>
    </row>
    <row r="16" customFormat="false" ht="13.5" hidden="false" customHeight="true" outlineLevel="0" collapsed="false">
      <c r="A16" s="99"/>
      <c r="B16" s="101" t="n">
        <v>7233630999</v>
      </c>
      <c r="C16" s="101" t="n">
        <v>7233630000</v>
      </c>
    </row>
    <row r="17" customFormat="false" ht="13.5" hidden="false" customHeight="true" outlineLevel="0" collapsed="false">
      <c r="A17" s="99"/>
      <c r="B17" s="101" t="n">
        <v>7233637599</v>
      </c>
      <c r="C17" s="101" t="n">
        <v>7233637000</v>
      </c>
    </row>
    <row r="18" customFormat="false" ht="13.5" hidden="false" customHeight="true" outlineLevel="0" collapsed="false">
      <c r="A18" s="99" t="s">
        <v>164</v>
      </c>
      <c r="B18" s="101" t="n">
        <v>7233550999</v>
      </c>
      <c r="C18" s="101" t="n">
        <v>7233550000</v>
      </c>
    </row>
    <row r="19" customFormat="false" ht="13.5" hidden="false" customHeight="true" outlineLevel="0" collapsed="false">
      <c r="A19" s="99"/>
      <c r="B19" s="101" t="n">
        <v>7233554999</v>
      </c>
      <c r="C19" s="101" t="n">
        <v>7233554000</v>
      </c>
    </row>
    <row r="20" customFormat="false" ht="13.5" hidden="false" customHeight="true" outlineLevel="0" collapsed="false">
      <c r="A20" s="99"/>
      <c r="B20" s="101" t="n">
        <v>7233556999</v>
      </c>
      <c r="C20" s="101" t="n">
        <v>7233555000</v>
      </c>
    </row>
    <row r="21" customFormat="false" ht="13.5" hidden="false" customHeight="true" outlineLevel="0" collapsed="false">
      <c r="A21" s="102" t="s">
        <v>165</v>
      </c>
      <c r="B21" s="101" t="n">
        <v>7233726999</v>
      </c>
      <c r="C21" s="101" t="n">
        <v>7233726000</v>
      </c>
    </row>
    <row r="22" customFormat="false" ht="13.5" hidden="false" customHeight="true" outlineLevel="0" collapsed="false">
      <c r="A22" s="102" t="s">
        <v>166</v>
      </c>
      <c r="B22" s="101" t="n">
        <v>7233820999</v>
      </c>
      <c r="C22" s="101" t="n">
        <v>7233820000</v>
      </c>
    </row>
    <row r="23" customFormat="false" ht="13.5" hidden="false" customHeight="true" outlineLevel="0" collapsed="false">
      <c r="A23" s="102"/>
      <c r="B23" s="101" t="n">
        <v>7233850999</v>
      </c>
      <c r="C23" s="101" t="n">
        <v>7233850000</v>
      </c>
    </row>
    <row r="24" customFormat="false" ht="23.25" hidden="false" customHeight="true" outlineLevel="0" collapsed="false">
      <c r="A24" s="99" t="s">
        <v>167</v>
      </c>
      <c r="B24" s="101" t="n">
        <v>7233420999</v>
      </c>
      <c r="C24" s="101" t="n">
        <v>7233420000</v>
      </c>
    </row>
    <row r="25" customFormat="false" ht="13.5" hidden="false" customHeight="true" outlineLevel="0" collapsed="false">
      <c r="A25" s="99" t="s">
        <v>168</v>
      </c>
      <c r="B25" s="101" t="n">
        <v>7234742999</v>
      </c>
      <c r="C25" s="101" t="n">
        <v>7234740000</v>
      </c>
    </row>
    <row r="26" customFormat="false" ht="13.5" hidden="false" customHeight="true" outlineLevel="0" collapsed="false">
      <c r="A26" s="99"/>
      <c r="B26" s="101" t="n">
        <v>7234767999</v>
      </c>
      <c r="C26" s="101" t="n">
        <v>7234767000</v>
      </c>
    </row>
    <row r="27" customFormat="false" ht="13.5" hidden="false" customHeight="true" outlineLevel="0" collapsed="false">
      <c r="A27" s="99" t="s">
        <v>169</v>
      </c>
      <c r="B27" s="101" t="n">
        <v>7234120999</v>
      </c>
      <c r="C27" s="101" t="n">
        <v>7234120000</v>
      </c>
    </row>
    <row r="28" customFormat="false" ht="13.5" hidden="false" customHeight="true" outlineLevel="0" collapsed="false">
      <c r="A28" s="99"/>
      <c r="B28" s="101" t="n">
        <v>7234127999</v>
      </c>
      <c r="C28" s="101" t="n">
        <v>7234127000</v>
      </c>
    </row>
    <row r="29" customFormat="false" ht="13.5" hidden="false" customHeight="true" outlineLevel="0" collapsed="false">
      <c r="A29" s="99" t="s">
        <v>170</v>
      </c>
      <c r="B29" s="101" t="n">
        <v>7234220999</v>
      </c>
      <c r="C29" s="101" t="n">
        <v>7234220000</v>
      </c>
    </row>
    <row r="30" customFormat="false" ht="13.5" hidden="false" customHeight="true" outlineLevel="0" collapsed="false">
      <c r="A30" s="99"/>
      <c r="B30" s="101" t="n">
        <v>7234250999</v>
      </c>
      <c r="C30" s="101" t="n">
        <v>7234250000</v>
      </c>
    </row>
    <row r="31" customFormat="false" ht="23.25" hidden="false" customHeight="true" outlineLevel="0" collapsed="false">
      <c r="A31" s="104" t="s">
        <v>171</v>
      </c>
      <c r="B31" s="105" t="n">
        <v>7233924999</v>
      </c>
      <c r="C31" s="105" t="n">
        <v>7233922950</v>
      </c>
    </row>
    <row r="32" customFormat="false" ht="13.5" hidden="false" customHeight="true" outlineLevel="0" collapsed="false">
      <c r="A32" s="99" t="s">
        <v>172</v>
      </c>
      <c r="B32" s="105" t="n">
        <v>7234320999</v>
      </c>
      <c r="C32" s="105" t="n">
        <v>7234320000</v>
      </c>
    </row>
    <row r="33" customFormat="false" ht="13.5" hidden="false" customHeight="true" outlineLevel="0" collapsed="false">
      <c r="A33" s="99"/>
      <c r="B33" s="105" t="n">
        <v>7234350999</v>
      </c>
      <c r="C33" s="105" t="n">
        <v>7234350000</v>
      </c>
    </row>
    <row r="34" customFormat="false" ht="13.5" hidden="false" customHeight="true" outlineLevel="0" collapsed="false">
      <c r="A34" s="99" t="s">
        <v>173</v>
      </c>
      <c r="B34" s="105" t="n">
        <v>7234020999</v>
      </c>
      <c r="C34" s="105" t="n">
        <v>7234020000</v>
      </c>
    </row>
    <row r="35" customFormat="false" ht="13.5" hidden="false" customHeight="true" outlineLevel="0" collapsed="false">
      <c r="A35" s="99"/>
      <c r="B35" s="105" t="n">
        <v>7234029999</v>
      </c>
      <c r="C35" s="105" t="n">
        <v>7234029000</v>
      </c>
    </row>
    <row r="36" customFormat="false" ht="13.5" hidden="false" customHeight="true" outlineLevel="0" collapsed="false">
      <c r="A36" s="99"/>
      <c r="B36" s="105" t="n">
        <v>7234050999</v>
      </c>
      <c r="C36" s="105" t="n">
        <v>7234050000</v>
      </c>
    </row>
    <row r="37" customFormat="false" ht="13.5" hidden="false" customHeight="true" outlineLevel="0" collapsed="false">
      <c r="A37" s="99" t="s">
        <v>174</v>
      </c>
      <c r="B37" s="105" t="n">
        <v>7234428999</v>
      </c>
      <c r="C37" s="105" t="n">
        <v>7234427000</v>
      </c>
    </row>
    <row r="38" customFormat="false" ht="13.5" hidden="false" customHeight="true" outlineLevel="0" collapsed="false">
      <c r="A38" s="99"/>
      <c r="B38" s="105" t="n">
        <v>7234450999</v>
      </c>
      <c r="C38" s="105" t="n">
        <v>7234450000</v>
      </c>
    </row>
    <row r="39" customFormat="false" ht="13.5" hidden="false" customHeight="true" outlineLevel="0" collapsed="false">
      <c r="A39" s="99" t="s">
        <v>175</v>
      </c>
      <c r="B39" s="105" t="n">
        <v>7234620999</v>
      </c>
      <c r="C39" s="105" t="n">
        <v>7234620000</v>
      </c>
    </row>
    <row r="40" customFormat="false" ht="13.5" hidden="false" customHeight="true" outlineLevel="0" collapsed="false">
      <c r="A40" s="99"/>
      <c r="B40" s="105" t="n">
        <v>7234650999</v>
      </c>
      <c r="C40" s="105" t="n">
        <v>7234650000</v>
      </c>
    </row>
    <row r="41" customFormat="false" ht="13.5" hidden="false" customHeight="true" outlineLevel="0" collapsed="false">
      <c r="A41" s="99" t="s">
        <v>176</v>
      </c>
      <c r="B41" s="105" t="n">
        <v>7234820999</v>
      </c>
      <c r="C41" s="105" t="n">
        <v>7234820000</v>
      </c>
    </row>
    <row r="42" customFormat="false" ht="13.5" hidden="false" customHeight="true" outlineLevel="0" collapsed="false">
      <c r="A42" s="99"/>
      <c r="B42" s="105" t="n">
        <v>7234850999</v>
      </c>
      <c r="C42" s="105" t="n">
        <v>7234850000</v>
      </c>
    </row>
    <row r="43" customFormat="false" ht="13.5" hidden="false" customHeight="true" outlineLevel="0" collapsed="false">
      <c r="A43" s="99" t="s">
        <v>177</v>
      </c>
      <c r="B43" s="105" t="n">
        <v>7233327999</v>
      </c>
      <c r="C43" s="105" t="n">
        <v>7233327000</v>
      </c>
    </row>
    <row r="44" customFormat="false" ht="13.5" hidden="false" customHeight="true" outlineLevel="0" collapsed="false">
      <c r="A44" s="99"/>
      <c r="B44" s="105" t="n">
        <v>7233350599</v>
      </c>
      <c r="C44" s="105" t="n">
        <v>7233350000</v>
      </c>
    </row>
    <row r="45" customFormat="false" ht="13.5" hidden="false" customHeight="true" outlineLevel="0" collapsed="false">
      <c r="A45" s="99"/>
      <c r="B45" s="105" t="n">
        <v>7233351999</v>
      </c>
      <c r="C45" s="105" t="n">
        <v>7233351000</v>
      </c>
    </row>
    <row r="46" customFormat="false" ht="13.5" hidden="false" customHeight="true" outlineLevel="0" collapsed="false">
      <c r="A46" s="27" t="s">
        <v>38</v>
      </c>
      <c r="B46" s="52" t="n">
        <v>7222440999</v>
      </c>
      <c r="C46" s="52" t="n">
        <v>7222440000</v>
      </c>
    </row>
    <row r="47" customFormat="false" ht="13.5" hidden="false" customHeight="true" outlineLevel="0" collapsed="false">
      <c r="A47" s="27"/>
      <c r="B47" s="52" t="n">
        <v>7222445659</v>
      </c>
      <c r="C47" s="52" t="n">
        <v>7222442000</v>
      </c>
    </row>
    <row r="48" customFormat="false" ht="13.5" hidden="false" customHeight="true" outlineLevel="0" collapsed="false">
      <c r="A48" s="27"/>
      <c r="B48" s="52" t="n">
        <v>7222450199</v>
      </c>
      <c r="C48" s="52" t="n">
        <v>7222450000</v>
      </c>
    </row>
    <row r="49" customFormat="false" ht="13.5" hidden="false" customHeight="true" outlineLevel="0" collapsed="false">
      <c r="A49" s="27"/>
      <c r="B49" s="52" t="n">
        <v>7222451374</v>
      </c>
      <c r="C49" s="52" t="n">
        <v>7222451000</v>
      </c>
    </row>
    <row r="50" customFormat="false" ht="13.5" hidden="false" customHeight="true" outlineLevel="0" collapsed="false">
      <c r="A50" s="27"/>
      <c r="B50" s="52" t="n">
        <v>7222452299</v>
      </c>
      <c r="C50" s="52" t="n">
        <v>7222452000</v>
      </c>
    </row>
    <row r="51" customFormat="false" ht="13.5" hidden="false" customHeight="true" outlineLevel="0" collapsed="false">
      <c r="A51" s="27"/>
      <c r="B51" s="52" t="n">
        <v>7222453816</v>
      </c>
      <c r="C51" s="52" t="n">
        <v>7222453000</v>
      </c>
    </row>
    <row r="52" customFormat="false" ht="13.5" hidden="false" customHeight="true" outlineLevel="0" collapsed="false">
      <c r="A52" s="27"/>
      <c r="B52" s="52" t="n">
        <v>7222454099</v>
      </c>
      <c r="C52" s="52" t="n">
        <v>7222454000</v>
      </c>
    </row>
    <row r="53" customFormat="false" ht="13.5" hidden="false" customHeight="true" outlineLevel="0" collapsed="false">
      <c r="A53" s="27"/>
      <c r="B53" s="52" t="n">
        <v>7222458999</v>
      </c>
      <c r="C53" s="52" t="n">
        <v>7222458000</v>
      </c>
    </row>
    <row r="54" customFormat="false" ht="13.5" hidden="false" customHeight="true" outlineLevel="0" collapsed="false">
      <c r="A54" s="27"/>
      <c r="B54" s="52" t="n">
        <v>7222638549</v>
      </c>
      <c r="C54" s="52" t="n">
        <v>7222630000</v>
      </c>
    </row>
    <row r="55" customFormat="false" ht="13.5" hidden="false" customHeight="true" outlineLevel="0" collapsed="false">
      <c r="A55" s="27"/>
      <c r="B55" s="52" t="n">
        <v>7222639899</v>
      </c>
      <c r="C55" s="52" t="n">
        <v>7222639400</v>
      </c>
    </row>
    <row r="56" customFormat="false" ht="13.5" hidden="false" customHeight="true" outlineLevel="0" collapsed="false">
      <c r="A56" s="27" t="s">
        <v>39</v>
      </c>
      <c r="B56" s="106" t="n">
        <v>7225750399</v>
      </c>
      <c r="C56" s="106" t="n">
        <v>7225750000</v>
      </c>
    </row>
    <row r="57" customFormat="false" ht="13.5" hidden="false" customHeight="true" outlineLevel="0" collapsed="false">
      <c r="A57" s="27" t="s">
        <v>40</v>
      </c>
      <c r="B57" s="106" t="n">
        <v>7223724999</v>
      </c>
      <c r="C57" s="106" t="n">
        <v>7223722000</v>
      </c>
    </row>
    <row r="58" customFormat="false" ht="23.25" hidden="false" customHeight="true" outlineLevel="0" collapsed="false">
      <c r="A58" s="99" t="s">
        <v>178</v>
      </c>
      <c r="B58" s="101" t="n">
        <v>7223765499</v>
      </c>
      <c r="C58" s="101" t="n">
        <v>7223765000</v>
      </c>
    </row>
    <row r="59" customFormat="false" ht="13.5" hidden="false" customHeight="true" outlineLevel="0" collapsed="false">
      <c r="A59" s="27" t="s">
        <v>42</v>
      </c>
      <c r="B59" s="106" t="n">
        <v>7223621299</v>
      </c>
      <c r="C59" s="106" t="n">
        <v>7223620000</v>
      </c>
    </row>
    <row r="60" customFormat="false" ht="13.5" hidden="false" customHeight="true" outlineLevel="0" collapsed="false">
      <c r="A60" s="27" t="s">
        <v>43</v>
      </c>
      <c r="B60" s="106" t="n">
        <v>7223623399</v>
      </c>
      <c r="C60" s="106" t="n">
        <v>7223621600</v>
      </c>
    </row>
    <row r="61" customFormat="false" ht="13.5" hidden="false" customHeight="true" outlineLevel="0" collapsed="false">
      <c r="A61" s="27" t="s">
        <v>44</v>
      </c>
      <c r="B61" s="106" t="n">
        <v>7225127999</v>
      </c>
      <c r="C61" s="106" t="n">
        <v>7225127000</v>
      </c>
    </row>
    <row r="62" customFormat="false" ht="13.5" hidden="false" customHeight="true" outlineLevel="0" collapsed="false">
      <c r="A62" s="27" t="s">
        <v>45</v>
      </c>
      <c r="B62" s="106" t="n">
        <v>7223948999</v>
      </c>
      <c r="C62" s="106" t="n">
        <v>7223948000</v>
      </c>
    </row>
    <row r="63" customFormat="false" ht="13.5" hidden="false" customHeight="true" outlineLevel="0" collapsed="false">
      <c r="A63" s="27" t="s">
        <v>45</v>
      </c>
      <c r="B63" s="106" t="n">
        <v>7223951099</v>
      </c>
      <c r="C63" s="106" t="n">
        <v>7223950000</v>
      </c>
    </row>
    <row r="64" customFormat="false" ht="13.5" hidden="false" customHeight="true" outlineLevel="0" collapsed="false">
      <c r="A64" s="27" t="s">
        <v>46</v>
      </c>
      <c r="B64" s="106" t="n">
        <v>7223020999</v>
      </c>
      <c r="C64" s="106" t="n">
        <v>7223020000</v>
      </c>
    </row>
    <row r="65" customFormat="false" ht="13.5" hidden="false" customHeight="true" outlineLevel="0" collapsed="false">
      <c r="A65" s="27" t="s">
        <v>46</v>
      </c>
      <c r="B65" s="106" t="n">
        <v>7223029999</v>
      </c>
      <c r="C65" s="106" t="n">
        <v>7223029000</v>
      </c>
    </row>
    <row r="66" customFormat="false" ht="13.5" hidden="false" customHeight="true" outlineLevel="0" collapsed="false">
      <c r="A66" s="27" t="s">
        <v>46</v>
      </c>
      <c r="B66" s="106" t="n">
        <v>7223056549</v>
      </c>
      <c r="C66" s="106" t="n">
        <v>7223055000</v>
      </c>
    </row>
    <row r="67" customFormat="false" ht="23.25" hidden="false" customHeight="true" outlineLevel="0" collapsed="false">
      <c r="A67" s="99" t="s">
        <v>179</v>
      </c>
      <c r="B67" s="101" t="n">
        <v>7225250499</v>
      </c>
      <c r="C67" s="101" t="n">
        <v>7225250000</v>
      </c>
    </row>
    <row r="68" customFormat="false" ht="12.75" hidden="false" customHeight="false" outlineLevel="0" collapsed="false">
      <c r="A68" s="27" t="s">
        <v>48</v>
      </c>
      <c r="B68" s="106" t="n">
        <v>7183841499</v>
      </c>
      <c r="C68" s="106" t="n">
        <v>7183841400</v>
      </c>
    </row>
  </sheetData>
  <mergeCells count="15">
    <mergeCell ref="A1:A4"/>
    <mergeCell ref="A8:A12"/>
    <mergeCell ref="A15:A17"/>
    <mergeCell ref="A18:A20"/>
    <mergeCell ref="A22:A23"/>
    <mergeCell ref="A25:A26"/>
    <mergeCell ref="A27:A28"/>
    <mergeCell ref="A29:A30"/>
    <mergeCell ref="A32:A33"/>
    <mergeCell ref="A34:A36"/>
    <mergeCell ref="A37:A38"/>
    <mergeCell ref="A39:A40"/>
    <mergeCell ref="A41:A42"/>
    <mergeCell ref="A43:A45"/>
    <mergeCell ref="A46:A55"/>
  </mergeCells>
  <conditionalFormatting sqref="B1:C30 B58:C58 B67:C67">
    <cfRule type="duplicateValues" priority="2" aboveAverage="0" equalAverage="0" bottom="0" percent="0" rank="0" text="" dxfId="4"/>
  </conditionalFormatting>
  <conditionalFormatting sqref="B1:C68">
    <cfRule type="duplicateValues" priority="3" aboveAverage="0" equalAverage="0" bottom="0" percent="0" rank="0" text="" dxfId="4"/>
    <cfRule type="duplicateValues" priority="4" aboveAverage="0" equalAverage="0" bottom="0" percent="0" rank="0" text="" dxfId="4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23"/>
    <col collapsed="false" customWidth="true" hidden="false" outlineLevel="0" max="8" min="8" style="0" width="17"/>
  </cols>
  <sheetData>
    <row r="1" customFormat="false" ht="15" hidden="false" customHeight="false" outlineLevel="0" collapsed="false">
      <c r="A1" s="107" t="s">
        <v>180</v>
      </c>
      <c r="B1" s="107" t="s">
        <v>181</v>
      </c>
      <c r="C1" s="107" t="s">
        <v>182</v>
      </c>
      <c r="D1" s="107" t="s">
        <v>183</v>
      </c>
      <c r="E1" s="107" t="s">
        <v>184</v>
      </c>
      <c r="F1" s="107" t="s">
        <v>185</v>
      </c>
      <c r="G1" s="107" t="s">
        <v>186</v>
      </c>
      <c r="H1" s="107" t="s">
        <v>187</v>
      </c>
    </row>
    <row r="2" customFormat="false" ht="15" hidden="false" customHeight="false" outlineLevel="0" collapsed="false">
      <c r="A2" s="108" t="n">
        <v>77235320997</v>
      </c>
      <c r="B2" s="108" t="n">
        <v>9</v>
      </c>
      <c r="C2" s="108" t="n">
        <v>1</v>
      </c>
      <c r="D2" s="108" t="s">
        <v>188</v>
      </c>
      <c r="E2" s="108" t="s">
        <v>189</v>
      </c>
      <c r="F2" s="108" t="s">
        <v>190</v>
      </c>
      <c r="G2" s="108" t="s">
        <v>190</v>
      </c>
      <c r="H2" s="108" t="s">
        <v>190</v>
      </c>
    </row>
    <row r="3" customFormat="false" ht="15" hidden="false" customHeight="false" outlineLevel="0" collapsed="false">
      <c r="A3" s="108" t="n">
        <v>77235320978</v>
      </c>
      <c r="B3" s="108" t="n">
        <v>9</v>
      </c>
      <c r="C3" s="108" t="n">
        <v>1</v>
      </c>
      <c r="D3" s="108" t="s">
        <v>188</v>
      </c>
      <c r="E3" s="108" t="s">
        <v>191</v>
      </c>
      <c r="F3" s="108" t="s">
        <v>190</v>
      </c>
      <c r="G3" s="108" t="s">
        <v>192</v>
      </c>
      <c r="H3" s="108" t="s">
        <v>190</v>
      </c>
    </row>
    <row r="4" customFormat="false" ht="15" hidden="false" customHeight="false" outlineLevel="0" collapsed="false">
      <c r="A4" s="108" t="n">
        <v>77235320977</v>
      </c>
      <c r="B4" s="108" t="n">
        <v>36</v>
      </c>
      <c r="C4" s="108" t="n">
        <v>2</v>
      </c>
      <c r="D4" s="108" t="s">
        <v>193</v>
      </c>
      <c r="E4" s="108" t="s">
        <v>194</v>
      </c>
      <c r="F4" s="108" t="s">
        <v>190</v>
      </c>
      <c r="G4" s="108" t="s">
        <v>190</v>
      </c>
      <c r="H4" s="108" t="s">
        <v>190</v>
      </c>
    </row>
    <row r="5" customFormat="false" ht="15" hidden="false" customHeight="false" outlineLevel="0" collapsed="false">
      <c r="A5" s="108" t="n">
        <v>77235320953</v>
      </c>
      <c r="B5" s="108" t="n">
        <v>36</v>
      </c>
      <c r="C5" s="108" t="n">
        <v>2</v>
      </c>
      <c r="D5" s="108" t="s">
        <v>193</v>
      </c>
      <c r="E5" s="108" t="s">
        <v>195</v>
      </c>
      <c r="F5" s="108" t="s">
        <v>190</v>
      </c>
      <c r="G5" s="108" t="s">
        <v>192</v>
      </c>
      <c r="H5" s="108" t="s">
        <v>192</v>
      </c>
    </row>
    <row r="6" customFormat="false" ht="15" hidden="false" customHeight="false" outlineLevel="0" collapsed="false">
      <c r="A6" s="108" t="n">
        <v>77235320952</v>
      </c>
      <c r="B6" s="108" t="n">
        <v>36</v>
      </c>
      <c r="C6" s="108" t="n">
        <v>2</v>
      </c>
      <c r="D6" s="108" t="s">
        <v>193</v>
      </c>
      <c r="E6" s="108" t="s">
        <v>196</v>
      </c>
      <c r="F6" s="108" t="s">
        <v>190</v>
      </c>
      <c r="G6" s="108" t="s">
        <v>192</v>
      </c>
      <c r="H6" s="108" t="s">
        <v>190</v>
      </c>
    </row>
    <row r="7" customFormat="false" ht="15" hidden="false" customHeight="false" outlineLevel="0" collapsed="false">
      <c r="A7" s="108" t="n">
        <v>77235320945</v>
      </c>
      <c r="B7" s="108" t="n">
        <v>36</v>
      </c>
      <c r="C7" s="108" t="n">
        <v>2</v>
      </c>
      <c r="D7" s="108" t="s">
        <v>193</v>
      </c>
      <c r="E7" s="108" t="s">
        <v>197</v>
      </c>
      <c r="F7" s="108" t="s">
        <v>190</v>
      </c>
      <c r="G7" s="108" t="s">
        <v>190</v>
      </c>
      <c r="H7" s="108" t="s">
        <v>190</v>
      </c>
    </row>
    <row r="8" customFormat="false" ht="15" hidden="false" customHeight="false" outlineLevel="0" collapsed="false">
      <c r="A8" s="108" t="n">
        <v>77235320940</v>
      </c>
      <c r="B8" s="108" t="n">
        <v>36</v>
      </c>
      <c r="C8" s="108" t="n">
        <v>1</v>
      </c>
      <c r="D8" s="108" t="s">
        <v>193</v>
      </c>
      <c r="E8" s="108" t="s">
        <v>198</v>
      </c>
      <c r="F8" s="108" t="s">
        <v>190</v>
      </c>
      <c r="G8" s="108" t="s">
        <v>192</v>
      </c>
      <c r="H8" s="108" t="s">
        <v>192</v>
      </c>
    </row>
    <row r="9" customFormat="false" ht="15" hidden="false" customHeight="false" outlineLevel="0" collapsed="false">
      <c r="A9" s="108" t="n">
        <v>77235320931</v>
      </c>
      <c r="B9" s="108" t="n">
        <v>36</v>
      </c>
      <c r="C9" s="108" t="n">
        <v>2</v>
      </c>
      <c r="D9" s="108" t="s">
        <v>193</v>
      </c>
      <c r="E9" s="108" t="s">
        <v>199</v>
      </c>
      <c r="F9" s="108" t="s">
        <v>190</v>
      </c>
      <c r="G9" s="108" t="s">
        <v>192</v>
      </c>
      <c r="H9" s="108" t="s">
        <v>192</v>
      </c>
    </row>
    <row r="10" customFormat="false" ht="15" hidden="false" customHeight="false" outlineLevel="0" collapsed="false">
      <c r="A10" s="108" t="n">
        <v>77235320923</v>
      </c>
      <c r="B10" s="108" t="n">
        <v>36</v>
      </c>
      <c r="C10" s="108" t="n">
        <v>2</v>
      </c>
      <c r="D10" s="108" t="s">
        <v>193</v>
      </c>
      <c r="E10" s="108" t="s">
        <v>200</v>
      </c>
      <c r="F10" s="108" t="s">
        <v>190</v>
      </c>
      <c r="G10" s="108" t="s">
        <v>190</v>
      </c>
      <c r="H10" s="108" t="s">
        <v>190</v>
      </c>
    </row>
    <row r="11" customFormat="false" ht="15" hidden="false" customHeight="false" outlineLevel="0" collapsed="false">
      <c r="A11" s="108" t="n">
        <v>77235320921</v>
      </c>
      <c r="B11" s="108" t="n">
        <v>36</v>
      </c>
      <c r="C11" s="108" t="n">
        <v>1</v>
      </c>
      <c r="D11" s="108" t="s">
        <v>193</v>
      </c>
      <c r="E11" s="108" t="s">
        <v>201</v>
      </c>
      <c r="F11" s="108" t="s">
        <v>190</v>
      </c>
      <c r="G11" s="108" t="s">
        <v>190</v>
      </c>
      <c r="H11" s="108" t="s">
        <v>190</v>
      </c>
    </row>
    <row r="12" customFormat="false" ht="15" hidden="false" customHeight="false" outlineLevel="0" collapsed="false">
      <c r="A12" s="108" t="n">
        <v>77235320911</v>
      </c>
      <c r="B12" s="108" t="n">
        <v>36</v>
      </c>
      <c r="C12" s="108" t="n">
        <v>1</v>
      </c>
      <c r="D12" s="108" t="s">
        <v>193</v>
      </c>
      <c r="E12" s="108" t="s">
        <v>202</v>
      </c>
      <c r="F12" s="108" t="s">
        <v>190</v>
      </c>
      <c r="G12" s="108" t="s">
        <v>190</v>
      </c>
      <c r="H12" s="108" t="s">
        <v>190</v>
      </c>
    </row>
    <row r="13" customFormat="false" ht="15" hidden="false" customHeight="false" outlineLevel="0" collapsed="false">
      <c r="A13" s="108" t="n">
        <v>77235320908</v>
      </c>
      <c r="B13" s="108" t="n">
        <v>36</v>
      </c>
      <c r="C13" s="108" t="n">
        <v>1</v>
      </c>
      <c r="D13" s="108" t="s">
        <v>193</v>
      </c>
      <c r="E13" s="108" t="s">
        <v>203</v>
      </c>
      <c r="F13" s="108" t="s">
        <v>190</v>
      </c>
      <c r="G13" s="108" t="s">
        <v>192</v>
      </c>
      <c r="H13" s="108" t="s">
        <v>190</v>
      </c>
    </row>
    <row r="14" customFormat="false" ht="15" hidden="false" customHeight="false" outlineLevel="0" collapsed="false">
      <c r="A14" s="108" t="n">
        <v>77235320904</v>
      </c>
      <c r="B14" s="108" t="n">
        <v>36</v>
      </c>
      <c r="C14" s="108" t="n">
        <v>0</v>
      </c>
      <c r="D14" s="108" t="s">
        <v>193</v>
      </c>
      <c r="E14" s="108" t="s">
        <v>204</v>
      </c>
      <c r="F14" s="108" t="s">
        <v>190</v>
      </c>
      <c r="G14" s="108" t="s">
        <v>192</v>
      </c>
      <c r="H14" s="108" t="s">
        <v>190</v>
      </c>
    </row>
    <row r="15" customFormat="false" ht="15" hidden="false" customHeight="false" outlineLevel="0" collapsed="false">
      <c r="A15" s="108" t="n">
        <v>77235320901</v>
      </c>
      <c r="B15" s="108" t="n">
        <v>36</v>
      </c>
      <c r="C15" s="108" t="n">
        <v>1</v>
      </c>
      <c r="D15" s="108" t="s">
        <v>193</v>
      </c>
      <c r="E15" s="108" t="s">
        <v>205</v>
      </c>
      <c r="F15" s="108" t="s">
        <v>190</v>
      </c>
      <c r="G15" s="108" t="s">
        <v>192</v>
      </c>
      <c r="H15" s="108" t="s">
        <v>192</v>
      </c>
    </row>
    <row r="16" customFormat="false" ht="15" hidden="false" customHeight="false" outlineLevel="0" collapsed="false">
      <c r="A16" s="108" t="n">
        <v>77235320900</v>
      </c>
      <c r="B16" s="108" t="n">
        <v>36</v>
      </c>
      <c r="C16" s="108" t="n">
        <v>0</v>
      </c>
      <c r="D16" s="108" t="s">
        <v>193</v>
      </c>
      <c r="E16" s="108" t="s">
        <v>206</v>
      </c>
      <c r="F16" s="108" t="s">
        <v>190</v>
      </c>
      <c r="G16" s="108" t="s">
        <v>190</v>
      </c>
      <c r="H16" s="108" t="s">
        <v>190</v>
      </c>
    </row>
    <row r="17" customFormat="false" ht="15" hidden="false" customHeight="false" outlineLevel="0" collapsed="false">
      <c r="A17" s="108" t="n">
        <v>77235320897</v>
      </c>
      <c r="B17" s="108" t="n">
        <v>36</v>
      </c>
      <c r="C17" s="108" t="n">
        <v>1</v>
      </c>
      <c r="D17" s="108" t="s">
        <v>193</v>
      </c>
      <c r="E17" s="108" t="s">
        <v>207</v>
      </c>
      <c r="F17" s="108" t="s">
        <v>190</v>
      </c>
      <c r="G17" s="108" t="s">
        <v>190</v>
      </c>
      <c r="H17" s="108" t="s">
        <v>190</v>
      </c>
    </row>
    <row r="18" customFormat="false" ht="15" hidden="false" customHeight="false" outlineLevel="0" collapsed="false">
      <c r="A18" s="108" t="n">
        <v>77235320894</v>
      </c>
      <c r="B18" s="108" t="n">
        <v>31</v>
      </c>
      <c r="C18" s="108" t="n">
        <v>1</v>
      </c>
      <c r="D18" s="108" t="s">
        <v>208</v>
      </c>
      <c r="E18" s="108" t="s">
        <v>209</v>
      </c>
      <c r="F18" s="108" t="s">
        <v>190</v>
      </c>
      <c r="G18" s="108" t="s">
        <v>190</v>
      </c>
      <c r="H18" s="108" t="s">
        <v>190</v>
      </c>
    </row>
    <row r="19" customFormat="false" ht="15" hidden="false" customHeight="false" outlineLevel="0" collapsed="false">
      <c r="A19" s="108" t="n">
        <v>77235320889</v>
      </c>
      <c r="B19" s="108" t="n">
        <v>9</v>
      </c>
      <c r="C19" s="108" t="n">
        <v>1</v>
      </c>
      <c r="D19" s="108" t="s">
        <v>188</v>
      </c>
      <c r="E19" s="108" t="s">
        <v>210</v>
      </c>
      <c r="F19" s="108" t="s">
        <v>190</v>
      </c>
      <c r="G19" s="108" t="s">
        <v>192</v>
      </c>
      <c r="H19" s="108" t="s">
        <v>190</v>
      </c>
    </row>
    <row r="20" customFormat="false" ht="15" hidden="false" customHeight="false" outlineLevel="0" collapsed="false">
      <c r="A20" s="108" t="n">
        <v>77235320882</v>
      </c>
      <c r="B20" s="108" t="n">
        <v>9</v>
      </c>
      <c r="C20" s="108" t="n">
        <v>1</v>
      </c>
      <c r="D20" s="108" t="s">
        <v>188</v>
      </c>
      <c r="E20" s="108" t="s">
        <v>211</v>
      </c>
      <c r="F20" s="108" t="s">
        <v>190</v>
      </c>
      <c r="G20" s="108" t="s">
        <v>190</v>
      </c>
      <c r="H20" s="108" t="s">
        <v>190</v>
      </c>
    </row>
    <row r="21" customFormat="false" ht="15" hidden="false" customHeight="false" outlineLevel="0" collapsed="false">
      <c r="A21" s="108" t="n">
        <v>77235320878</v>
      </c>
      <c r="B21" s="108" t="n">
        <v>31</v>
      </c>
      <c r="C21" s="108" t="n">
        <v>2</v>
      </c>
      <c r="D21" s="108" t="s">
        <v>208</v>
      </c>
      <c r="E21" s="108" t="s">
        <v>212</v>
      </c>
      <c r="F21" s="108" t="s">
        <v>190</v>
      </c>
      <c r="G21" s="108" t="s">
        <v>190</v>
      </c>
      <c r="H21" s="108" t="s">
        <v>190</v>
      </c>
    </row>
    <row r="22" customFormat="false" ht="15" hidden="false" customHeight="false" outlineLevel="0" collapsed="false">
      <c r="A22" s="108" t="n">
        <v>77235320876</v>
      </c>
      <c r="B22" s="108" t="n">
        <v>31</v>
      </c>
      <c r="C22" s="108" t="n">
        <v>1</v>
      </c>
      <c r="D22" s="108" t="s">
        <v>208</v>
      </c>
      <c r="E22" s="108" t="s">
        <v>213</v>
      </c>
      <c r="F22" s="108" t="s">
        <v>190</v>
      </c>
      <c r="G22" s="108" t="s">
        <v>192</v>
      </c>
      <c r="H22" s="108" t="s">
        <v>192</v>
      </c>
    </row>
    <row r="23" customFormat="false" ht="15" hidden="false" customHeight="false" outlineLevel="0" collapsed="false">
      <c r="A23" s="108" t="n">
        <v>77235320875</v>
      </c>
      <c r="B23" s="108" t="n">
        <v>9</v>
      </c>
      <c r="C23" s="108" t="n">
        <v>1</v>
      </c>
      <c r="D23" s="108" t="s">
        <v>188</v>
      </c>
      <c r="E23" s="108" t="s">
        <v>214</v>
      </c>
      <c r="F23" s="108" t="s">
        <v>190</v>
      </c>
      <c r="G23" s="108" t="s">
        <v>192</v>
      </c>
      <c r="H23" s="108" t="s">
        <v>190</v>
      </c>
    </row>
    <row r="24" customFormat="false" ht="15" hidden="false" customHeight="false" outlineLevel="0" collapsed="false">
      <c r="A24" s="108" t="n">
        <v>77235320865</v>
      </c>
      <c r="B24" s="108" t="n">
        <v>31</v>
      </c>
      <c r="C24" s="108" t="n">
        <v>1</v>
      </c>
      <c r="D24" s="108" t="s">
        <v>208</v>
      </c>
      <c r="E24" s="108" t="s">
        <v>215</v>
      </c>
      <c r="F24" s="108" t="s">
        <v>190</v>
      </c>
      <c r="G24" s="108" t="s">
        <v>190</v>
      </c>
      <c r="H24" s="108" t="s">
        <v>190</v>
      </c>
    </row>
    <row r="25" customFormat="false" ht="15" hidden="false" customHeight="false" outlineLevel="0" collapsed="false">
      <c r="A25" s="108" t="n">
        <v>77235320864</v>
      </c>
      <c r="B25" s="108" t="n">
        <v>36</v>
      </c>
      <c r="C25" s="108" t="n">
        <v>2</v>
      </c>
      <c r="D25" s="108" t="s">
        <v>193</v>
      </c>
      <c r="E25" s="108" t="s">
        <v>216</v>
      </c>
      <c r="F25" s="108" t="s">
        <v>190</v>
      </c>
      <c r="G25" s="108" t="s">
        <v>192</v>
      </c>
      <c r="H25" s="108" t="s">
        <v>190</v>
      </c>
    </row>
    <row r="26" customFormat="false" ht="15" hidden="false" customHeight="false" outlineLevel="0" collapsed="false">
      <c r="A26" s="108" t="n">
        <v>77235320863</v>
      </c>
      <c r="B26" s="108" t="n">
        <v>9</v>
      </c>
      <c r="C26" s="108" t="n">
        <v>1</v>
      </c>
      <c r="D26" s="108" t="s">
        <v>188</v>
      </c>
      <c r="E26" s="108" t="s">
        <v>217</v>
      </c>
      <c r="F26" s="108" t="s">
        <v>190</v>
      </c>
      <c r="G26" s="108" t="s">
        <v>190</v>
      </c>
      <c r="H26" s="108" t="s">
        <v>190</v>
      </c>
    </row>
    <row r="27" customFormat="false" ht="15" hidden="false" customHeight="false" outlineLevel="0" collapsed="false">
      <c r="A27" s="108" t="n">
        <v>77235320860</v>
      </c>
      <c r="B27" s="108" t="n">
        <v>31</v>
      </c>
      <c r="C27" s="108" t="n">
        <v>1</v>
      </c>
      <c r="D27" s="108" t="s">
        <v>208</v>
      </c>
      <c r="E27" s="108" t="s">
        <v>218</v>
      </c>
      <c r="F27" s="108" t="s">
        <v>190</v>
      </c>
      <c r="G27" s="108" t="s">
        <v>190</v>
      </c>
      <c r="H27" s="108" t="s">
        <v>190</v>
      </c>
    </row>
    <row r="28" customFormat="false" ht="15" hidden="false" customHeight="false" outlineLevel="0" collapsed="false">
      <c r="A28" s="108" t="s">
        <v>219</v>
      </c>
      <c r="B28" s="108" t="n">
        <v>19</v>
      </c>
      <c r="C28" s="108" t="n">
        <v>1</v>
      </c>
      <c r="D28" s="108" t="s">
        <v>220</v>
      </c>
      <c r="E28" s="108" t="s">
        <v>221</v>
      </c>
      <c r="F28" s="108" t="s">
        <v>190</v>
      </c>
      <c r="G28" s="108" t="s">
        <v>190</v>
      </c>
      <c r="H28" s="108" t="s">
        <v>190</v>
      </c>
    </row>
    <row r="29" customFormat="false" ht="15" hidden="false" customHeight="false" outlineLevel="0" collapsed="false">
      <c r="A29" s="108" t="n">
        <v>77235320846</v>
      </c>
      <c r="B29" s="108" t="n">
        <v>37</v>
      </c>
      <c r="C29" s="108" t="n">
        <v>1</v>
      </c>
      <c r="D29" s="108" t="s">
        <v>222</v>
      </c>
      <c r="E29" s="108" t="s">
        <v>223</v>
      </c>
      <c r="F29" s="108" t="s">
        <v>190</v>
      </c>
      <c r="G29" s="108" t="s">
        <v>190</v>
      </c>
      <c r="H29" s="108" t="s">
        <v>190</v>
      </c>
    </row>
    <row r="30" customFormat="false" ht="15" hidden="false" customHeight="false" outlineLevel="0" collapsed="false">
      <c r="A30" s="108" t="n">
        <v>77235320823</v>
      </c>
      <c r="B30" s="108" t="n">
        <v>36</v>
      </c>
      <c r="C30" s="108" t="n">
        <v>0</v>
      </c>
      <c r="D30" s="108" t="s">
        <v>193</v>
      </c>
      <c r="E30" s="108" t="s">
        <v>224</v>
      </c>
      <c r="F30" s="108" t="s">
        <v>190</v>
      </c>
      <c r="G30" s="108" t="s">
        <v>190</v>
      </c>
      <c r="H30" s="108" t="s">
        <v>190</v>
      </c>
    </row>
    <row r="31" customFormat="false" ht="15" hidden="false" customHeight="false" outlineLevel="0" collapsed="false">
      <c r="A31" s="108" t="n">
        <v>77235320814</v>
      </c>
      <c r="B31" s="108" t="n">
        <v>36</v>
      </c>
      <c r="C31" s="108" t="n">
        <v>0</v>
      </c>
      <c r="D31" s="108" t="s">
        <v>193</v>
      </c>
      <c r="E31" s="108" t="s">
        <v>225</v>
      </c>
      <c r="F31" s="108" t="s">
        <v>190</v>
      </c>
      <c r="G31" s="108" t="s">
        <v>190</v>
      </c>
      <c r="H31" s="108" t="s">
        <v>190</v>
      </c>
    </row>
    <row r="32" customFormat="false" ht="15" hidden="false" customHeight="false" outlineLevel="0" collapsed="false">
      <c r="A32" s="108" t="n">
        <v>77235320811</v>
      </c>
      <c r="B32" s="108" t="n">
        <v>37</v>
      </c>
      <c r="C32" s="108" t="n">
        <v>1</v>
      </c>
      <c r="D32" s="108" t="s">
        <v>222</v>
      </c>
      <c r="E32" s="108" t="s">
        <v>226</v>
      </c>
      <c r="F32" s="108" t="s">
        <v>190</v>
      </c>
      <c r="G32" s="108" t="s">
        <v>192</v>
      </c>
      <c r="H32" s="108" t="s">
        <v>190</v>
      </c>
    </row>
    <row r="33" customFormat="false" ht="15" hidden="false" customHeight="false" outlineLevel="0" collapsed="false">
      <c r="A33" s="108" t="n">
        <v>77235320805</v>
      </c>
      <c r="B33" s="108" t="n">
        <v>36</v>
      </c>
      <c r="C33" s="108" t="n">
        <v>0</v>
      </c>
      <c r="D33" s="108" t="s">
        <v>193</v>
      </c>
      <c r="E33" s="108" t="s">
        <v>227</v>
      </c>
      <c r="F33" s="108" t="s">
        <v>190</v>
      </c>
      <c r="G33" s="108" t="s">
        <v>192</v>
      </c>
      <c r="H33" s="108" t="s">
        <v>190</v>
      </c>
    </row>
    <row r="34" customFormat="false" ht="15" hidden="false" customHeight="false" outlineLevel="0" collapsed="false">
      <c r="A34" s="108" t="n">
        <v>77235320803</v>
      </c>
      <c r="B34" s="108" t="n">
        <v>36</v>
      </c>
      <c r="C34" s="108" t="n">
        <v>2</v>
      </c>
      <c r="D34" s="108" t="s">
        <v>193</v>
      </c>
      <c r="E34" s="108" t="s">
        <v>228</v>
      </c>
      <c r="F34" s="108" t="s">
        <v>190</v>
      </c>
      <c r="G34" s="108" t="s">
        <v>190</v>
      </c>
      <c r="H34" s="108" t="s">
        <v>190</v>
      </c>
    </row>
    <row r="35" customFormat="false" ht="15" hidden="false" customHeight="false" outlineLevel="0" collapsed="false">
      <c r="A35" s="108" t="n">
        <v>77235320788</v>
      </c>
      <c r="B35" s="108" t="n">
        <v>37</v>
      </c>
      <c r="C35" s="108" t="n">
        <v>1</v>
      </c>
      <c r="D35" s="108" t="s">
        <v>222</v>
      </c>
      <c r="E35" s="108" t="s">
        <v>229</v>
      </c>
      <c r="F35" s="108" t="s">
        <v>190</v>
      </c>
      <c r="G35" s="108" t="s">
        <v>190</v>
      </c>
      <c r="H35" s="108" t="s">
        <v>190</v>
      </c>
    </row>
    <row r="36" customFormat="false" ht="15" hidden="false" customHeight="false" outlineLevel="0" collapsed="false">
      <c r="A36" s="108" t="n">
        <v>77235320785</v>
      </c>
      <c r="B36" s="108" t="n">
        <v>37</v>
      </c>
      <c r="C36" s="108" t="n">
        <v>1</v>
      </c>
      <c r="D36" s="108" t="s">
        <v>222</v>
      </c>
      <c r="E36" s="108" t="s">
        <v>230</v>
      </c>
      <c r="F36" s="108" t="s">
        <v>190</v>
      </c>
      <c r="G36" s="108" t="s">
        <v>190</v>
      </c>
      <c r="H36" s="108" t="s">
        <v>190</v>
      </c>
    </row>
    <row r="37" customFormat="false" ht="15" hidden="false" customHeight="false" outlineLevel="0" collapsed="false">
      <c r="A37" s="108" t="n">
        <v>77235320771</v>
      </c>
      <c r="B37" s="108" t="n">
        <v>37</v>
      </c>
      <c r="C37" s="108" t="n">
        <v>1</v>
      </c>
      <c r="D37" s="108" t="s">
        <v>222</v>
      </c>
      <c r="E37" s="108" t="s">
        <v>231</v>
      </c>
      <c r="F37" s="108" t="s">
        <v>190</v>
      </c>
      <c r="G37" s="108" t="s">
        <v>190</v>
      </c>
      <c r="H37" s="108" t="s">
        <v>190</v>
      </c>
    </row>
    <row r="38" customFormat="false" ht="15" hidden="false" customHeight="false" outlineLevel="0" collapsed="false">
      <c r="A38" s="108" t="n">
        <v>77235320769</v>
      </c>
      <c r="B38" s="108" t="n">
        <v>37</v>
      </c>
      <c r="C38" s="108" t="n">
        <v>1</v>
      </c>
      <c r="D38" s="108" t="s">
        <v>222</v>
      </c>
      <c r="E38" s="108" t="s">
        <v>232</v>
      </c>
      <c r="F38" s="108" t="s">
        <v>190</v>
      </c>
      <c r="G38" s="108" t="s">
        <v>190</v>
      </c>
      <c r="H38" s="108" t="s">
        <v>190</v>
      </c>
    </row>
    <row r="39" customFormat="false" ht="15" hidden="false" customHeight="false" outlineLevel="0" collapsed="false">
      <c r="A39" s="108" t="n">
        <v>77235320768</v>
      </c>
      <c r="B39" s="108" t="n">
        <v>37</v>
      </c>
      <c r="C39" s="108" t="n">
        <v>1</v>
      </c>
      <c r="D39" s="108" t="s">
        <v>222</v>
      </c>
      <c r="E39" s="108" t="s">
        <v>233</v>
      </c>
      <c r="F39" s="108" t="s">
        <v>190</v>
      </c>
      <c r="G39" s="108" t="s">
        <v>190</v>
      </c>
      <c r="H39" s="108" t="s">
        <v>190</v>
      </c>
    </row>
    <row r="40" customFormat="false" ht="15" hidden="false" customHeight="false" outlineLevel="0" collapsed="false">
      <c r="A40" s="108" t="n">
        <v>77235320756</v>
      </c>
      <c r="B40" s="108" t="n">
        <v>37</v>
      </c>
      <c r="C40" s="108" t="n">
        <v>1</v>
      </c>
      <c r="D40" s="108" t="s">
        <v>222</v>
      </c>
      <c r="E40" s="108" t="s">
        <v>234</v>
      </c>
      <c r="F40" s="108" t="s">
        <v>190</v>
      </c>
      <c r="G40" s="108" t="s">
        <v>190</v>
      </c>
      <c r="H40" s="108" t="s">
        <v>190</v>
      </c>
    </row>
    <row r="41" customFormat="false" ht="15" hidden="false" customHeight="false" outlineLevel="0" collapsed="false">
      <c r="A41" s="108" t="n">
        <v>77235320753</v>
      </c>
      <c r="B41" s="108" t="n">
        <v>36</v>
      </c>
      <c r="C41" s="108" t="n">
        <v>2</v>
      </c>
      <c r="D41" s="108" t="s">
        <v>193</v>
      </c>
      <c r="E41" s="108" t="s">
        <v>235</v>
      </c>
      <c r="F41" s="108" t="s">
        <v>190</v>
      </c>
      <c r="G41" s="108" t="s">
        <v>192</v>
      </c>
      <c r="H41" s="108" t="s">
        <v>190</v>
      </c>
    </row>
    <row r="42" customFormat="false" ht="15" hidden="false" customHeight="false" outlineLevel="0" collapsed="false">
      <c r="A42" s="108" t="s">
        <v>219</v>
      </c>
      <c r="B42" s="108" t="n">
        <v>19</v>
      </c>
      <c r="C42" s="108" t="n">
        <v>2</v>
      </c>
      <c r="D42" s="108" t="s">
        <v>220</v>
      </c>
      <c r="E42" s="108" t="s">
        <v>236</v>
      </c>
      <c r="F42" s="108" t="s">
        <v>190</v>
      </c>
      <c r="G42" s="108" t="s">
        <v>190</v>
      </c>
      <c r="H42" s="108" t="s">
        <v>190</v>
      </c>
    </row>
    <row r="43" customFormat="false" ht="15" hidden="false" customHeight="false" outlineLevel="0" collapsed="false">
      <c r="A43" s="108" t="n">
        <v>77235320746</v>
      </c>
      <c r="B43" s="108" t="n">
        <v>36</v>
      </c>
      <c r="C43" s="108" t="n">
        <v>2</v>
      </c>
      <c r="D43" s="108" t="s">
        <v>193</v>
      </c>
      <c r="E43" s="108" t="s">
        <v>237</v>
      </c>
      <c r="F43" s="108" t="s">
        <v>190</v>
      </c>
      <c r="G43" s="108" t="s">
        <v>190</v>
      </c>
      <c r="H43" s="108" t="s">
        <v>190</v>
      </c>
    </row>
    <row r="44" customFormat="false" ht="15" hidden="false" customHeight="false" outlineLevel="0" collapsed="false">
      <c r="A44" s="108" t="n">
        <v>77235320730</v>
      </c>
      <c r="B44" s="108" t="n">
        <v>37</v>
      </c>
      <c r="C44" s="108" t="n">
        <v>1</v>
      </c>
      <c r="D44" s="108" t="s">
        <v>222</v>
      </c>
      <c r="E44" s="108" t="s">
        <v>238</v>
      </c>
      <c r="F44" s="108" t="s">
        <v>190</v>
      </c>
      <c r="G44" s="108" t="s">
        <v>192</v>
      </c>
      <c r="H44" s="108" t="s">
        <v>192</v>
      </c>
    </row>
    <row r="45" customFormat="false" ht="15" hidden="false" customHeight="false" outlineLevel="0" collapsed="false">
      <c r="A45" s="108" t="n">
        <v>77235320729</v>
      </c>
      <c r="B45" s="108" t="n">
        <v>9</v>
      </c>
      <c r="C45" s="108" t="n">
        <v>1</v>
      </c>
      <c r="D45" s="108" t="s">
        <v>188</v>
      </c>
      <c r="E45" s="108" t="s">
        <v>239</v>
      </c>
      <c r="F45" s="108" t="s">
        <v>190</v>
      </c>
      <c r="G45" s="108" t="s">
        <v>190</v>
      </c>
      <c r="H45" s="108" t="s">
        <v>190</v>
      </c>
    </row>
    <row r="46" customFormat="false" ht="15" hidden="false" customHeight="false" outlineLevel="0" collapsed="false">
      <c r="A46" s="108" t="n">
        <v>77235320722</v>
      </c>
      <c r="B46" s="108" t="n">
        <v>36</v>
      </c>
      <c r="C46" s="108" t="n">
        <v>0</v>
      </c>
      <c r="D46" s="108" t="s">
        <v>193</v>
      </c>
      <c r="E46" s="108" t="s">
        <v>240</v>
      </c>
      <c r="F46" s="108" t="s">
        <v>190</v>
      </c>
      <c r="G46" s="108" t="s">
        <v>192</v>
      </c>
      <c r="H46" s="108" t="s">
        <v>190</v>
      </c>
    </row>
    <row r="47" customFormat="false" ht="15" hidden="false" customHeight="false" outlineLevel="0" collapsed="false">
      <c r="A47" s="108" t="s">
        <v>219</v>
      </c>
      <c r="B47" s="108" t="n">
        <v>36</v>
      </c>
      <c r="C47" s="108" t="n">
        <v>2</v>
      </c>
      <c r="D47" s="108" t="s">
        <v>193</v>
      </c>
      <c r="E47" s="108" t="s">
        <v>241</v>
      </c>
      <c r="F47" s="108" t="s">
        <v>190</v>
      </c>
      <c r="G47" s="108" t="s">
        <v>190</v>
      </c>
      <c r="H47" s="108" t="s">
        <v>190</v>
      </c>
    </row>
    <row r="48" customFormat="false" ht="15" hidden="false" customHeight="false" outlineLevel="0" collapsed="false">
      <c r="A48" s="108" t="n">
        <v>77235320718</v>
      </c>
      <c r="B48" s="108" t="n">
        <v>36</v>
      </c>
      <c r="C48" s="108" t="n">
        <v>2</v>
      </c>
      <c r="D48" s="108" t="s">
        <v>193</v>
      </c>
      <c r="E48" s="108" t="s">
        <v>242</v>
      </c>
      <c r="F48" s="108" t="s">
        <v>190</v>
      </c>
      <c r="G48" s="108" t="s">
        <v>190</v>
      </c>
      <c r="H48" s="108" t="s">
        <v>190</v>
      </c>
    </row>
    <row r="49" customFormat="false" ht="15" hidden="false" customHeight="false" outlineLevel="0" collapsed="false">
      <c r="A49" s="108" t="n">
        <v>77235320708</v>
      </c>
      <c r="B49" s="108" t="n">
        <v>36</v>
      </c>
      <c r="C49" s="108" t="n">
        <v>1</v>
      </c>
      <c r="D49" s="108" t="s">
        <v>193</v>
      </c>
      <c r="E49" s="108" t="s">
        <v>243</v>
      </c>
      <c r="F49" s="108" t="s">
        <v>190</v>
      </c>
      <c r="G49" s="108" t="s">
        <v>192</v>
      </c>
      <c r="H49" s="108" t="s">
        <v>190</v>
      </c>
    </row>
    <row r="50" customFormat="false" ht="15" hidden="false" customHeight="false" outlineLevel="0" collapsed="false">
      <c r="A50" s="108" t="n">
        <v>77235320704</v>
      </c>
      <c r="B50" s="108" t="n">
        <v>36</v>
      </c>
      <c r="C50" s="108" t="n">
        <v>2</v>
      </c>
      <c r="D50" s="108" t="s">
        <v>193</v>
      </c>
      <c r="E50" s="108" t="s">
        <v>244</v>
      </c>
      <c r="F50" s="108" t="s">
        <v>190</v>
      </c>
      <c r="G50" s="108" t="s">
        <v>190</v>
      </c>
      <c r="H50" s="108" t="s">
        <v>190</v>
      </c>
    </row>
    <row r="51" customFormat="false" ht="15" hidden="false" customHeight="false" outlineLevel="0" collapsed="false">
      <c r="A51" s="108" t="n">
        <v>77235320692</v>
      </c>
      <c r="B51" s="108" t="n">
        <v>17</v>
      </c>
      <c r="C51" s="108" t="n">
        <v>2</v>
      </c>
      <c r="D51" s="108" t="s">
        <v>245</v>
      </c>
      <c r="E51" s="108" t="s">
        <v>246</v>
      </c>
      <c r="F51" s="108" t="s">
        <v>190</v>
      </c>
      <c r="G51" s="108" t="s">
        <v>190</v>
      </c>
      <c r="H51" s="108" t="s">
        <v>190</v>
      </c>
    </row>
    <row r="52" customFormat="false" ht="15" hidden="false" customHeight="false" outlineLevel="0" collapsed="false">
      <c r="A52" s="108" t="n">
        <v>77235320690</v>
      </c>
      <c r="B52" s="108" t="n">
        <v>17</v>
      </c>
      <c r="C52" s="108" t="n">
        <v>2</v>
      </c>
      <c r="D52" s="108" t="s">
        <v>245</v>
      </c>
      <c r="E52" s="108" t="s">
        <v>247</v>
      </c>
      <c r="F52" s="108" t="s">
        <v>190</v>
      </c>
      <c r="G52" s="108" t="s">
        <v>190</v>
      </c>
      <c r="H52" s="108" t="s">
        <v>190</v>
      </c>
    </row>
    <row r="53" customFormat="false" ht="15" hidden="false" customHeight="false" outlineLevel="0" collapsed="false">
      <c r="A53" s="108" t="n">
        <v>77235320689</v>
      </c>
      <c r="B53" s="108" t="n">
        <v>9</v>
      </c>
      <c r="C53" s="108" t="n">
        <v>1</v>
      </c>
      <c r="D53" s="108" t="s">
        <v>188</v>
      </c>
      <c r="E53" s="108" t="s">
        <v>248</v>
      </c>
      <c r="F53" s="108" t="s">
        <v>190</v>
      </c>
      <c r="G53" s="108" t="s">
        <v>192</v>
      </c>
      <c r="H53" s="108" t="s">
        <v>190</v>
      </c>
    </row>
    <row r="54" customFormat="false" ht="15" hidden="false" customHeight="false" outlineLevel="0" collapsed="false">
      <c r="A54" s="108" t="n">
        <v>77235320681</v>
      </c>
      <c r="B54" s="108" t="n">
        <v>17</v>
      </c>
      <c r="C54" s="108" t="n">
        <v>2</v>
      </c>
      <c r="D54" s="108" t="s">
        <v>245</v>
      </c>
      <c r="E54" s="108" t="s">
        <v>249</v>
      </c>
      <c r="F54" s="108" t="s">
        <v>190</v>
      </c>
      <c r="G54" s="108" t="s">
        <v>192</v>
      </c>
      <c r="H54" s="108" t="s">
        <v>190</v>
      </c>
    </row>
    <row r="55" customFormat="false" ht="15" hidden="false" customHeight="false" outlineLevel="0" collapsed="false">
      <c r="A55" s="108" t="n">
        <v>77235320680</v>
      </c>
      <c r="B55" s="108" t="n">
        <v>10</v>
      </c>
      <c r="C55" s="108" t="n">
        <v>2</v>
      </c>
      <c r="D55" s="108" t="s">
        <v>250</v>
      </c>
      <c r="E55" s="108" t="s">
        <v>251</v>
      </c>
      <c r="F55" s="108" t="s">
        <v>190</v>
      </c>
      <c r="G55" s="108" t="s">
        <v>192</v>
      </c>
      <c r="H55" s="108" t="s">
        <v>190</v>
      </c>
    </row>
    <row r="56" customFormat="false" ht="15" hidden="false" customHeight="false" outlineLevel="0" collapsed="false">
      <c r="A56" s="108" t="n">
        <v>77235320676</v>
      </c>
      <c r="B56" s="108" t="n">
        <v>36</v>
      </c>
      <c r="C56" s="108" t="n">
        <v>0</v>
      </c>
      <c r="D56" s="108" t="s">
        <v>193</v>
      </c>
      <c r="E56" s="108" t="s">
        <v>252</v>
      </c>
      <c r="F56" s="108" t="s">
        <v>190</v>
      </c>
      <c r="G56" s="108" t="s">
        <v>192</v>
      </c>
      <c r="H56" s="108" t="s">
        <v>190</v>
      </c>
    </row>
    <row r="57" customFormat="false" ht="15" hidden="false" customHeight="false" outlineLevel="0" collapsed="false">
      <c r="A57" s="108" t="n">
        <v>77235320662</v>
      </c>
      <c r="B57" s="108" t="n">
        <v>9</v>
      </c>
      <c r="C57" s="108" t="n">
        <v>1</v>
      </c>
      <c r="D57" s="108" t="s">
        <v>188</v>
      </c>
      <c r="E57" s="108" t="s">
        <v>253</v>
      </c>
      <c r="F57" s="108" t="s">
        <v>190</v>
      </c>
      <c r="G57" s="108" t="s">
        <v>190</v>
      </c>
      <c r="H57" s="108" t="s">
        <v>190</v>
      </c>
    </row>
    <row r="58" customFormat="false" ht="15" hidden="false" customHeight="false" outlineLevel="0" collapsed="false">
      <c r="A58" s="108" t="n">
        <v>77235320642</v>
      </c>
      <c r="B58" s="108" t="n">
        <v>36</v>
      </c>
      <c r="C58" s="108" t="n">
        <v>1</v>
      </c>
      <c r="D58" s="108" t="s">
        <v>193</v>
      </c>
      <c r="E58" s="108" t="s">
        <v>254</v>
      </c>
      <c r="F58" s="108" t="s">
        <v>190</v>
      </c>
      <c r="G58" s="108" t="s">
        <v>190</v>
      </c>
      <c r="H58" s="108" t="s">
        <v>190</v>
      </c>
    </row>
    <row r="59" customFormat="false" ht="15" hidden="false" customHeight="false" outlineLevel="0" collapsed="false">
      <c r="A59" s="108" t="n">
        <v>77235320638</v>
      </c>
      <c r="B59" s="108" t="n">
        <v>17</v>
      </c>
      <c r="C59" s="108" t="n">
        <v>2</v>
      </c>
      <c r="D59" s="108" t="s">
        <v>245</v>
      </c>
      <c r="E59" s="108" t="s">
        <v>255</v>
      </c>
      <c r="F59" s="108" t="s">
        <v>190</v>
      </c>
      <c r="G59" s="108" t="s">
        <v>190</v>
      </c>
      <c r="H59" s="108" t="s">
        <v>190</v>
      </c>
    </row>
    <row r="60" customFormat="false" ht="15" hidden="false" customHeight="false" outlineLevel="0" collapsed="false">
      <c r="A60" s="108" t="n">
        <v>77235320637</v>
      </c>
      <c r="B60" s="108" t="n">
        <v>9</v>
      </c>
      <c r="C60" s="108" t="n">
        <v>1</v>
      </c>
      <c r="D60" s="108" t="s">
        <v>188</v>
      </c>
      <c r="E60" s="108" t="s">
        <v>256</v>
      </c>
      <c r="F60" s="108" t="s">
        <v>190</v>
      </c>
      <c r="G60" s="108" t="s">
        <v>190</v>
      </c>
      <c r="H60" s="108" t="s">
        <v>190</v>
      </c>
    </row>
    <row r="61" customFormat="false" ht="15" hidden="false" customHeight="false" outlineLevel="0" collapsed="false">
      <c r="A61" s="108" t="n">
        <v>77235320634</v>
      </c>
      <c r="B61" s="108" t="n">
        <v>17</v>
      </c>
      <c r="C61" s="108" t="n">
        <v>2</v>
      </c>
      <c r="D61" s="108" t="s">
        <v>245</v>
      </c>
      <c r="E61" s="108" t="s">
        <v>257</v>
      </c>
      <c r="F61" s="108" t="s">
        <v>190</v>
      </c>
      <c r="G61" s="108" t="s">
        <v>192</v>
      </c>
      <c r="H61" s="108" t="s">
        <v>192</v>
      </c>
    </row>
    <row r="62" customFormat="false" ht="15" hidden="false" customHeight="false" outlineLevel="0" collapsed="false">
      <c r="A62" s="108" t="n">
        <v>77235320631</v>
      </c>
      <c r="B62" s="108" t="n">
        <v>9</v>
      </c>
      <c r="C62" s="108" t="n">
        <v>1</v>
      </c>
      <c r="D62" s="108" t="s">
        <v>188</v>
      </c>
      <c r="E62" s="108" t="s">
        <v>258</v>
      </c>
      <c r="F62" s="108" t="s">
        <v>190</v>
      </c>
      <c r="G62" s="108" t="s">
        <v>190</v>
      </c>
      <c r="H62" s="108" t="s">
        <v>190</v>
      </c>
    </row>
    <row r="63" customFormat="false" ht="15" hidden="false" customHeight="false" outlineLevel="0" collapsed="false">
      <c r="A63" s="108" t="n">
        <v>77235320626</v>
      </c>
      <c r="B63" s="108" t="n">
        <v>10</v>
      </c>
      <c r="C63" s="108" t="n">
        <v>2</v>
      </c>
      <c r="D63" s="108" t="s">
        <v>250</v>
      </c>
      <c r="E63" s="108" t="s">
        <v>259</v>
      </c>
      <c r="F63" s="108" t="s">
        <v>190</v>
      </c>
      <c r="G63" s="108" t="s">
        <v>192</v>
      </c>
      <c r="H63" s="108" t="s">
        <v>190</v>
      </c>
    </row>
    <row r="64" customFormat="false" ht="15" hidden="false" customHeight="false" outlineLevel="0" collapsed="false">
      <c r="A64" s="108" t="n">
        <v>77235320624</v>
      </c>
      <c r="B64" s="108" t="n">
        <v>17</v>
      </c>
      <c r="C64" s="108" t="n">
        <v>2</v>
      </c>
      <c r="D64" s="108" t="s">
        <v>245</v>
      </c>
      <c r="E64" s="108" t="s">
        <v>260</v>
      </c>
      <c r="F64" s="108" t="s">
        <v>190</v>
      </c>
      <c r="G64" s="108" t="s">
        <v>192</v>
      </c>
      <c r="H64" s="108" t="s">
        <v>190</v>
      </c>
    </row>
    <row r="65" customFormat="false" ht="15" hidden="false" customHeight="false" outlineLevel="0" collapsed="false">
      <c r="A65" s="108" t="n">
        <v>77235320620</v>
      </c>
      <c r="B65" s="108" t="n">
        <v>36</v>
      </c>
      <c r="C65" s="108" t="n">
        <v>2</v>
      </c>
      <c r="D65" s="108" t="s">
        <v>193</v>
      </c>
      <c r="E65" s="108" t="s">
        <v>261</v>
      </c>
      <c r="F65" s="108" t="s">
        <v>190</v>
      </c>
      <c r="G65" s="108" t="s">
        <v>192</v>
      </c>
      <c r="H65" s="108" t="s">
        <v>190</v>
      </c>
    </row>
    <row r="66" customFormat="false" ht="15" hidden="false" customHeight="false" outlineLevel="0" collapsed="false">
      <c r="A66" s="108" t="n">
        <v>77235320617</v>
      </c>
      <c r="B66" s="108" t="n">
        <v>17</v>
      </c>
      <c r="C66" s="108" t="n">
        <v>2</v>
      </c>
      <c r="D66" s="108" t="s">
        <v>245</v>
      </c>
      <c r="E66" s="108" t="s">
        <v>262</v>
      </c>
      <c r="F66" s="108" t="s">
        <v>190</v>
      </c>
      <c r="G66" s="108" t="s">
        <v>190</v>
      </c>
      <c r="H66" s="108" t="s">
        <v>190</v>
      </c>
    </row>
    <row r="67" customFormat="false" ht="15" hidden="false" customHeight="false" outlineLevel="0" collapsed="false">
      <c r="A67" s="108" t="n">
        <v>77235320608</v>
      </c>
      <c r="B67" s="108" t="n">
        <v>9</v>
      </c>
      <c r="C67" s="108" t="n">
        <v>1</v>
      </c>
      <c r="D67" s="108" t="s">
        <v>188</v>
      </c>
      <c r="E67" s="108" t="s">
        <v>263</v>
      </c>
      <c r="F67" s="108" t="s">
        <v>190</v>
      </c>
      <c r="G67" s="108" t="s">
        <v>192</v>
      </c>
      <c r="H67" s="108" t="s">
        <v>192</v>
      </c>
    </row>
    <row r="68" customFormat="false" ht="15" hidden="false" customHeight="false" outlineLevel="0" collapsed="false">
      <c r="A68" s="108" t="n">
        <v>77235320604</v>
      </c>
      <c r="B68" s="108" t="n">
        <v>9</v>
      </c>
      <c r="C68" s="108" t="n">
        <v>1</v>
      </c>
      <c r="D68" s="108" t="s">
        <v>188</v>
      </c>
      <c r="E68" s="108" t="s">
        <v>264</v>
      </c>
      <c r="F68" s="108" t="s">
        <v>190</v>
      </c>
      <c r="G68" s="108" t="s">
        <v>190</v>
      </c>
      <c r="H68" s="108" t="s">
        <v>190</v>
      </c>
    </row>
    <row r="69" customFormat="false" ht="15" hidden="false" customHeight="false" outlineLevel="0" collapsed="false">
      <c r="A69" s="108" t="n">
        <v>77235320603</v>
      </c>
      <c r="B69" s="108" t="n">
        <v>36</v>
      </c>
      <c r="C69" s="108" t="n">
        <v>2</v>
      </c>
      <c r="D69" s="108" t="s">
        <v>193</v>
      </c>
      <c r="E69" s="108" t="s">
        <v>265</v>
      </c>
      <c r="F69" s="108" t="s">
        <v>190</v>
      </c>
      <c r="G69" s="108" t="s">
        <v>190</v>
      </c>
      <c r="H69" s="108" t="s">
        <v>190</v>
      </c>
    </row>
    <row r="70" customFormat="false" ht="15" hidden="false" customHeight="false" outlineLevel="0" collapsed="false">
      <c r="A70" s="108" t="n">
        <v>77235320601</v>
      </c>
      <c r="B70" s="108" t="n">
        <v>36</v>
      </c>
      <c r="C70" s="108" t="n">
        <v>1</v>
      </c>
      <c r="D70" s="108" t="s">
        <v>193</v>
      </c>
      <c r="E70" s="108" t="s">
        <v>266</v>
      </c>
      <c r="F70" s="108" t="s">
        <v>190</v>
      </c>
      <c r="G70" s="108" t="s">
        <v>192</v>
      </c>
      <c r="H70" s="108" t="s">
        <v>190</v>
      </c>
    </row>
    <row r="71" customFormat="false" ht="15" hidden="false" customHeight="false" outlineLevel="0" collapsed="false">
      <c r="A71" s="108" t="n">
        <v>77235320597</v>
      </c>
      <c r="B71" s="108" t="n">
        <v>31</v>
      </c>
      <c r="C71" s="108" t="n">
        <v>1</v>
      </c>
      <c r="D71" s="108" t="s">
        <v>208</v>
      </c>
      <c r="E71" s="108" t="s">
        <v>267</v>
      </c>
      <c r="F71" s="108" t="s">
        <v>190</v>
      </c>
      <c r="G71" s="108" t="s">
        <v>192</v>
      </c>
      <c r="H71" s="108" t="s">
        <v>190</v>
      </c>
    </row>
    <row r="72" customFormat="false" ht="15" hidden="false" customHeight="false" outlineLevel="0" collapsed="false">
      <c r="A72" s="108" t="n">
        <v>77235320591</v>
      </c>
      <c r="B72" s="108" t="n">
        <v>9</v>
      </c>
      <c r="C72" s="108" t="n">
        <v>1</v>
      </c>
      <c r="D72" s="108" t="s">
        <v>188</v>
      </c>
      <c r="E72" s="108" t="s">
        <v>268</v>
      </c>
      <c r="F72" s="108" t="s">
        <v>190</v>
      </c>
      <c r="G72" s="108" t="s">
        <v>190</v>
      </c>
      <c r="H72" s="108" t="s">
        <v>190</v>
      </c>
    </row>
    <row r="73" customFormat="false" ht="15" hidden="false" customHeight="false" outlineLevel="0" collapsed="false">
      <c r="A73" s="108" t="n">
        <v>77235320587</v>
      </c>
      <c r="B73" s="108" t="n">
        <v>9</v>
      </c>
      <c r="C73" s="108" t="n">
        <v>1</v>
      </c>
      <c r="D73" s="108" t="s">
        <v>188</v>
      </c>
      <c r="E73" s="108" t="s">
        <v>269</v>
      </c>
      <c r="F73" s="108" t="s">
        <v>190</v>
      </c>
      <c r="G73" s="108" t="s">
        <v>190</v>
      </c>
      <c r="H73" s="108" t="s">
        <v>190</v>
      </c>
    </row>
    <row r="74" customFormat="false" ht="15" hidden="false" customHeight="false" outlineLevel="0" collapsed="false">
      <c r="A74" s="108" t="n">
        <v>77235320585</v>
      </c>
      <c r="B74" s="108" t="n">
        <v>9</v>
      </c>
      <c r="C74" s="108" t="n">
        <v>1</v>
      </c>
      <c r="D74" s="108" t="s">
        <v>188</v>
      </c>
      <c r="E74" s="108" t="s">
        <v>270</v>
      </c>
      <c r="F74" s="108" t="s">
        <v>190</v>
      </c>
      <c r="G74" s="108" t="s">
        <v>190</v>
      </c>
      <c r="H74" s="108" t="s">
        <v>190</v>
      </c>
    </row>
    <row r="75" customFormat="false" ht="15" hidden="false" customHeight="false" outlineLevel="0" collapsed="false">
      <c r="A75" s="108" t="n">
        <v>77235320583</v>
      </c>
      <c r="B75" s="108" t="n">
        <v>9</v>
      </c>
      <c r="C75" s="108" t="n">
        <v>1</v>
      </c>
      <c r="D75" s="108" t="s">
        <v>188</v>
      </c>
      <c r="E75" s="108" t="s">
        <v>271</v>
      </c>
      <c r="F75" s="108" t="s">
        <v>190</v>
      </c>
      <c r="G75" s="108" t="s">
        <v>192</v>
      </c>
      <c r="H75" s="108" t="s">
        <v>190</v>
      </c>
    </row>
    <row r="76" customFormat="false" ht="15" hidden="false" customHeight="false" outlineLevel="0" collapsed="false">
      <c r="A76" s="108" t="n">
        <v>77235320579</v>
      </c>
      <c r="B76" s="108" t="n">
        <v>31</v>
      </c>
      <c r="C76" s="108" t="n">
        <v>1</v>
      </c>
      <c r="D76" s="108" t="s">
        <v>208</v>
      </c>
      <c r="E76" s="108" t="s">
        <v>272</v>
      </c>
      <c r="F76" s="108" t="s">
        <v>190</v>
      </c>
      <c r="G76" s="108" t="s">
        <v>192</v>
      </c>
      <c r="H76" s="108" t="s">
        <v>192</v>
      </c>
    </row>
    <row r="77" customFormat="false" ht="15" hidden="false" customHeight="false" outlineLevel="0" collapsed="false">
      <c r="A77" s="108" t="n">
        <v>77235320566</v>
      </c>
      <c r="B77" s="108" t="n">
        <v>31</v>
      </c>
      <c r="C77" s="108" t="n">
        <v>1</v>
      </c>
      <c r="D77" s="108" t="s">
        <v>208</v>
      </c>
      <c r="E77" s="108" t="s">
        <v>273</v>
      </c>
      <c r="F77" s="108" t="s">
        <v>190</v>
      </c>
      <c r="G77" s="108" t="s">
        <v>190</v>
      </c>
      <c r="H77" s="108" t="s">
        <v>190</v>
      </c>
    </row>
    <row r="78" customFormat="false" ht="15" hidden="false" customHeight="false" outlineLevel="0" collapsed="false">
      <c r="A78" s="108" t="n">
        <v>77235320564</v>
      </c>
      <c r="B78" s="108" t="n">
        <v>9</v>
      </c>
      <c r="C78" s="108" t="n">
        <v>1</v>
      </c>
      <c r="D78" s="108" t="s">
        <v>188</v>
      </c>
      <c r="E78" s="108" t="s">
        <v>274</v>
      </c>
      <c r="F78" s="108" t="s">
        <v>190</v>
      </c>
      <c r="G78" s="108" t="s">
        <v>192</v>
      </c>
      <c r="H78" s="108" t="s">
        <v>190</v>
      </c>
    </row>
    <row r="79" customFormat="false" ht="15" hidden="false" customHeight="false" outlineLevel="0" collapsed="false">
      <c r="A79" s="108" t="n">
        <v>77235320563</v>
      </c>
      <c r="B79" s="108" t="n">
        <v>9</v>
      </c>
      <c r="C79" s="108" t="n">
        <v>1</v>
      </c>
      <c r="D79" s="108" t="s">
        <v>188</v>
      </c>
      <c r="E79" s="108" t="s">
        <v>275</v>
      </c>
      <c r="F79" s="108" t="s">
        <v>190</v>
      </c>
      <c r="G79" s="108" t="s">
        <v>192</v>
      </c>
      <c r="H79" s="108" t="s">
        <v>192</v>
      </c>
    </row>
    <row r="80" customFormat="false" ht="15" hidden="false" customHeight="false" outlineLevel="0" collapsed="false">
      <c r="A80" s="108" t="n">
        <v>77235320560</v>
      </c>
      <c r="B80" s="108" t="n">
        <v>31</v>
      </c>
      <c r="C80" s="108" t="n">
        <v>2</v>
      </c>
      <c r="D80" s="108" t="s">
        <v>208</v>
      </c>
      <c r="E80" s="108" t="s">
        <v>276</v>
      </c>
      <c r="F80" s="108" t="s">
        <v>190</v>
      </c>
      <c r="G80" s="108" t="s">
        <v>190</v>
      </c>
      <c r="H80" s="108" t="s">
        <v>190</v>
      </c>
    </row>
    <row r="81" customFormat="false" ht="15" hidden="false" customHeight="false" outlineLevel="0" collapsed="false">
      <c r="A81" s="108" t="n">
        <v>77235320551</v>
      </c>
      <c r="B81" s="108" t="n">
        <v>9</v>
      </c>
      <c r="C81" s="108" t="n">
        <v>1</v>
      </c>
      <c r="D81" s="108" t="s">
        <v>188</v>
      </c>
      <c r="E81" s="108" t="s">
        <v>277</v>
      </c>
      <c r="F81" s="108" t="s">
        <v>190</v>
      </c>
      <c r="G81" s="108" t="s">
        <v>190</v>
      </c>
      <c r="H81" s="108" t="s">
        <v>190</v>
      </c>
    </row>
    <row r="82" customFormat="false" ht="15" hidden="false" customHeight="false" outlineLevel="0" collapsed="false">
      <c r="A82" s="108" t="n">
        <v>77235320549</v>
      </c>
      <c r="B82" s="108" t="n">
        <v>9</v>
      </c>
      <c r="C82" s="108" t="n">
        <v>1</v>
      </c>
      <c r="D82" s="108" t="s">
        <v>188</v>
      </c>
      <c r="E82" s="108" t="s">
        <v>278</v>
      </c>
      <c r="F82" s="108" t="s">
        <v>190</v>
      </c>
      <c r="G82" s="108" t="s">
        <v>190</v>
      </c>
      <c r="H82" s="108" t="s">
        <v>190</v>
      </c>
    </row>
    <row r="83" customFormat="false" ht="15" hidden="false" customHeight="false" outlineLevel="0" collapsed="false">
      <c r="A83" s="108" t="n">
        <v>77235320548</v>
      </c>
      <c r="B83" s="108" t="n">
        <v>9</v>
      </c>
      <c r="C83" s="108" t="n">
        <v>1</v>
      </c>
      <c r="D83" s="108" t="s">
        <v>188</v>
      </c>
      <c r="E83" s="108" t="s">
        <v>279</v>
      </c>
      <c r="F83" s="108" t="s">
        <v>190</v>
      </c>
      <c r="G83" s="108" t="s">
        <v>192</v>
      </c>
      <c r="H83" s="108" t="s">
        <v>190</v>
      </c>
    </row>
    <row r="84" customFormat="false" ht="15" hidden="false" customHeight="false" outlineLevel="0" collapsed="false">
      <c r="A84" s="108" t="n">
        <v>77235320547</v>
      </c>
      <c r="B84" s="108" t="n">
        <v>9</v>
      </c>
      <c r="C84" s="108" t="n">
        <v>1</v>
      </c>
      <c r="D84" s="108" t="s">
        <v>188</v>
      </c>
      <c r="E84" s="108" t="s">
        <v>280</v>
      </c>
      <c r="F84" s="108" t="s">
        <v>190</v>
      </c>
      <c r="G84" s="108" t="s">
        <v>190</v>
      </c>
      <c r="H84" s="108" t="s">
        <v>190</v>
      </c>
    </row>
    <row r="85" customFormat="false" ht="15" hidden="false" customHeight="false" outlineLevel="0" collapsed="false">
      <c r="A85" s="108" t="n">
        <v>77235320546</v>
      </c>
      <c r="B85" s="108" t="n">
        <v>31</v>
      </c>
      <c r="C85" s="108" t="n">
        <v>1</v>
      </c>
      <c r="D85" s="108" t="s">
        <v>208</v>
      </c>
      <c r="E85" s="108" t="s">
        <v>281</v>
      </c>
      <c r="F85" s="108" t="s">
        <v>190</v>
      </c>
      <c r="G85" s="108" t="s">
        <v>190</v>
      </c>
      <c r="H85" s="108" t="s">
        <v>190</v>
      </c>
    </row>
    <row r="86" customFormat="false" ht="15" hidden="false" customHeight="false" outlineLevel="0" collapsed="false">
      <c r="A86" s="108" t="n">
        <v>77235320543</v>
      </c>
      <c r="B86" s="108" t="n">
        <v>31</v>
      </c>
      <c r="C86" s="108" t="n">
        <v>1</v>
      </c>
      <c r="D86" s="108" t="s">
        <v>208</v>
      </c>
      <c r="E86" s="108" t="s">
        <v>282</v>
      </c>
      <c r="F86" s="108" t="s">
        <v>190</v>
      </c>
      <c r="G86" s="108" t="s">
        <v>190</v>
      </c>
      <c r="H86" s="108" t="s">
        <v>190</v>
      </c>
    </row>
    <row r="87" customFormat="false" ht="15" hidden="false" customHeight="false" outlineLevel="0" collapsed="false">
      <c r="A87" s="108" t="n">
        <v>77235320538</v>
      </c>
      <c r="B87" s="108" t="n">
        <v>9</v>
      </c>
      <c r="C87" s="108" t="n">
        <v>1</v>
      </c>
      <c r="D87" s="108" t="s">
        <v>188</v>
      </c>
      <c r="E87" s="108" t="s">
        <v>283</v>
      </c>
      <c r="F87" s="108" t="s">
        <v>190</v>
      </c>
      <c r="G87" s="108" t="s">
        <v>190</v>
      </c>
      <c r="H87" s="108" t="s">
        <v>190</v>
      </c>
    </row>
    <row r="88" customFormat="false" ht="15" hidden="false" customHeight="false" outlineLevel="0" collapsed="false">
      <c r="A88" s="108" t="n">
        <v>77235320536</v>
      </c>
      <c r="B88" s="108" t="n">
        <v>9</v>
      </c>
      <c r="C88" s="108" t="n">
        <v>1</v>
      </c>
      <c r="D88" s="108" t="s">
        <v>188</v>
      </c>
      <c r="E88" s="108" t="s">
        <v>284</v>
      </c>
      <c r="F88" s="108" t="s">
        <v>190</v>
      </c>
      <c r="G88" s="108" t="s">
        <v>190</v>
      </c>
      <c r="H88" s="108" t="s">
        <v>190</v>
      </c>
    </row>
    <row r="89" customFormat="false" ht="15" hidden="false" customHeight="false" outlineLevel="0" collapsed="false">
      <c r="A89" s="108" t="n">
        <v>77235320532</v>
      </c>
      <c r="B89" s="108" t="n">
        <v>9</v>
      </c>
      <c r="C89" s="108" t="n">
        <v>1</v>
      </c>
      <c r="D89" s="108" t="s">
        <v>188</v>
      </c>
      <c r="E89" s="108" t="s">
        <v>285</v>
      </c>
      <c r="F89" s="108" t="s">
        <v>190</v>
      </c>
      <c r="G89" s="108" t="s">
        <v>190</v>
      </c>
      <c r="H89" s="108" t="s">
        <v>190</v>
      </c>
    </row>
    <row r="90" customFormat="false" ht="15" hidden="false" customHeight="false" outlineLevel="0" collapsed="false">
      <c r="A90" s="108" t="n">
        <v>77235320531</v>
      </c>
      <c r="B90" s="108" t="n">
        <v>31</v>
      </c>
      <c r="C90" s="108" t="n">
        <v>1</v>
      </c>
      <c r="D90" s="108" t="s">
        <v>208</v>
      </c>
      <c r="E90" s="108" t="s">
        <v>286</v>
      </c>
      <c r="F90" s="108" t="s">
        <v>190</v>
      </c>
      <c r="G90" s="108" t="s">
        <v>190</v>
      </c>
      <c r="H90" s="108" t="s">
        <v>190</v>
      </c>
    </row>
    <row r="91" customFormat="false" ht="15" hidden="false" customHeight="false" outlineLevel="0" collapsed="false">
      <c r="A91" s="108" t="n">
        <v>77235320526</v>
      </c>
      <c r="B91" s="108" t="n">
        <v>31</v>
      </c>
      <c r="C91" s="108" t="n">
        <v>1</v>
      </c>
      <c r="D91" s="108" t="s">
        <v>208</v>
      </c>
      <c r="E91" s="108" t="s">
        <v>287</v>
      </c>
      <c r="F91" s="108" t="s">
        <v>190</v>
      </c>
      <c r="G91" s="108" t="s">
        <v>190</v>
      </c>
      <c r="H91" s="108" t="s">
        <v>190</v>
      </c>
    </row>
    <row r="92" customFormat="false" ht="15" hidden="false" customHeight="false" outlineLevel="0" collapsed="false">
      <c r="A92" s="108" t="n">
        <v>77235320524</v>
      </c>
      <c r="B92" s="108" t="n">
        <v>31</v>
      </c>
      <c r="C92" s="108" t="n">
        <v>1</v>
      </c>
      <c r="D92" s="108" t="s">
        <v>208</v>
      </c>
      <c r="E92" s="108" t="s">
        <v>288</v>
      </c>
      <c r="F92" s="108" t="s">
        <v>190</v>
      </c>
      <c r="G92" s="108" t="s">
        <v>192</v>
      </c>
      <c r="H92" s="108" t="s">
        <v>190</v>
      </c>
    </row>
    <row r="93" customFormat="false" ht="15" hidden="false" customHeight="false" outlineLevel="0" collapsed="false">
      <c r="A93" s="108" t="n">
        <v>77235320523</v>
      </c>
      <c r="B93" s="108" t="n">
        <v>9</v>
      </c>
      <c r="C93" s="108" t="n">
        <v>1</v>
      </c>
      <c r="D93" s="108" t="s">
        <v>188</v>
      </c>
      <c r="E93" s="108" t="s">
        <v>289</v>
      </c>
      <c r="F93" s="108" t="s">
        <v>190</v>
      </c>
      <c r="G93" s="108" t="s">
        <v>190</v>
      </c>
      <c r="H93" s="108" t="s">
        <v>190</v>
      </c>
    </row>
    <row r="94" customFormat="false" ht="15" hidden="false" customHeight="false" outlineLevel="0" collapsed="false">
      <c r="A94" s="108" t="n">
        <v>77235320521</v>
      </c>
      <c r="B94" s="108" t="n">
        <v>31</v>
      </c>
      <c r="C94" s="108" t="n">
        <v>1</v>
      </c>
      <c r="D94" s="108" t="s">
        <v>208</v>
      </c>
      <c r="E94" s="108" t="s">
        <v>290</v>
      </c>
      <c r="F94" s="108" t="s">
        <v>190</v>
      </c>
      <c r="G94" s="108" t="s">
        <v>192</v>
      </c>
      <c r="H94" s="108" t="s">
        <v>192</v>
      </c>
    </row>
    <row r="95" customFormat="false" ht="15" hidden="false" customHeight="false" outlineLevel="0" collapsed="false">
      <c r="A95" s="108" t="n">
        <v>77235320520</v>
      </c>
      <c r="B95" s="108" t="n">
        <v>31</v>
      </c>
      <c r="C95" s="108" t="n">
        <v>2</v>
      </c>
      <c r="D95" s="108" t="s">
        <v>208</v>
      </c>
      <c r="E95" s="108" t="s">
        <v>291</v>
      </c>
      <c r="F95" s="108" t="s">
        <v>190</v>
      </c>
      <c r="G95" s="108" t="s">
        <v>192</v>
      </c>
      <c r="H95" s="108" t="s">
        <v>192</v>
      </c>
    </row>
    <row r="96" customFormat="false" ht="15" hidden="false" customHeight="false" outlineLevel="0" collapsed="false">
      <c r="A96" s="108" t="n">
        <v>77235320515</v>
      </c>
      <c r="B96" s="108" t="n">
        <v>31</v>
      </c>
      <c r="C96" s="108" t="n">
        <v>1</v>
      </c>
      <c r="D96" s="108" t="s">
        <v>208</v>
      </c>
      <c r="E96" s="108" t="s">
        <v>292</v>
      </c>
      <c r="F96" s="108" t="s">
        <v>190</v>
      </c>
      <c r="G96" s="108" t="s">
        <v>190</v>
      </c>
      <c r="H96" s="108" t="s">
        <v>190</v>
      </c>
    </row>
    <row r="97" customFormat="false" ht="15" hidden="false" customHeight="false" outlineLevel="0" collapsed="false">
      <c r="A97" s="108" t="n">
        <v>77235320504</v>
      </c>
      <c r="B97" s="108" t="n">
        <v>9</v>
      </c>
      <c r="C97" s="108" t="n">
        <v>1</v>
      </c>
      <c r="D97" s="108" t="s">
        <v>188</v>
      </c>
      <c r="E97" s="108" t="s">
        <v>293</v>
      </c>
      <c r="F97" s="108" t="s">
        <v>190</v>
      </c>
      <c r="G97" s="108" t="s">
        <v>192</v>
      </c>
      <c r="H97" s="108" t="s">
        <v>190</v>
      </c>
    </row>
    <row r="98" customFormat="false" ht="15" hidden="false" customHeight="false" outlineLevel="0" collapsed="false">
      <c r="A98" s="108" t="n">
        <v>77235320502</v>
      </c>
      <c r="B98" s="108" t="n">
        <v>9</v>
      </c>
      <c r="C98" s="108" t="n">
        <v>1</v>
      </c>
      <c r="D98" s="108" t="s">
        <v>188</v>
      </c>
      <c r="E98" s="108" t="s">
        <v>294</v>
      </c>
      <c r="F98" s="108" t="s">
        <v>190</v>
      </c>
      <c r="G98" s="108" t="s">
        <v>190</v>
      </c>
      <c r="H98" s="108" t="s">
        <v>190</v>
      </c>
    </row>
    <row r="99" customFormat="false" ht="15" hidden="false" customHeight="false" outlineLevel="0" collapsed="false">
      <c r="A99" s="108" t="n">
        <v>77235320499</v>
      </c>
      <c r="B99" s="108" t="n">
        <v>36</v>
      </c>
      <c r="C99" s="108" t="n">
        <v>2</v>
      </c>
      <c r="D99" s="108" t="s">
        <v>193</v>
      </c>
      <c r="E99" s="108" t="s">
        <v>295</v>
      </c>
      <c r="F99" s="108" t="s">
        <v>190</v>
      </c>
      <c r="G99" s="108" t="s">
        <v>192</v>
      </c>
      <c r="H99" s="108" t="s">
        <v>192</v>
      </c>
    </row>
    <row r="100" customFormat="false" ht="15" hidden="false" customHeight="false" outlineLevel="0" collapsed="false">
      <c r="A100" s="108" t="n">
        <v>77235320497</v>
      </c>
      <c r="B100" s="108" t="n">
        <v>36</v>
      </c>
      <c r="C100" s="108" t="n">
        <v>2</v>
      </c>
      <c r="D100" s="108" t="s">
        <v>193</v>
      </c>
      <c r="E100" s="108" t="s">
        <v>296</v>
      </c>
      <c r="F100" s="108" t="s">
        <v>190</v>
      </c>
      <c r="G100" s="108" t="s">
        <v>190</v>
      </c>
      <c r="H100" s="108" t="s">
        <v>190</v>
      </c>
    </row>
    <row r="101" customFormat="false" ht="15" hidden="false" customHeight="false" outlineLevel="0" collapsed="false">
      <c r="A101" s="108" t="n">
        <v>77235320489</v>
      </c>
      <c r="B101" s="108" t="n">
        <v>36</v>
      </c>
      <c r="C101" s="108" t="n">
        <v>2</v>
      </c>
      <c r="D101" s="108" t="s">
        <v>193</v>
      </c>
      <c r="E101" s="108" t="s">
        <v>297</v>
      </c>
      <c r="F101" s="108" t="s">
        <v>190</v>
      </c>
      <c r="G101" s="108" t="s">
        <v>190</v>
      </c>
      <c r="H101" s="108" t="s">
        <v>190</v>
      </c>
    </row>
    <row r="102" customFormat="false" ht="15" hidden="false" customHeight="false" outlineLevel="0" collapsed="false">
      <c r="A102" s="108" t="n">
        <v>77235320480</v>
      </c>
      <c r="B102" s="108" t="n">
        <v>9</v>
      </c>
      <c r="C102" s="108" t="n">
        <v>1</v>
      </c>
      <c r="D102" s="108" t="s">
        <v>188</v>
      </c>
      <c r="E102" s="108" t="s">
        <v>298</v>
      </c>
      <c r="F102" s="108" t="s">
        <v>190</v>
      </c>
      <c r="G102" s="108" t="s">
        <v>190</v>
      </c>
      <c r="H102" s="108" t="s">
        <v>190</v>
      </c>
    </row>
    <row r="103" customFormat="false" ht="15" hidden="false" customHeight="false" outlineLevel="0" collapsed="false">
      <c r="A103" s="108" t="n">
        <v>77235320471</v>
      </c>
      <c r="B103" s="108" t="n">
        <v>9</v>
      </c>
      <c r="C103" s="108" t="n">
        <v>1</v>
      </c>
      <c r="D103" s="108" t="s">
        <v>188</v>
      </c>
      <c r="E103" s="108" t="s">
        <v>299</v>
      </c>
      <c r="F103" s="108" t="s">
        <v>190</v>
      </c>
      <c r="G103" s="108" t="s">
        <v>190</v>
      </c>
      <c r="H103" s="108" t="s">
        <v>190</v>
      </c>
    </row>
    <row r="104" customFormat="false" ht="15" hidden="false" customHeight="false" outlineLevel="0" collapsed="false">
      <c r="A104" s="108" t="s">
        <v>219</v>
      </c>
      <c r="B104" s="108" t="n">
        <v>36</v>
      </c>
      <c r="C104" s="108" t="n">
        <v>2</v>
      </c>
      <c r="D104" s="108" t="s">
        <v>193</v>
      </c>
      <c r="E104" s="108" t="s">
        <v>300</v>
      </c>
      <c r="F104" s="108" t="s">
        <v>190</v>
      </c>
      <c r="G104" s="108" t="s">
        <v>190</v>
      </c>
      <c r="H104" s="108" t="s">
        <v>190</v>
      </c>
    </row>
    <row r="105" customFormat="false" ht="15" hidden="false" customHeight="false" outlineLevel="0" collapsed="false">
      <c r="A105" s="108" t="n">
        <v>77235320457</v>
      </c>
      <c r="B105" s="108" t="n">
        <v>9</v>
      </c>
      <c r="C105" s="108" t="n">
        <v>1</v>
      </c>
      <c r="D105" s="108" t="s">
        <v>188</v>
      </c>
      <c r="E105" s="108" t="s">
        <v>301</v>
      </c>
      <c r="F105" s="108" t="s">
        <v>190</v>
      </c>
      <c r="G105" s="108" t="s">
        <v>190</v>
      </c>
      <c r="H105" s="108" t="s">
        <v>190</v>
      </c>
    </row>
    <row r="106" customFormat="false" ht="15" hidden="false" customHeight="false" outlineLevel="0" collapsed="false">
      <c r="A106" s="108" t="n">
        <v>77235320456</v>
      </c>
      <c r="B106" s="108" t="n">
        <v>36</v>
      </c>
      <c r="C106" s="108" t="n">
        <v>2</v>
      </c>
      <c r="D106" s="108" t="s">
        <v>193</v>
      </c>
      <c r="E106" s="108" t="s">
        <v>302</v>
      </c>
      <c r="F106" s="108" t="s">
        <v>190</v>
      </c>
      <c r="G106" s="108" t="s">
        <v>192</v>
      </c>
      <c r="H106" s="108" t="s">
        <v>190</v>
      </c>
    </row>
    <row r="107" customFormat="false" ht="15" hidden="false" customHeight="false" outlineLevel="0" collapsed="false">
      <c r="A107" s="108" t="n">
        <v>77235320454</v>
      </c>
      <c r="B107" s="108" t="n">
        <v>63</v>
      </c>
      <c r="C107" s="108" t="n">
        <v>2</v>
      </c>
      <c r="D107" s="108" t="s">
        <v>303</v>
      </c>
      <c r="E107" s="108" t="s">
        <v>304</v>
      </c>
      <c r="F107" s="108" t="s">
        <v>190</v>
      </c>
      <c r="G107" s="108" t="s">
        <v>192</v>
      </c>
      <c r="H107" s="108" t="s">
        <v>190</v>
      </c>
    </row>
    <row r="108" customFormat="false" ht="15" hidden="false" customHeight="false" outlineLevel="0" collapsed="false">
      <c r="A108" s="108" t="n">
        <v>77235320450</v>
      </c>
      <c r="B108" s="108" t="n">
        <v>36</v>
      </c>
      <c r="C108" s="108" t="n">
        <v>1</v>
      </c>
      <c r="D108" s="108" t="s">
        <v>193</v>
      </c>
      <c r="E108" s="108" t="s">
        <v>305</v>
      </c>
      <c r="F108" s="108" t="s">
        <v>190</v>
      </c>
      <c r="G108" s="108" t="s">
        <v>192</v>
      </c>
      <c r="H108" s="108" t="s">
        <v>190</v>
      </c>
    </row>
    <row r="109" customFormat="false" ht="15" hidden="false" customHeight="false" outlineLevel="0" collapsed="false">
      <c r="A109" s="108" t="n">
        <v>77235320448</v>
      </c>
      <c r="B109" s="108" t="n">
        <v>36</v>
      </c>
      <c r="C109" s="108" t="n">
        <v>2</v>
      </c>
      <c r="D109" s="108" t="s">
        <v>193</v>
      </c>
      <c r="E109" s="108" t="s">
        <v>306</v>
      </c>
      <c r="F109" s="108" t="s">
        <v>190</v>
      </c>
      <c r="G109" s="108" t="s">
        <v>190</v>
      </c>
      <c r="H109" s="108" t="s">
        <v>190</v>
      </c>
    </row>
    <row r="110" customFormat="false" ht="15" hidden="false" customHeight="false" outlineLevel="0" collapsed="false">
      <c r="A110" s="108" t="n">
        <v>77235320444</v>
      </c>
      <c r="B110" s="108" t="n">
        <v>36</v>
      </c>
      <c r="C110" s="108" t="n">
        <v>1</v>
      </c>
      <c r="D110" s="108" t="s">
        <v>193</v>
      </c>
      <c r="E110" s="108" t="s">
        <v>307</v>
      </c>
      <c r="F110" s="108" t="s">
        <v>190</v>
      </c>
      <c r="G110" s="108" t="s">
        <v>190</v>
      </c>
      <c r="H110" s="108" t="s">
        <v>190</v>
      </c>
    </row>
    <row r="111" customFormat="false" ht="15" hidden="false" customHeight="false" outlineLevel="0" collapsed="false">
      <c r="A111" s="108" t="s">
        <v>219</v>
      </c>
      <c r="B111" s="108" t="n">
        <v>31</v>
      </c>
      <c r="C111" s="108" t="n">
        <v>1</v>
      </c>
      <c r="D111" s="108" t="s">
        <v>208</v>
      </c>
      <c r="E111" s="108" t="s">
        <v>308</v>
      </c>
      <c r="F111" s="108" t="s">
        <v>190</v>
      </c>
      <c r="G111" s="108" t="s">
        <v>190</v>
      </c>
      <c r="H111" s="108" t="s">
        <v>190</v>
      </c>
    </row>
    <row r="112" customFormat="false" ht="15" hidden="false" customHeight="false" outlineLevel="0" collapsed="false">
      <c r="A112" s="108" t="n">
        <v>77235320429</v>
      </c>
      <c r="B112" s="108" t="n">
        <v>9</v>
      </c>
      <c r="C112" s="108" t="n">
        <v>1</v>
      </c>
      <c r="D112" s="108" t="s">
        <v>188</v>
      </c>
      <c r="E112" s="108" t="s">
        <v>309</v>
      </c>
      <c r="F112" s="108" t="s">
        <v>190</v>
      </c>
      <c r="G112" s="108" t="s">
        <v>190</v>
      </c>
      <c r="H112" s="108" t="s">
        <v>190</v>
      </c>
    </row>
    <row r="113" customFormat="false" ht="15" hidden="false" customHeight="false" outlineLevel="0" collapsed="false">
      <c r="A113" s="108" t="n">
        <v>77235320427</v>
      </c>
      <c r="B113" s="108" t="n">
        <v>31</v>
      </c>
      <c r="C113" s="108" t="n">
        <v>1</v>
      </c>
      <c r="D113" s="108" t="s">
        <v>208</v>
      </c>
      <c r="E113" s="108" t="s">
        <v>310</v>
      </c>
      <c r="F113" s="108" t="s">
        <v>190</v>
      </c>
      <c r="G113" s="108" t="s">
        <v>192</v>
      </c>
      <c r="H113" s="108" t="s">
        <v>190</v>
      </c>
    </row>
    <row r="114" customFormat="false" ht="15" hidden="false" customHeight="false" outlineLevel="0" collapsed="false">
      <c r="A114" s="108" t="n">
        <v>77235320426</v>
      </c>
      <c r="B114" s="108" t="n">
        <v>9</v>
      </c>
      <c r="C114" s="108" t="n">
        <v>1</v>
      </c>
      <c r="D114" s="108" t="s">
        <v>188</v>
      </c>
      <c r="E114" s="108" t="s">
        <v>311</v>
      </c>
      <c r="F114" s="108" t="s">
        <v>190</v>
      </c>
      <c r="G114" s="108" t="s">
        <v>192</v>
      </c>
      <c r="H114" s="108" t="s">
        <v>192</v>
      </c>
    </row>
    <row r="115" customFormat="false" ht="15" hidden="false" customHeight="false" outlineLevel="0" collapsed="false">
      <c r="A115" s="108" t="n">
        <v>77235320424</v>
      </c>
      <c r="B115" s="108" t="n">
        <v>9</v>
      </c>
      <c r="C115" s="108" t="n">
        <v>1</v>
      </c>
      <c r="D115" s="108" t="s">
        <v>188</v>
      </c>
      <c r="E115" s="108" t="s">
        <v>312</v>
      </c>
      <c r="F115" s="108" t="s">
        <v>190</v>
      </c>
      <c r="G115" s="108" t="s">
        <v>192</v>
      </c>
      <c r="H115" s="108" t="s">
        <v>192</v>
      </c>
    </row>
    <row r="116" customFormat="false" ht="15" hidden="false" customHeight="false" outlineLevel="0" collapsed="false">
      <c r="A116" s="108" t="n">
        <v>77235320419</v>
      </c>
      <c r="B116" s="108" t="n">
        <v>36</v>
      </c>
      <c r="C116" s="108" t="n">
        <v>2</v>
      </c>
      <c r="D116" s="108" t="s">
        <v>193</v>
      </c>
      <c r="E116" s="108" t="s">
        <v>313</v>
      </c>
      <c r="F116" s="108" t="s">
        <v>190</v>
      </c>
      <c r="G116" s="108" t="s">
        <v>190</v>
      </c>
      <c r="H116" s="108" t="s">
        <v>190</v>
      </c>
    </row>
    <row r="117" customFormat="false" ht="15" hidden="false" customHeight="false" outlineLevel="0" collapsed="false">
      <c r="A117" s="108" t="n">
        <v>77235320414</v>
      </c>
      <c r="B117" s="108" t="n">
        <v>36</v>
      </c>
      <c r="C117" s="108" t="n">
        <v>2</v>
      </c>
      <c r="D117" s="108" t="s">
        <v>193</v>
      </c>
      <c r="E117" s="108" t="s">
        <v>314</v>
      </c>
      <c r="F117" s="108" t="s">
        <v>190</v>
      </c>
      <c r="G117" s="108" t="s">
        <v>190</v>
      </c>
      <c r="H117" s="108" t="s">
        <v>190</v>
      </c>
    </row>
    <row r="118" customFormat="false" ht="15" hidden="false" customHeight="false" outlineLevel="0" collapsed="false">
      <c r="A118" s="108" t="n">
        <v>77235320412</v>
      </c>
      <c r="B118" s="108" t="n">
        <v>9</v>
      </c>
      <c r="C118" s="108" t="n">
        <v>1</v>
      </c>
      <c r="D118" s="108" t="s">
        <v>188</v>
      </c>
      <c r="E118" s="108" t="s">
        <v>315</v>
      </c>
      <c r="F118" s="108" t="s">
        <v>190</v>
      </c>
      <c r="G118" s="108" t="s">
        <v>192</v>
      </c>
      <c r="H118" s="108" t="s">
        <v>190</v>
      </c>
    </row>
    <row r="119" customFormat="false" ht="15" hidden="false" customHeight="false" outlineLevel="0" collapsed="false">
      <c r="A119" s="108" t="n">
        <v>77235320411</v>
      </c>
      <c r="B119" s="108" t="n">
        <v>31</v>
      </c>
      <c r="C119" s="108" t="n">
        <v>1</v>
      </c>
      <c r="D119" s="108" t="s">
        <v>208</v>
      </c>
      <c r="E119" s="108" t="s">
        <v>316</v>
      </c>
      <c r="F119" s="108" t="s">
        <v>190</v>
      </c>
      <c r="G119" s="108" t="s">
        <v>192</v>
      </c>
      <c r="H119" s="108" t="s">
        <v>192</v>
      </c>
    </row>
    <row r="120" customFormat="false" ht="15" hidden="false" customHeight="false" outlineLevel="0" collapsed="false">
      <c r="A120" s="108" t="n">
        <v>77235320410</v>
      </c>
      <c r="B120" s="108" t="n">
        <v>9</v>
      </c>
      <c r="C120" s="108" t="n">
        <v>1</v>
      </c>
      <c r="D120" s="108" t="s">
        <v>188</v>
      </c>
      <c r="E120" s="108" t="s">
        <v>317</v>
      </c>
      <c r="F120" s="108" t="s">
        <v>190</v>
      </c>
      <c r="G120" s="108" t="s">
        <v>192</v>
      </c>
      <c r="H120" s="108" t="s">
        <v>190</v>
      </c>
    </row>
    <row r="121" customFormat="false" ht="15" hidden="false" customHeight="false" outlineLevel="0" collapsed="false">
      <c r="A121" s="108" t="n">
        <v>77235320404</v>
      </c>
      <c r="B121" s="108" t="n">
        <v>36</v>
      </c>
      <c r="C121" s="108" t="n">
        <v>1</v>
      </c>
      <c r="D121" s="108" t="s">
        <v>193</v>
      </c>
      <c r="E121" s="108" t="s">
        <v>318</v>
      </c>
      <c r="F121" s="108" t="s">
        <v>190</v>
      </c>
      <c r="G121" s="108" t="s">
        <v>190</v>
      </c>
      <c r="H121" s="108" t="s">
        <v>190</v>
      </c>
    </row>
    <row r="122" customFormat="false" ht="15" hidden="false" customHeight="false" outlineLevel="0" collapsed="false">
      <c r="A122" s="108" t="n">
        <v>77235320401</v>
      </c>
      <c r="B122" s="108" t="n">
        <v>31</v>
      </c>
      <c r="C122" s="108" t="n">
        <v>1</v>
      </c>
      <c r="D122" s="108" t="s">
        <v>208</v>
      </c>
      <c r="E122" s="108" t="s">
        <v>319</v>
      </c>
      <c r="F122" s="108" t="s">
        <v>190</v>
      </c>
      <c r="G122" s="108" t="s">
        <v>190</v>
      </c>
      <c r="H122" s="108" t="s">
        <v>190</v>
      </c>
    </row>
    <row r="123" customFormat="false" ht="15" hidden="false" customHeight="false" outlineLevel="0" collapsed="false">
      <c r="A123" s="108" t="n">
        <v>77235320390</v>
      </c>
      <c r="B123" s="108" t="n">
        <v>36</v>
      </c>
      <c r="C123" s="108" t="n">
        <v>1</v>
      </c>
      <c r="D123" s="108" t="s">
        <v>193</v>
      </c>
      <c r="E123" s="108" t="s">
        <v>320</v>
      </c>
      <c r="F123" s="108" t="s">
        <v>190</v>
      </c>
      <c r="G123" s="108" t="s">
        <v>190</v>
      </c>
      <c r="H123" s="108" t="s">
        <v>190</v>
      </c>
    </row>
    <row r="124" customFormat="false" ht="15" hidden="false" customHeight="false" outlineLevel="0" collapsed="false">
      <c r="A124" s="108" t="n">
        <v>77235320386</v>
      </c>
      <c r="B124" s="108" t="n">
        <v>36</v>
      </c>
      <c r="C124" s="108" t="n">
        <v>2</v>
      </c>
      <c r="D124" s="108" t="s">
        <v>193</v>
      </c>
      <c r="E124" s="108" t="s">
        <v>321</v>
      </c>
      <c r="F124" s="108" t="s">
        <v>190</v>
      </c>
      <c r="G124" s="108" t="s">
        <v>192</v>
      </c>
      <c r="H124" s="108" t="s">
        <v>190</v>
      </c>
    </row>
    <row r="125" customFormat="false" ht="15" hidden="false" customHeight="false" outlineLevel="0" collapsed="false">
      <c r="A125" s="108" t="n">
        <v>77235320380</v>
      </c>
      <c r="B125" s="108" t="n">
        <v>36</v>
      </c>
      <c r="C125" s="108" t="n">
        <v>2</v>
      </c>
      <c r="D125" s="108" t="s">
        <v>193</v>
      </c>
      <c r="E125" s="108" t="s">
        <v>322</v>
      </c>
      <c r="F125" s="108" t="s">
        <v>190</v>
      </c>
      <c r="G125" s="108" t="s">
        <v>192</v>
      </c>
      <c r="H125" s="108" t="s">
        <v>190</v>
      </c>
    </row>
    <row r="126" customFormat="false" ht="15" hidden="false" customHeight="false" outlineLevel="0" collapsed="false">
      <c r="A126" s="108" t="n">
        <v>77235320379</v>
      </c>
      <c r="B126" s="108" t="n">
        <v>36</v>
      </c>
      <c r="C126" s="108" t="n">
        <v>1</v>
      </c>
      <c r="D126" s="108" t="s">
        <v>193</v>
      </c>
      <c r="E126" s="108" t="s">
        <v>323</v>
      </c>
      <c r="F126" s="108" t="s">
        <v>190</v>
      </c>
      <c r="G126" s="108" t="s">
        <v>190</v>
      </c>
      <c r="H126" s="108" t="s">
        <v>190</v>
      </c>
    </row>
    <row r="127" customFormat="false" ht="15" hidden="false" customHeight="false" outlineLevel="0" collapsed="false">
      <c r="A127" s="108" t="n">
        <v>77235320378</v>
      </c>
      <c r="B127" s="108" t="n">
        <v>36</v>
      </c>
      <c r="C127" s="108" t="n">
        <v>1</v>
      </c>
      <c r="D127" s="108" t="s">
        <v>193</v>
      </c>
      <c r="E127" s="108" t="s">
        <v>324</v>
      </c>
      <c r="F127" s="108" t="s">
        <v>190</v>
      </c>
      <c r="G127" s="108" t="s">
        <v>192</v>
      </c>
      <c r="H127" s="108" t="s">
        <v>190</v>
      </c>
    </row>
    <row r="128" customFormat="false" ht="15" hidden="false" customHeight="false" outlineLevel="0" collapsed="false">
      <c r="A128" s="108" t="n">
        <v>77235320376</v>
      </c>
      <c r="B128" s="108" t="n">
        <v>31</v>
      </c>
      <c r="C128" s="108" t="n">
        <v>1</v>
      </c>
      <c r="D128" s="108" t="s">
        <v>208</v>
      </c>
      <c r="E128" s="108" t="s">
        <v>325</v>
      </c>
      <c r="F128" s="108" t="s">
        <v>190</v>
      </c>
      <c r="G128" s="108" t="s">
        <v>190</v>
      </c>
      <c r="H128" s="108" t="s">
        <v>190</v>
      </c>
    </row>
    <row r="129" customFormat="false" ht="15" hidden="false" customHeight="false" outlineLevel="0" collapsed="false">
      <c r="A129" s="108" t="n">
        <v>77235320368</v>
      </c>
      <c r="B129" s="108" t="n">
        <v>36</v>
      </c>
      <c r="C129" s="108" t="n">
        <v>2</v>
      </c>
      <c r="D129" s="108" t="s">
        <v>193</v>
      </c>
      <c r="E129" s="108" t="s">
        <v>326</v>
      </c>
      <c r="F129" s="108" t="s">
        <v>190</v>
      </c>
      <c r="G129" s="108" t="s">
        <v>192</v>
      </c>
      <c r="H129" s="108" t="s">
        <v>192</v>
      </c>
    </row>
    <row r="130" customFormat="false" ht="15" hidden="false" customHeight="false" outlineLevel="0" collapsed="false">
      <c r="A130" s="108" t="n">
        <v>77235320362</v>
      </c>
      <c r="B130" s="108" t="n">
        <v>36</v>
      </c>
      <c r="C130" s="108" t="n">
        <v>2</v>
      </c>
      <c r="D130" s="108" t="s">
        <v>193</v>
      </c>
      <c r="E130" s="108" t="s">
        <v>327</v>
      </c>
      <c r="F130" s="108" t="s">
        <v>190</v>
      </c>
      <c r="G130" s="108" t="s">
        <v>190</v>
      </c>
      <c r="H130" s="108" t="s">
        <v>190</v>
      </c>
    </row>
    <row r="131" customFormat="false" ht="15" hidden="false" customHeight="false" outlineLevel="0" collapsed="false">
      <c r="A131" s="108" t="n">
        <v>77235320361</v>
      </c>
      <c r="B131" s="108" t="n">
        <v>36</v>
      </c>
      <c r="C131" s="108" t="n">
        <v>2</v>
      </c>
      <c r="D131" s="108" t="s">
        <v>193</v>
      </c>
      <c r="E131" s="108" t="s">
        <v>328</v>
      </c>
      <c r="F131" s="108" t="s">
        <v>190</v>
      </c>
      <c r="G131" s="108" t="s">
        <v>190</v>
      </c>
      <c r="H131" s="108" t="s">
        <v>190</v>
      </c>
    </row>
    <row r="132" customFormat="false" ht="15" hidden="false" customHeight="false" outlineLevel="0" collapsed="false">
      <c r="A132" s="108" t="n">
        <v>77235320360</v>
      </c>
      <c r="B132" s="108" t="n">
        <v>36</v>
      </c>
      <c r="C132" s="108" t="n">
        <v>2</v>
      </c>
      <c r="D132" s="108" t="s">
        <v>193</v>
      </c>
      <c r="E132" s="108" t="s">
        <v>329</v>
      </c>
      <c r="F132" s="108" t="s">
        <v>190</v>
      </c>
      <c r="G132" s="108" t="s">
        <v>190</v>
      </c>
      <c r="H132" s="108" t="s">
        <v>190</v>
      </c>
    </row>
    <row r="133" customFormat="false" ht="15" hidden="false" customHeight="false" outlineLevel="0" collapsed="false">
      <c r="A133" s="108" t="n">
        <v>77235320352</v>
      </c>
      <c r="B133" s="108" t="n">
        <v>36</v>
      </c>
      <c r="C133" s="108" t="n">
        <v>2</v>
      </c>
      <c r="D133" s="108" t="s">
        <v>193</v>
      </c>
      <c r="E133" s="108" t="s">
        <v>330</v>
      </c>
      <c r="F133" s="108" t="s">
        <v>190</v>
      </c>
      <c r="G133" s="108" t="s">
        <v>192</v>
      </c>
      <c r="H133" s="108" t="s">
        <v>190</v>
      </c>
    </row>
    <row r="134" customFormat="false" ht="15" hidden="false" customHeight="false" outlineLevel="0" collapsed="false">
      <c r="A134" s="108" t="n">
        <v>77235320351</v>
      </c>
      <c r="B134" s="108" t="n">
        <v>36</v>
      </c>
      <c r="C134" s="108" t="n">
        <v>2</v>
      </c>
      <c r="D134" s="108" t="s">
        <v>193</v>
      </c>
      <c r="E134" s="108" t="s">
        <v>331</v>
      </c>
      <c r="F134" s="108" t="s">
        <v>190</v>
      </c>
      <c r="G134" s="108" t="s">
        <v>192</v>
      </c>
      <c r="H134" s="108" t="s">
        <v>190</v>
      </c>
    </row>
    <row r="135" customFormat="false" ht="15" hidden="false" customHeight="false" outlineLevel="0" collapsed="false">
      <c r="A135" s="108" t="n">
        <v>77235320347</v>
      </c>
      <c r="B135" s="108" t="n">
        <v>19</v>
      </c>
      <c r="C135" s="108" t="n">
        <v>1</v>
      </c>
      <c r="D135" s="108" t="s">
        <v>220</v>
      </c>
      <c r="E135" s="108" t="s">
        <v>332</v>
      </c>
      <c r="F135" s="108" t="s">
        <v>190</v>
      </c>
      <c r="G135" s="108" t="s">
        <v>192</v>
      </c>
      <c r="H135" s="108" t="s">
        <v>190</v>
      </c>
    </row>
    <row r="136" customFormat="false" ht="15" hidden="false" customHeight="false" outlineLevel="0" collapsed="false">
      <c r="A136" s="108" t="n">
        <v>77235320342</v>
      </c>
      <c r="B136" s="108" t="n">
        <v>31</v>
      </c>
      <c r="C136" s="108" t="n">
        <v>2</v>
      </c>
      <c r="D136" s="108" t="s">
        <v>208</v>
      </c>
      <c r="E136" s="108" t="s">
        <v>333</v>
      </c>
      <c r="F136" s="108" t="s">
        <v>190</v>
      </c>
      <c r="G136" s="108" t="s">
        <v>192</v>
      </c>
      <c r="H136" s="108" t="s">
        <v>190</v>
      </c>
    </row>
    <row r="137" customFormat="false" ht="15" hidden="false" customHeight="false" outlineLevel="0" collapsed="false">
      <c r="A137" s="108" t="n">
        <v>77235320335</v>
      </c>
      <c r="B137" s="108" t="n">
        <v>36</v>
      </c>
      <c r="C137" s="108" t="n">
        <v>0</v>
      </c>
      <c r="D137" s="108" t="s">
        <v>193</v>
      </c>
      <c r="E137" s="108" t="s">
        <v>334</v>
      </c>
      <c r="F137" s="108" t="s">
        <v>190</v>
      </c>
      <c r="G137" s="108" t="s">
        <v>190</v>
      </c>
      <c r="H137" s="108" t="s">
        <v>190</v>
      </c>
    </row>
    <row r="138" customFormat="false" ht="15" hidden="false" customHeight="false" outlineLevel="0" collapsed="false">
      <c r="A138" s="108" t="n">
        <v>77235320329</v>
      </c>
      <c r="B138" s="108" t="n">
        <v>9</v>
      </c>
      <c r="C138" s="108" t="n">
        <v>1</v>
      </c>
      <c r="D138" s="108" t="s">
        <v>188</v>
      </c>
      <c r="E138" s="108" t="s">
        <v>335</v>
      </c>
      <c r="F138" s="108" t="s">
        <v>190</v>
      </c>
      <c r="G138" s="108" t="s">
        <v>192</v>
      </c>
      <c r="H138" s="108" t="s">
        <v>190</v>
      </c>
    </row>
    <row r="139" customFormat="false" ht="15" hidden="false" customHeight="false" outlineLevel="0" collapsed="false">
      <c r="A139" s="108" t="n">
        <v>77235320327</v>
      </c>
      <c r="B139" s="108" t="n">
        <v>9</v>
      </c>
      <c r="C139" s="108" t="n">
        <v>1</v>
      </c>
      <c r="D139" s="108" t="s">
        <v>188</v>
      </c>
      <c r="E139" s="108" t="s">
        <v>336</v>
      </c>
      <c r="F139" s="108" t="s">
        <v>190</v>
      </c>
      <c r="G139" s="108" t="s">
        <v>190</v>
      </c>
      <c r="H139" s="108" t="s">
        <v>190</v>
      </c>
    </row>
    <row r="140" customFormat="false" ht="15" hidden="false" customHeight="false" outlineLevel="0" collapsed="false">
      <c r="A140" s="108" t="n">
        <v>77235320325</v>
      </c>
      <c r="B140" s="108" t="n">
        <v>36</v>
      </c>
      <c r="C140" s="108" t="n">
        <v>2</v>
      </c>
      <c r="D140" s="108" t="s">
        <v>193</v>
      </c>
      <c r="E140" s="108" t="s">
        <v>337</v>
      </c>
      <c r="F140" s="108" t="s">
        <v>190</v>
      </c>
      <c r="G140" s="108" t="s">
        <v>190</v>
      </c>
      <c r="H140" s="108" t="s">
        <v>190</v>
      </c>
    </row>
    <row r="141" customFormat="false" ht="15" hidden="false" customHeight="false" outlineLevel="0" collapsed="false">
      <c r="A141" s="108" t="n">
        <v>77235320318</v>
      </c>
      <c r="B141" s="108" t="n">
        <v>36</v>
      </c>
      <c r="C141" s="108" t="n">
        <v>1</v>
      </c>
      <c r="D141" s="108" t="s">
        <v>193</v>
      </c>
      <c r="E141" s="108" t="s">
        <v>338</v>
      </c>
      <c r="F141" s="108" t="s">
        <v>190</v>
      </c>
      <c r="G141" s="108" t="s">
        <v>190</v>
      </c>
      <c r="H141" s="108" t="s">
        <v>190</v>
      </c>
    </row>
    <row r="142" customFormat="false" ht="15" hidden="false" customHeight="false" outlineLevel="0" collapsed="false">
      <c r="A142" s="108" t="n">
        <v>77235320315</v>
      </c>
      <c r="B142" s="108" t="n">
        <v>36</v>
      </c>
      <c r="C142" s="108" t="n">
        <v>1</v>
      </c>
      <c r="D142" s="108" t="s">
        <v>193</v>
      </c>
      <c r="E142" s="108" t="s">
        <v>339</v>
      </c>
      <c r="F142" s="108" t="s">
        <v>190</v>
      </c>
      <c r="G142" s="108" t="s">
        <v>192</v>
      </c>
      <c r="H142" s="108" t="s">
        <v>192</v>
      </c>
    </row>
    <row r="143" customFormat="false" ht="15" hidden="false" customHeight="false" outlineLevel="0" collapsed="false">
      <c r="A143" s="108" t="n">
        <v>77235320309</v>
      </c>
      <c r="B143" s="108" t="n">
        <v>36</v>
      </c>
      <c r="C143" s="108" t="n">
        <v>1</v>
      </c>
      <c r="D143" s="108" t="s">
        <v>193</v>
      </c>
      <c r="E143" s="108" t="s">
        <v>340</v>
      </c>
      <c r="F143" s="108" t="s">
        <v>190</v>
      </c>
      <c r="G143" s="108" t="s">
        <v>192</v>
      </c>
      <c r="H143" s="108" t="s">
        <v>192</v>
      </c>
    </row>
    <row r="144" customFormat="false" ht="15" hidden="false" customHeight="false" outlineLevel="0" collapsed="false">
      <c r="A144" s="108" t="n">
        <v>77235320295</v>
      </c>
      <c r="B144" s="108" t="n">
        <v>36</v>
      </c>
      <c r="C144" s="108" t="n">
        <v>2</v>
      </c>
      <c r="D144" s="108" t="s">
        <v>193</v>
      </c>
      <c r="E144" s="108" t="s">
        <v>341</v>
      </c>
      <c r="F144" s="108" t="s">
        <v>190</v>
      </c>
      <c r="G144" s="108" t="s">
        <v>190</v>
      </c>
      <c r="H144" s="108" t="s">
        <v>190</v>
      </c>
    </row>
    <row r="145" customFormat="false" ht="15" hidden="false" customHeight="false" outlineLevel="0" collapsed="false">
      <c r="A145" s="108" t="n">
        <v>77235320293</v>
      </c>
      <c r="B145" s="108" t="n">
        <v>9</v>
      </c>
      <c r="C145" s="108" t="n">
        <v>1</v>
      </c>
      <c r="D145" s="108" t="s">
        <v>188</v>
      </c>
      <c r="E145" s="108" t="s">
        <v>342</v>
      </c>
      <c r="F145" s="108" t="s">
        <v>190</v>
      </c>
      <c r="G145" s="108" t="s">
        <v>190</v>
      </c>
      <c r="H145" s="108" t="s">
        <v>190</v>
      </c>
    </row>
    <row r="146" customFormat="false" ht="15" hidden="false" customHeight="false" outlineLevel="0" collapsed="false">
      <c r="A146" s="108" t="n">
        <v>77235320283</v>
      </c>
      <c r="B146" s="108" t="n">
        <v>36</v>
      </c>
      <c r="C146" s="108" t="n">
        <v>2</v>
      </c>
      <c r="D146" s="108" t="s">
        <v>193</v>
      </c>
      <c r="E146" s="108" t="s">
        <v>343</v>
      </c>
      <c r="F146" s="108" t="s">
        <v>190</v>
      </c>
      <c r="G146" s="108" t="s">
        <v>192</v>
      </c>
      <c r="H146" s="108" t="s">
        <v>192</v>
      </c>
    </row>
    <row r="147" customFormat="false" ht="15" hidden="false" customHeight="false" outlineLevel="0" collapsed="false">
      <c r="A147" s="108" t="n">
        <v>77235320281</v>
      </c>
      <c r="B147" s="108" t="n">
        <v>36</v>
      </c>
      <c r="C147" s="108" t="n">
        <v>2</v>
      </c>
      <c r="D147" s="108" t="s">
        <v>193</v>
      </c>
      <c r="E147" s="108" t="s">
        <v>344</v>
      </c>
      <c r="F147" s="108" t="s">
        <v>190</v>
      </c>
      <c r="G147" s="108" t="s">
        <v>192</v>
      </c>
      <c r="H147" s="108" t="s">
        <v>192</v>
      </c>
    </row>
    <row r="148" customFormat="false" ht="15" hidden="false" customHeight="false" outlineLevel="0" collapsed="false">
      <c r="A148" s="108" t="n">
        <v>77235320280</v>
      </c>
      <c r="B148" s="108" t="n">
        <v>36</v>
      </c>
      <c r="C148" s="108" t="n">
        <v>2</v>
      </c>
      <c r="D148" s="108" t="s">
        <v>193</v>
      </c>
      <c r="E148" s="108" t="s">
        <v>345</v>
      </c>
      <c r="F148" s="108" t="s">
        <v>190</v>
      </c>
      <c r="G148" s="108" t="s">
        <v>190</v>
      </c>
      <c r="H148" s="108" t="s">
        <v>192</v>
      </c>
    </row>
    <row r="149" customFormat="false" ht="15" hidden="false" customHeight="false" outlineLevel="0" collapsed="false">
      <c r="A149" s="108" t="n">
        <v>77235320274</v>
      </c>
      <c r="B149" s="108" t="n">
        <v>36</v>
      </c>
      <c r="C149" s="108" t="n">
        <v>2</v>
      </c>
      <c r="D149" s="108" t="s">
        <v>193</v>
      </c>
      <c r="E149" s="108" t="s">
        <v>346</v>
      </c>
      <c r="F149" s="108" t="s">
        <v>190</v>
      </c>
      <c r="G149" s="108" t="s">
        <v>190</v>
      </c>
      <c r="H149" s="108" t="s">
        <v>190</v>
      </c>
    </row>
    <row r="150" customFormat="false" ht="15" hidden="false" customHeight="false" outlineLevel="0" collapsed="false">
      <c r="A150" s="108" t="n">
        <v>77235320272</v>
      </c>
      <c r="B150" s="108" t="n">
        <v>36</v>
      </c>
      <c r="C150" s="108" t="n">
        <v>2</v>
      </c>
      <c r="D150" s="108" t="s">
        <v>193</v>
      </c>
      <c r="E150" s="108" t="s">
        <v>347</v>
      </c>
      <c r="F150" s="108" t="s">
        <v>190</v>
      </c>
      <c r="G150" s="108" t="s">
        <v>190</v>
      </c>
      <c r="H150" s="108" t="s">
        <v>190</v>
      </c>
    </row>
    <row r="151" customFormat="false" ht="15" hidden="false" customHeight="false" outlineLevel="0" collapsed="false">
      <c r="A151" s="108" t="n">
        <v>77235320271</v>
      </c>
      <c r="B151" s="108" t="n">
        <v>36</v>
      </c>
      <c r="C151" s="108" t="n">
        <v>2</v>
      </c>
      <c r="D151" s="108" t="s">
        <v>193</v>
      </c>
      <c r="E151" s="108" t="s">
        <v>348</v>
      </c>
      <c r="F151" s="108" t="s">
        <v>190</v>
      </c>
      <c r="G151" s="108" t="s">
        <v>190</v>
      </c>
      <c r="H151" s="108" t="s">
        <v>190</v>
      </c>
    </row>
    <row r="152" customFormat="false" ht="15" hidden="false" customHeight="false" outlineLevel="0" collapsed="false">
      <c r="A152" s="108" t="n">
        <v>77235320269</v>
      </c>
      <c r="B152" s="108" t="n">
        <v>36</v>
      </c>
      <c r="C152" s="108" t="n">
        <v>2</v>
      </c>
      <c r="D152" s="108" t="s">
        <v>193</v>
      </c>
      <c r="E152" s="108" t="s">
        <v>349</v>
      </c>
      <c r="F152" s="108" t="s">
        <v>190</v>
      </c>
      <c r="G152" s="108" t="s">
        <v>192</v>
      </c>
      <c r="H152" s="108" t="s">
        <v>192</v>
      </c>
    </row>
    <row r="153" customFormat="false" ht="15" hidden="false" customHeight="false" outlineLevel="0" collapsed="false">
      <c r="A153" s="108" t="n">
        <v>77235320268</v>
      </c>
      <c r="B153" s="108" t="n">
        <v>36</v>
      </c>
      <c r="C153" s="108" t="n">
        <v>2</v>
      </c>
      <c r="D153" s="108" t="s">
        <v>193</v>
      </c>
      <c r="E153" s="108" t="s">
        <v>350</v>
      </c>
      <c r="F153" s="108" t="s">
        <v>190</v>
      </c>
      <c r="G153" s="108" t="s">
        <v>190</v>
      </c>
      <c r="H153" s="108" t="s">
        <v>190</v>
      </c>
    </row>
    <row r="154" customFormat="false" ht="15" hidden="false" customHeight="false" outlineLevel="0" collapsed="false">
      <c r="A154" s="108" t="n">
        <v>77235320263</v>
      </c>
      <c r="B154" s="108" t="n">
        <v>9</v>
      </c>
      <c r="C154" s="108" t="n">
        <v>1</v>
      </c>
      <c r="D154" s="108" t="s">
        <v>188</v>
      </c>
      <c r="E154" s="108" t="s">
        <v>351</v>
      </c>
      <c r="F154" s="108" t="s">
        <v>190</v>
      </c>
      <c r="G154" s="108" t="s">
        <v>190</v>
      </c>
      <c r="H154" s="108" t="s">
        <v>190</v>
      </c>
    </row>
    <row r="155" customFormat="false" ht="15" hidden="false" customHeight="false" outlineLevel="0" collapsed="false">
      <c r="A155" s="108" t="n">
        <v>77235320245</v>
      </c>
      <c r="B155" s="108" t="n">
        <v>9</v>
      </c>
      <c r="C155" s="108" t="n">
        <v>1</v>
      </c>
      <c r="D155" s="108" t="s">
        <v>188</v>
      </c>
      <c r="E155" s="108" t="s">
        <v>352</v>
      </c>
      <c r="F155" s="108" t="s">
        <v>190</v>
      </c>
      <c r="G155" s="108" t="s">
        <v>190</v>
      </c>
      <c r="H155" s="108" t="s">
        <v>190</v>
      </c>
    </row>
    <row r="156" customFormat="false" ht="15" hidden="false" customHeight="false" outlineLevel="0" collapsed="false">
      <c r="A156" s="108" t="n">
        <v>77235320238</v>
      </c>
      <c r="B156" s="108" t="n">
        <v>21</v>
      </c>
      <c r="C156" s="108" t="n">
        <v>1</v>
      </c>
      <c r="D156" s="108" t="s">
        <v>353</v>
      </c>
      <c r="E156" s="108" t="s">
        <v>354</v>
      </c>
      <c r="F156" s="108" t="s">
        <v>190</v>
      </c>
      <c r="G156" s="108" t="s">
        <v>190</v>
      </c>
      <c r="H156" s="108" t="s">
        <v>190</v>
      </c>
    </row>
    <row r="157" customFormat="false" ht="15" hidden="false" customHeight="false" outlineLevel="0" collapsed="false">
      <c r="A157" s="108" t="n">
        <v>77235320234</v>
      </c>
      <c r="B157" s="108" t="n">
        <v>36</v>
      </c>
      <c r="C157" s="108" t="n">
        <v>2</v>
      </c>
      <c r="D157" s="108" t="s">
        <v>193</v>
      </c>
      <c r="E157" s="108" t="s">
        <v>355</v>
      </c>
      <c r="F157" s="108" t="s">
        <v>190</v>
      </c>
      <c r="G157" s="108" t="s">
        <v>192</v>
      </c>
      <c r="H157" s="108" t="s">
        <v>192</v>
      </c>
    </row>
    <row r="158" customFormat="false" ht="15" hidden="false" customHeight="false" outlineLevel="0" collapsed="false">
      <c r="A158" s="108" t="s">
        <v>219</v>
      </c>
      <c r="B158" s="108" t="n">
        <v>31</v>
      </c>
      <c r="C158" s="108" t="n">
        <v>1</v>
      </c>
      <c r="D158" s="108" t="s">
        <v>208</v>
      </c>
      <c r="E158" s="108" t="s">
        <v>356</v>
      </c>
      <c r="F158" s="108" t="s">
        <v>190</v>
      </c>
      <c r="G158" s="108" t="s">
        <v>190</v>
      </c>
      <c r="H158" s="108" t="s">
        <v>190</v>
      </c>
    </row>
    <row r="159" customFormat="false" ht="15" hidden="false" customHeight="false" outlineLevel="0" collapsed="false">
      <c r="A159" s="108" t="n">
        <v>77235320220</v>
      </c>
      <c r="B159" s="108" t="n">
        <v>36</v>
      </c>
      <c r="C159" s="108" t="n">
        <v>0</v>
      </c>
      <c r="D159" s="108" t="s">
        <v>193</v>
      </c>
      <c r="E159" s="108" t="s">
        <v>357</v>
      </c>
      <c r="F159" s="108" t="s">
        <v>190</v>
      </c>
      <c r="G159" s="108" t="s">
        <v>190</v>
      </c>
      <c r="H159" s="108" t="s">
        <v>190</v>
      </c>
    </row>
    <row r="160" customFormat="false" ht="15" hidden="false" customHeight="false" outlineLevel="0" collapsed="false">
      <c r="A160" s="108" t="n">
        <v>77235320216</v>
      </c>
      <c r="B160" s="108" t="n">
        <v>9</v>
      </c>
      <c r="C160" s="108" t="n">
        <v>1</v>
      </c>
      <c r="D160" s="108" t="s">
        <v>188</v>
      </c>
      <c r="E160" s="108" t="s">
        <v>358</v>
      </c>
      <c r="F160" s="108" t="s">
        <v>190</v>
      </c>
      <c r="G160" s="108" t="s">
        <v>192</v>
      </c>
      <c r="H160" s="108" t="s">
        <v>190</v>
      </c>
    </row>
    <row r="161" customFormat="false" ht="15" hidden="false" customHeight="false" outlineLevel="0" collapsed="false">
      <c r="A161" s="108" t="n">
        <v>77235320199</v>
      </c>
      <c r="B161" s="108" t="n">
        <v>9</v>
      </c>
      <c r="C161" s="108" t="n">
        <v>1</v>
      </c>
      <c r="D161" s="108" t="s">
        <v>188</v>
      </c>
      <c r="E161" s="108" t="s">
        <v>359</v>
      </c>
      <c r="F161" s="108" t="s">
        <v>190</v>
      </c>
      <c r="G161" s="108" t="s">
        <v>190</v>
      </c>
      <c r="H161" s="108" t="s">
        <v>190</v>
      </c>
    </row>
    <row r="162" customFormat="false" ht="15" hidden="false" customHeight="false" outlineLevel="0" collapsed="false">
      <c r="A162" s="108" t="n">
        <v>77235320188</v>
      </c>
      <c r="B162" s="108" t="n">
        <v>9</v>
      </c>
      <c r="C162" s="108" t="n">
        <v>1</v>
      </c>
      <c r="D162" s="108" t="s">
        <v>188</v>
      </c>
      <c r="E162" s="108" t="s">
        <v>360</v>
      </c>
      <c r="F162" s="108" t="s">
        <v>190</v>
      </c>
      <c r="G162" s="108" t="s">
        <v>192</v>
      </c>
      <c r="H162" s="108" t="s">
        <v>190</v>
      </c>
    </row>
    <row r="163" customFormat="false" ht="15" hidden="false" customHeight="false" outlineLevel="0" collapsed="false">
      <c r="A163" s="108" t="n">
        <v>77235320183</v>
      </c>
      <c r="B163" s="108" t="n">
        <v>9</v>
      </c>
      <c r="C163" s="108" t="n">
        <v>1</v>
      </c>
      <c r="D163" s="108" t="s">
        <v>188</v>
      </c>
      <c r="E163" s="108" t="s">
        <v>361</v>
      </c>
      <c r="F163" s="108" t="s">
        <v>190</v>
      </c>
      <c r="G163" s="108" t="s">
        <v>190</v>
      </c>
      <c r="H163" s="108" t="s">
        <v>190</v>
      </c>
    </row>
    <row r="164" customFormat="false" ht="15" hidden="false" customHeight="false" outlineLevel="0" collapsed="false">
      <c r="A164" s="108" t="n">
        <v>77235320180</v>
      </c>
      <c r="B164" s="108" t="n">
        <v>9</v>
      </c>
      <c r="C164" s="108" t="n">
        <v>1</v>
      </c>
      <c r="D164" s="108" t="s">
        <v>188</v>
      </c>
      <c r="E164" s="108" t="s">
        <v>362</v>
      </c>
      <c r="F164" s="108" t="s">
        <v>190</v>
      </c>
      <c r="G164" s="108" t="s">
        <v>192</v>
      </c>
      <c r="H164" s="108" t="s">
        <v>192</v>
      </c>
    </row>
    <row r="165" customFormat="false" ht="15" hidden="false" customHeight="false" outlineLevel="0" collapsed="false">
      <c r="A165" s="108" t="n">
        <v>77235320171</v>
      </c>
      <c r="B165" s="108" t="n">
        <v>19</v>
      </c>
      <c r="C165" s="108" t="n">
        <v>1</v>
      </c>
      <c r="D165" s="108" t="s">
        <v>220</v>
      </c>
      <c r="E165" s="108" t="s">
        <v>363</v>
      </c>
      <c r="F165" s="108" t="s">
        <v>190</v>
      </c>
      <c r="G165" s="108" t="s">
        <v>190</v>
      </c>
      <c r="H165" s="108" t="s">
        <v>190</v>
      </c>
    </row>
    <row r="166" customFormat="false" ht="15" hidden="false" customHeight="false" outlineLevel="0" collapsed="false">
      <c r="A166" s="108" t="n">
        <v>77235320170</v>
      </c>
      <c r="B166" s="108" t="n">
        <v>9</v>
      </c>
      <c r="C166" s="108" t="n">
        <v>1</v>
      </c>
      <c r="D166" s="108" t="s">
        <v>188</v>
      </c>
      <c r="E166" s="108" t="s">
        <v>364</v>
      </c>
      <c r="F166" s="108" t="s">
        <v>190</v>
      </c>
      <c r="G166" s="108" t="s">
        <v>190</v>
      </c>
      <c r="H166" s="108" t="s">
        <v>190</v>
      </c>
    </row>
    <row r="167" customFormat="false" ht="15" hidden="false" customHeight="false" outlineLevel="0" collapsed="false">
      <c r="A167" s="108" t="n">
        <v>77235320162</v>
      </c>
      <c r="B167" s="108" t="n">
        <v>9</v>
      </c>
      <c r="C167" s="108" t="n">
        <v>1</v>
      </c>
      <c r="D167" s="108" t="s">
        <v>188</v>
      </c>
      <c r="E167" s="108" t="s">
        <v>365</v>
      </c>
      <c r="F167" s="108" t="s">
        <v>190</v>
      </c>
      <c r="G167" s="108" t="s">
        <v>190</v>
      </c>
      <c r="H167" s="108" t="s">
        <v>190</v>
      </c>
    </row>
    <row r="168" customFormat="false" ht="15" hidden="false" customHeight="false" outlineLevel="0" collapsed="false">
      <c r="A168" s="108" t="n">
        <v>77235320158</v>
      </c>
      <c r="B168" s="108" t="n">
        <v>9</v>
      </c>
      <c r="C168" s="108" t="n">
        <v>1</v>
      </c>
      <c r="D168" s="108" t="s">
        <v>188</v>
      </c>
      <c r="E168" s="108" t="s">
        <v>366</v>
      </c>
      <c r="F168" s="108" t="s">
        <v>190</v>
      </c>
      <c r="G168" s="108" t="s">
        <v>190</v>
      </c>
      <c r="H168" s="108" t="s">
        <v>190</v>
      </c>
    </row>
    <row r="169" customFormat="false" ht="15" hidden="false" customHeight="false" outlineLevel="0" collapsed="false">
      <c r="A169" s="108" t="n">
        <v>77235320155</v>
      </c>
      <c r="B169" s="108" t="n">
        <v>63</v>
      </c>
      <c r="C169" s="108" t="n">
        <v>2</v>
      </c>
      <c r="D169" s="108" t="s">
        <v>303</v>
      </c>
      <c r="E169" s="108" t="s">
        <v>367</v>
      </c>
      <c r="F169" s="108" t="s">
        <v>190</v>
      </c>
      <c r="G169" s="108" t="s">
        <v>192</v>
      </c>
      <c r="H169" s="108" t="s">
        <v>192</v>
      </c>
    </row>
    <row r="170" customFormat="false" ht="15" hidden="false" customHeight="false" outlineLevel="0" collapsed="false">
      <c r="A170" s="108" t="n">
        <v>77235320145</v>
      </c>
      <c r="B170" s="108" t="n">
        <v>9</v>
      </c>
      <c r="C170" s="108" t="n">
        <v>1</v>
      </c>
      <c r="D170" s="108" t="s">
        <v>188</v>
      </c>
      <c r="E170" s="108" t="s">
        <v>368</v>
      </c>
      <c r="F170" s="108" t="s">
        <v>190</v>
      </c>
      <c r="G170" s="108" t="s">
        <v>190</v>
      </c>
      <c r="H170" s="108" t="s">
        <v>190</v>
      </c>
    </row>
    <row r="171" customFormat="false" ht="15" hidden="false" customHeight="false" outlineLevel="0" collapsed="false">
      <c r="A171" s="108" t="n">
        <v>77235320143</v>
      </c>
      <c r="B171" s="108" t="n">
        <v>9</v>
      </c>
      <c r="C171" s="108" t="n">
        <v>1</v>
      </c>
      <c r="D171" s="108" t="s">
        <v>188</v>
      </c>
      <c r="E171" s="108" t="s">
        <v>369</v>
      </c>
      <c r="F171" s="108" t="s">
        <v>190</v>
      </c>
      <c r="G171" s="108" t="s">
        <v>192</v>
      </c>
      <c r="H171" s="108" t="s">
        <v>190</v>
      </c>
    </row>
    <row r="172" customFormat="false" ht="15" hidden="false" customHeight="false" outlineLevel="0" collapsed="false">
      <c r="A172" s="108" t="n">
        <v>77235320142</v>
      </c>
      <c r="B172" s="108" t="n">
        <v>9</v>
      </c>
      <c r="C172" s="108" t="n">
        <v>1</v>
      </c>
      <c r="D172" s="108" t="s">
        <v>188</v>
      </c>
      <c r="E172" s="108" t="s">
        <v>370</v>
      </c>
      <c r="F172" s="108" t="s">
        <v>190</v>
      </c>
      <c r="G172" s="108" t="s">
        <v>192</v>
      </c>
      <c r="H172" s="108" t="s">
        <v>190</v>
      </c>
    </row>
    <row r="173" customFormat="false" ht="15" hidden="false" customHeight="false" outlineLevel="0" collapsed="false">
      <c r="A173" s="108" t="n">
        <v>77235320136</v>
      </c>
      <c r="B173" s="108" t="n">
        <v>9</v>
      </c>
      <c r="C173" s="108" t="n">
        <v>1</v>
      </c>
      <c r="D173" s="108" t="s">
        <v>188</v>
      </c>
      <c r="E173" s="108" t="s">
        <v>371</v>
      </c>
      <c r="F173" s="108" t="s">
        <v>190</v>
      </c>
      <c r="G173" s="108" t="s">
        <v>192</v>
      </c>
      <c r="H173" s="108" t="s">
        <v>192</v>
      </c>
    </row>
    <row r="174" customFormat="false" ht="15" hidden="false" customHeight="false" outlineLevel="0" collapsed="false">
      <c r="A174" s="108" t="n">
        <v>77235320131</v>
      </c>
      <c r="B174" s="108" t="n">
        <v>9</v>
      </c>
      <c r="C174" s="108" t="n">
        <v>1</v>
      </c>
      <c r="D174" s="108" t="s">
        <v>188</v>
      </c>
      <c r="E174" s="108" t="s">
        <v>372</v>
      </c>
      <c r="F174" s="108" t="s">
        <v>190</v>
      </c>
      <c r="G174" s="108" t="s">
        <v>190</v>
      </c>
      <c r="H174" s="108" t="s">
        <v>190</v>
      </c>
    </row>
    <row r="175" customFormat="false" ht="15" hidden="false" customHeight="false" outlineLevel="0" collapsed="false">
      <c r="A175" s="108" t="n">
        <v>77235320124</v>
      </c>
      <c r="B175" s="108" t="n">
        <v>9</v>
      </c>
      <c r="C175" s="108" t="n">
        <v>1</v>
      </c>
      <c r="D175" s="108" t="s">
        <v>188</v>
      </c>
      <c r="E175" s="108" t="s">
        <v>373</v>
      </c>
      <c r="F175" s="108" t="s">
        <v>190</v>
      </c>
      <c r="G175" s="108" t="s">
        <v>190</v>
      </c>
      <c r="H175" s="108" t="s">
        <v>190</v>
      </c>
    </row>
    <row r="176" customFormat="false" ht="15" hidden="false" customHeight="false" outlineLevel="0" collapsed="false">
      <c r="A176" s="108" t="n">
        <v>77235320122</v>
      </c>
      <c r="B176" s="108" t="n">
        <v>9</v>
      </c>
      <c r="C176" s="108" t="n">
        <v>1</v>
      </c>
      <c r="D176" s="108" t="s">
        <v>188</v>
      </c>
      <c r="E176" s="108" t="s">
        <v>374</v>
      </c>
      <c r="F176" s="108" t="s">
        <v>190</v>
      </c>
      <c r="G176" s="108" t="s">
        <v>192</v>
      </c>
      <c r="H176" s="108" t="s">
        <v>192</v>
      </c>
    </row>
    <row r="177" customFormat="false" ht="15" hidden="false" customHeight="false" outlineLevel="0" collapsed="false">
      <c r="A177" s="108" t="n">
        <v>77235320121</v>
      </c>
      <c r="B177" s="108" t="n">
        <v>63</v>
      </c>
      <c r="C177" s="108" t="n">
        <v>2</v>
      </c>
      <c r="D177" s="108" t="s">
        <v>303</v>
      </c>
      <c r="E177" s="108" t="s">
        <v>375</v>
      </c>
      <c r="F177" s="108" t="s">
        <v>190</v>
      </c>
      <c r="G177" s="108" t="s">
        <v>192</v>
      </c>
      <c r="H177" s="108" t="s">
        <v>190</v>
      </c>
    </row>
    <row r="178" customFormat="false" ht="15" hidden="false" customHeight="false" outlineLevel="0" collapsed="false">
      <c r="A178" s="108" t="n">
        <v>77235320116</v>
      </c>
      <c r="B178" s="108" t="n">
        <v>9</v>
      </c>
      <c r="C178" s="108" t="n">
        <v>1</v>
      </c>
      <c r="D178" s="108" t="s">
        <v>188</v>
      </c>
      <c r="E178" s="108" t="s">
        <v>376</v>
      </c>
      <c r="F178" s="108" t="s">
        <v>190</v>
      </c>
      <c r="G178" s="108" t="s">
        <v>192</v>
      </c>
      <c r="H178" s="108" t="s">
        <v>190</v>
      </c>
    </row>
    <row r="179" customFormat="false" ht="15" hidden="false" customHeight="false" outlineLevel="0" collapsed="false">
      <c r="A179" s="108" t="n">
        <v>77235320113</v>
      </c>
      <c r="B179" s="108" t="n">
        <v>37</v>
      </c>
      <c r="C179" s="108" t="n">
        <v>1</v>
      </c>
      <c r="D179" s="108" t="s">
        <v>222</v>
      </c>
      <c r="E179" s="108" t="s">
        <v>377</v>
      </c>
      <c r="F179" s="108" t="s">
        <v>190</v>
      </c>
      <c r="G179" s="108" t="s">
        <v>192</v>
      </c>
      <c r="H179" s="108" t="s">
        <v>190</v>
      </c>
    </row>
    <row r="180" customFormat="false" ht="15" hidden="false" customHeight="false" outlineLevel="0" collapsed="false">
      <c r="A180" s="108" t="n">
        <v>77235320110</v>
      </c>
      <c r="B180" s="108" t="n">
        <v>36</v>
      </c>
      <c r="C180" s="108" t="n">
        <v>1</v>
      </c>
      <c r="D180" s="108" t="s">
        <v>193</v>
      </c>
      <c r="E180" s="108" t="s">
        <v>378</v>
      </c>
      <c r="F180" s="108" t="s">
        <v>190</v>
      </c>
      <c r="G180" s="108" t="s">
        <v>190</v>
      </c>
      <c r="H180" s="108" t="s">
        <v>190</v>
      </c>
    </row>
    <row r="181" customFormat="false" ht="15" hidden="false" customHeight="false" outlineLevel="0" collapsed="false">
      <c r="A181" s="108" t="n">
        <v>77235320102</v>
      </c>
      <c r="B181" s="108" t="n">
        <v>36</v>
      </c>
      <c r="C181" s="108" t="n">
        <v>1</v>
      </c>
      <c r="D181" s="108" t="s">
        <v>193</v>
      </c>
      <c r="E181" s="108" t="s">
        <v>379</v>
      </c>
      <c r="F181" s="108" t="s">
        <v>190</v>
      </c>
      <c r="G181" s="108" t="s">
        <v>190</v>
      </c>
      <c r="H181" s="108" t="s">
        <v>190</v>
      </c>
    </row>
    <row r="182" customFormat="false" ht="15" hidden="false" customHeight="false" outlineLevel="0" collapsed="false">
      <c r="A182" s="108" t="n">
        <v>77235320099</v>
      </c>
      <c r="B182" s="108" t="n">
        <v>9</v>
      </c>
      <c r="C182" s="108" t="n">
        <v>1</v>
      </c>
      <c r="D182" s="108" t="s">
        <v>188</v>
      </c>
      <c r="E182" s="108" t="s">
        <v>380</v>
      </c>
      <c r="F182" s="108" t="s">
        <v>190</v>
      </c>
      <c r="G182" s="108" t="s">
        <v>192</v>
      </c>
      <c r="H182" s="108" t="s">
        <v>192</v>
      </c>
    </row>
    <row r="183" customFormat="false" ht="15" hidden="false" customHeight="false" outlineLevel="0" collapsed="false">
      <c r="A183" s="108" t="n">
        <v>77235320094</v>
      </c>
      <c r="B183" s="108" t="n">
        <v>36</v>
      </c>
      <c r="C183" s="108" t="n">
        <v>1</v>
      </c>
      <c r="D183" s="108" t="s">
        <v>193</v>
      </c>
      <c r="E183" s="108" t="s">
        <v>381</v>
      </c>
      <c r="F183" s="108" t="s">
        <v>190</v>
      </c>
      <c r="G183" s="108" t="s">
        <v>190</v>
      </c>
      <c r="H183" s="108" t="s">
        <v>190</v>
      </c>
    </row>
    <row r="184" customFormat="false" ht="15" hidden="false" customHeight="false" outlineLevel="0" collapsed="false">
      <c r="A184" s="108" t="n">
        <v>77235320082</v>
      </c>
      <c r="B184" s="108" t="n">
        <v>9</v>
      </c>
      <c r="C184" s="108" t="n">
        <v>1</v>
      </c>
      <c r="D184" s="108" t="s">
        <v>188</v>
      </c>
      <c r="E184" s="108" t="s">
        <v>382</v>
      </c>
      <c r="F184" s="108" t="s">
        <v>190</v>
      </c>
      <c r="G184" s="108" t="s">
        <v>192</v>
      </c>
      <c r="H184" s="108" t="s">
        <v>192</v>
      </c>
    </row>
    <row r="185" customFormat="false" ht="15" hidden="false" customHeight="false" outlineLevel="0" collapsed="false">
      <c r="A185" s="108" t="n">
        <v>77235320071</v>
      </c>
      <c r="B185" s="108" t="n">
        <v>36</v>
      </c>
      <c r="C185" s="108" t="n">
        <v>2</v>
      </c>
      <c r="D185" s="108" t="s">
        <v>193</v>
      </c>
      <c r="E185" s="108" t="s">
        <v>383</v>
      </c>
      <c r="F185" s="108" t="s">
        <v>190</v>
      </c>
      <c r="G185" s="108" t="s">
        <v>192</v>
      </c>
      <c r="H185" s="108" t="s">
        <v>192</v>
      </c>
    </row>
    <row r="186" customFormat="false" ht="15" hidden="false" customHeight="false" outlineLevel="0" collapsed="false">
      <c r="A186" s="108" t="n">
        <v>77235320068</v>
      </c>
      <c r="B186" s="108" t="n">
        <v>9</v>
      </c>
      <c r="C186" s="108" t="n">
        <v>1</v>
      </c>
      <c r="D186" s="108" t="s">
        <v>188</v>
      </c>
      <c r="E186" s="108" t="s">
        <v>384</v>
      </c>
      <c r="F186" s="108" t="s">
        <v>190</v>
      </c>
      <c r="G186" s="108" t="s">
        <v>192</v>
      </c>
      <c r="H186" s="108" t="s">
        <v>192</v>
      </c>
    </row>
    <row r="187" customFormat="false" ht="15" hidden="false" customHeight="false" outlineLevel="0" collapsed="false">
      <c r="A187" s="108" t="n">
        <v>77235320061</v>
      </c>
      <c r="B187" s="108" t="n">
        <v>36</v>
      </c>
      <c r="C187" s="108" t="n">
        <v>2</v>
      </c>
      <c r="D187" s="108" t="s">
        <v>193</v>
      </c>
      <c r="E187" s="108" t="s">
        <v>385</v>
      </c>
      <c r="F187" s="108" t="s">
        <v>190</v>
      </c>
      <c r="G187" s="108" t="s">
        <v>190</v>
      </c>
      <c r="H187" s="108" t="s">
        <v>190</v>
      </c>
    </row>
    <row r="188" customFormat="false" ht="15" hidden="false" customHeight="false" outlineLevel="0" collapsed="false">
      <c r="A188" s="108" t="n">
        <v>77235320060</v>
      </c>
      <c r="B188" s="108" t="n">
        <v>36</v>
      </c>
      <c r="C188" s="108" t="n">
        <v>2</v>
      </c>
      <c r="D188" s="108" t="s">
        <v>193</v>
      </c>
      <c r="E188" s="108" t="s">
        <v>386</v>
      </c>
      <c r="F188" s="108" t="s">
        <v>190</v>
      </c>
      <c r="G188" s="108" t="s">
        <v>190</v>
      </c>
      <c r="H188" s="108" t="s">
        <v>190</v>
      </c>
    </row>
    <row r="189" customFormat="false" ht="15" hidden="false" customHeight="false" outlineLevel="0" collapsed="false">
      <c r="A189" s="108" t="n">
        <v>77235320059</v>
      </c>
      <c r="B189" s="108" t="n">
        <v>36</v>
      </c>
      <c r="C189" s="108" t="n">
        <v>2</v>
      </c>
      <c r="D189" s="108" t="s">
        <v>193</v>
      </c>
      <c r="E189" s="108" t="s">
        <v>387</v>
      </c>
      <c r="F189" s="108" t="s">
        <v>190</v>
      </c>
      <c r="G189" s="108" t="s">
        <v>190</v>
      </c>
      <c r="H189" s="108" t="s">
        <v>190</v>
      </c>
    </row>
    <row r="190" customFormat="false" ht="15" hidden="false" customHeight="false" outlineLevel="0" collapsed="false">
      <c r="A190" s="108" t="n">
        <v>77235320053</v>
      </c>
      <c r="B190" s="108" t="n">
        <v>36</v>
      </c>
      <c r="C190" s="108" t="n">
        <v>2</v>
      </c>
      <c r="D190" s="108" t="s">
        <v>193</v>
      </c>
      <c r="E190" s="108" t="s">
        <v>388</v>
      </c>
      <c r="F190" s="108" t="s">
        <v>190</v>
      </c>
      <c r="G190" s="108" t="s">
        <v>190</v>
      </c>
      <c r="H190" s="108" t="s">
        <v>190</v>
      </c>
    </row>
    <row r="191" customFormat="false" ht="15" hidden="false" customHeight="false" outlineLevel="0" collapsed="false">
      <c r="A191" s="108" t="n">
        <v>77235320046</v>
      </c>
      <c r="B191" s="108" t="n">
        <v>31</v>
      </c>
      <c r="C191" s="108" t="n">
        <v>1</v>
      </c>
      <c r="D191" s="108" t="s">
        <v>208</v>
      </c>
      <c r="E191" s="108" t="s">
        <v>389</v>
      </c>
      <c r="F191" s="108" t="s">
        <v>190</v>
      </c>
      <c r="G191" s="108" t="s">
        <v>190</v>
      </c>
      <c r="H191" s="108" t="s">
        <v>190</v>
      </c>
    </row>
    <row r="192" customFormat="false" ht="15" hidden="false" customHeight="false" outlineLevel="0" collapsed="false">
      <c r="A192" s="108" t="n">
        <v>77235320039</v>
      </c>
      <c r="B192" s="108" t="n">
        <v>36</v>
      </c>
      <c r="C192" s="108" t="n">
        <v>2</v>
      </c>
      <c r="D192" s="108" t="s">
        <v>193</v>
      </c>
      <c r="E192" s="108" t="s">
        <v>390</v>
      </c>
      <c r="F192" s="108" t="s">
        <v>190</v>
      </c>
      <c r="G192" s="108" t="s">
        <v>192</v>
      </c>
      <c r="H192" s="108" t="s">
        <v>190</v>
      </c>
    </row>
    <row r="193" customFormat="false" ht="15" hidden="false" customHeight="false" outlineLevel="0" collapsed="false">
      <c r="A193" s="108" t="n">
        <v>77235320037</v>
      </c>
      <c r="B193" s="108" t="n">
        <v>36</v>
      </c>
      <c r="C193" s="108" t="n">
        <v>2</v>
      </c>
      <c r="D193" s="108" t="s">
        <v>193</v>
      </c>
      <c r="E193" s="108" t="s">
        <v>391</v>
      </c>
      <c r="F193" s="108" t="s">
        <v>190</v>
      </c>
      <c r="G193" s="108" t="s">
        <v>192</v>
      </c>
      <c r="H193" s="108" t="s">
        <v>192</v>
      </c>
    </row>
    <row r="194" customFormat="false" ht="15" hidden="false" customHeight="false" outlineLevel="0" collapsed="false">
      <c r="A194" s="108" t="n">
        <v>77235320036</v>
      </c>
      <c r="B194" s="108" t="n">
        <v>36</v>
      </c>
      <c r="C194" s="108" t="n">
        <v>2</v>
      </c>
      <c r="D194" s="108" t="s">
        <v>193</v>
      </c>
      <c r="E194" s="108" t="s">
        <v>392</v>
      </c>
      <c r="F194" s="108" t="s">
        <v>190</v>
      </c>
      <c r="G194" s="108" t="s">
        <v>190</v>
      </c>
      <c r="H194" s="108" t="s">
        <v>190</v>
      </c>
    </row>
    <row r="195" customFormat="false" ht="15" hidden="false" customHeight="false" outlineLevel="0" collapsed="false">
      <c r="A195" s="108" t="n">
        <v>77235320034</v>
      </c>
      <c r="B195" s="108" t="n">
        <v>36</v>
      </c>
      <c r="C195" s="108" t="n">
        <v>2</v>
      </c>
      <c r="D195" s="108" t="s">
        <v>193</v>
      </c>
      <c r="E195" s="108" t="s">
        <v>393</v>
      </c>
      <c r="F195" s="108" t="s">
        <v>190</v>
      </c>
      <c r="G195" s="108" t="s">
        <v>192</v>
      </c>
      <c r="H195" s="108" t="s">
        <v>190</v>
      </c>
    </row>
    <row r="196" customFormat="false" ht="15" hidden="false" customHeight="false" outlineLevel="0" collapsed="false">
      <c r="A196" s="108" t="n">
        <v>77235320032</v>
      </c>
      <c r="B196" s="108" t="n">
        <v>36</v>
      </c>
      <c r="C196" s="108" t="n">
        <v>1</v>
      </c>
      <c r="D196" s="108" t="s">
        <v>193</v>
      </c>
      <c r="E196" s="108" t="s">
        <v>394</v>
      </c>
      <c r="F196" s="108" t="s">
        <v>190</v>
      </c>
      <c r="G196" s="108" t="s">
        <v>190</v>
      </c>
      <c r="H196" s="108" t="s">
        <v>190</v>
      </c>
    </row>
    <row r="197" customFormat="false" ht="15" hidden="false" customHeight="false" outlineLevel="0" collapsed="false">
      <c r="A197" s="108" t="n">
        <v>77235320031</v>
      </c>
      <c r="B197" s="108" t="n">
        <v>36</v>
      </c>
      <c r="C197" s="108" t="n">
        <v>2</v>
      </c>
      <c r="D197" s="108" t="s">
        <v>193</v>
      </c>
      <c r="E197" s="108" t="s">
        <v>395</v>
      </c>
      <c r="F197" s="108" t="s">
        <v>190</v>
      </c>
      <c r="G197" s="108" t="s">
        <v>192</v>
      </c>
      <c r="H197" s="108" t="s">
        <v>190</v>
      </c>
    </row>
    <row r="198" customFormat="false" ht="15" hidden="false" customHeight="false" outlineLevel="0" collapsed="false">
      <c r="A198" s="108" t="n">
        <v>77235320024</v>
      </c>
      <c r="B198" s="108" t="n">
        <v>9</v>
      </c>
      <c r="C198" s="108" t="n">
        <v>1</v>
      </c>
      <c r="D198" s="108" t="s">
        <v>188</v>
      </c>
      <c r="E198" s="108" t="s">
        <v>396</v>
      </c>
      <c r="F198" s="108" t="s">
        <v>190</v>
      </c>
      <c r="G198" s="108" t="s">
        <v>190</v>
      </c>
      <c r="H198" s="108" t="s">
        <v>190</v>
      </c>
    </row>
    <row r="199" customFormat="false" ht="15" hidden="false" customHeight="false" outlineLevel="0" collapsed="false">
      <c r="A199" s="108" t="n">
        <v>77235320022</v>
      </c>
      <c r="B199" s="108" t="n">
        <v>36</v>
      </c>
      <c r="C199" s="108" t="n">
        <v>2</v>
      </c>
      <c r="D199" s="108" t="s">
        <v>193</v>
      </c>
      <c r="E199" s="108" t="s">
        <v>397</v>
      </c>
      <c r="F199" s="108" t="s">
        <v>190</v>
      </c>
      <c r="G199" s="108" t="s">
        <v>190</v>
      </c>
      <c r="H199" s="108" t="s">
        <v>190</v>
      </c>
    </row>
    <row r="200" customFormat="false" ht="15" hidden="false" customHeight="false" outlineLevel="0" collapsed="false">
      <c r="A200" s="108" t="n">
        <v>77235320013</v>
      </c>
      <c r="B200" s="108" t="n">
        <v>36</v>
      </c>
      <c r="C200" s="108" t="n">
        <v>0</v>
      </c>
      <c r="D200" s="108" t="s">
        <v>193</v>
      </c>
      <c r="E200" s="108" t="s">
        <v>398</v>
      </c>
      <c r="F200" s="108" t="s">
        <v>190</v>
      </c>
      <c r="G200" s="108" t="s">
        <v>190</v>
      </c>
      <c r="H200" s="108" t="s">
        <v>190</v>
      </c>
    </row>
    <row r="201" customFormat="false" ht="15" hidden="false" customHeight="false" outlineLevel="0" collapsed="false">
      <c r="A201" s="108" t="n">
        <v>77235320011</v>
      </c>
      <c r="B201" s="108" t="n">
        <v>36</v>
      </c>
      <c r="C201" s="108" t="n">
        <v>2</v>
      </c>
      <c r="D201" s="108" t="s">
        <v>193</v>
      </c>
      <c r="E201" s="108" t="s">
        <v>399</v>
      </c>
      <c r="F201" s="108" t="s">
        <v>190</v>
      </c>
      <c r="G201" s="108" t="s">
        <v>190</v>
      </c>
      <c r="H201" s="108" t="s">
        <v>190</v>
      </c>
    </row>
    <row r="202" customFormat="false" ht="15" hidden="false" customHeight="false" outlineLevel="0" collapsed="false">
      <c r="A202" s="108" t="n">
        <v>77235320009</v>
      </c>
      <c r="B202" s="108" t="n">
        <v>36</v>
      </c>
      <c r="C202" s="108" t="n">
        <v>1</v>
      </c>
      <c r="D202" s="108" t="s">
        <v>193</v>
      </c>
      <c r="E202" s="108" t="s">
        <v>400</v>
      </c>
      <c r="F202" s="108" t="s">
        <v>190</v>
      </c>
      <c r="G202" s="108" t="s">
        <v>192</v>
      </c>
      <c r="H202" s="108" t="s">
        <v>190</v>
      </c>
    </row>
    <row r="203" customFormat="false" ht="15" hidden="false" customHeight="false" outlineLevel="0" collapsed="false">
      <c r="A203" s="108" t="n">
        <v>77235320003</v>
      </c>
      <c r="B203" s="108" t="n">
        <v>36</v>
      </c>
      <c r="C203" s="108" t="n">
        <v>1</v>
      </c>
      <c r="D203" s="108" t="s">
        <v>193</v>
      </c>
      <c r="E203" s="108" t="s">
        <v>401</v>
      </c>
      <c r="F203" s="108" t="s">
        <v>190</v>
      </c>
      <c r="G203" s="108" t="s">
        <v>192</v>
      </c>
      <c r="H203" s="108" t="s">
        <v>190</v>
      </c>
    </row>
    <row r="204" customFormat="false" ht="15" hidden="false" customHeight="false" outlineLevel="0" collapsed="false">
      <c r="A204" s="108" t="s">
        <v>219</v>
      </c>
      <c r="B204" s="108" t="n">
        <v>36</v>
      </c>
      <c r="C204" s="108" t="n">
        <v>2</v>
      </c>
      <c r="D204" s="108" t="s">
        <v>193</v>
      </c>
      <c r="E204" s="108" t="s">
        <v>402</v>
      </c>
      <c r="F204" s="108" t="s">
        <v>190</v>
      </c>
      <c r="G204" s="108" t="s">
        <v>190</v>
      </c>
      <c r="H204" s="108" t="s">
        <v>190</v>
      </c>
    </row>
    <row r="205" customFormat="false" ht="15" hidden="false" customHeight="false" outlineLevel="0" collapsed="false">
      <c r="A205" s="108" t="n">
        <v>77235128469</v>
      </c>
      <c r="B205" s="108" t="n">
        <v>19</v>
      </c>
      <c r="C205" s="108" t="n">
        <v>1</v>
      </c>
      <c r="D205" s="108" t="s">
        <v>220</v>
      </c>
      <c r="E205" s="108" t="s">
        <v>403</v>
      </c>
      <c r="F205" s="108" t="s">
        <v>190</v>
      </c>
      <c r="G205" s="108" t="s">
        <v>190</v>
      </c>
      <c r="H205" s="108" t="s">
        <v>190</v>
      </c>
    </row>
    <row r="206" customFormat="false" ht="15" hidden="false" customHeight="false" outlineLevel="0" collapsed="false">
      <c r="A206" s="108" t="n">
        <v>77235128429</v>
      </c>
      <c r="B206" s="108" t="n">
        <v>37</v>
      </c>
      <c r="C206" s="108" t="n">
        <v>1</v>
      </c>
      <c r="D206" s="108" t="s">
        <v>222</v>
      </c>
      <c r="E206" s="108" t="s">
        <v>404</v>
      </c>
      <c r="F206" s="108" t="s">
        <v>190</v>
      </c>
      <c r="G206" s="108" t="s">
        <v>192</v>
      </c>
      <c r="H206" s="108" t="s">
        <v>192</v>
      </c>
    </row>
    <row r="207" customFormat="false" ht="15" hidden="false" customHeight="false" outlineLevel="0" collapsed="false">
      <c r="A207" s="108" t="s">
        <v>219</v>
      </c>
      <c r="B207" s="108" t="n">
        <v>36</v>
      </c>
      <c r="C207" s="108" t="n">
        <v>2</v>
      </c>
      <c r="D207" s="108" t="s">
        <v>193</v>
      </c>
      <c r="E207" s="108" t="s">
        <v>405</v>
      </c>
      <c r="F207" s="108" t="s">
        <v>190</v>
      </c>
      <c r="G207" s="108" t="s">
        <v>190</v>
      </c>
      <c r="H207" s="108" t="s">
        <v>190</v>
      </c>
    </row>
    <row r="208" customFormat="false" ht="15" hidden="false" customHeight="false" outlineLevel="0" collapsed="false">
      <c r="A208" s="108" t="n">
        <v>77235128300</v>
      </c>
      <c r="B208" s="108" t="n">
        <v>19</v>
      </c>
      <c r="C208" s="108" t="n">
        <v>2</v>
      </c>
      <c r="D208" s="108" t="s">
        <v>220</v>
      </c>
      <c r="E208" s="108" t="s">
        <v>406</v>
      </c>
      <c r="F208" s="108" t="s">
        <v>190</v>
      </c>
      <c r="G208" s="108" t="s">
        <v>192</v>
      </c>
      <c r="H208" s="108" t="s">
        <v>192</v>
      </c>
    </row>
    <row r="209" customFormat="false" ht="15" hidden="false" customHeight="false" outlineLevel="0" collapsed="false">
      <c r="A209" s="108" t="n">
        <v>77235128289</v>
      </c>
      <c r="B209" s="108" t="n">
        <v>19</v>
      </c>
      <c r="C209" s="108" t="n">
        <v>2</v>
      </c>
      <c r="D209" s="108" t="s">
        <v>220</v>
      </c>
      <c r="E209" s="108" t="s">
        <v>407</v>
      </c>
      <c r="F209" s="108" t="s">
        <v>190</v>
      </c>
      <c r="G209" s="108" t="s">
        <v>190</v>
      </c>
      <c r="H209" s="108" t="s">
        <v>190</v>
      </c>
    </row>
    <row r="210" customFormat="false" ht="15" hidden="false" customHeight="false" outlineLevel="0" collapsed="false">
      <c r="A210" s="108" t="n">
        <v>77235128218</v>
      </c>
      <c r="B210" s="108" t="n">
        <v>19</v>
      </c>
      <c r="C210" s="108" t="n">
        <v>2</v>
      </c>
      <c r="D210" s="108" t="s">
        <v>220</v>
      </c>
      <c r="E210" s="108" t="s">
        <v>408</v>
      </c>
      <c r="F210" s="108" t="s">
        <v>190</v>
      </c>
      <c r="G210" s="108" t="s">
        <v>190</v>
      </c>
      <c r="H210" s="108" t="s">
        <v>190</v>
      </c>
    </row>
    <row r="211" customFormat="false" ht="15" hidden="false" customHeight="false" outlineLevel="0" collapsed="false">
      <c r="A211" s="108" t="n">
        <v>77235127980</v>
      </c>
      <c r="B211" s="108" t="n">
        <v>19</v>
      </c>
      <c r="C211" s="108" t="n">
        <v>2</v>
      </c>
      <c r="D211" s="108" t="s">
        <v>220</v>
      </c>
      <c r="E211" s="108" t="s">
        <v>409</v>
      </c>
      <c r="F211" s="108" t="s">
        <v>190</v>
      </c>
      <c r="G211" s="108" t="s">
        <v>190</v>
      </c>
      <c r="H211" s="108" t="s">
        <v>190</v>
      </c>
    </row>
    <row r="212" customFormat="false" ht="15" hidden="false" customHeight="false" outlineLevel="0" collapsed="false">
      <c r="A212" s="108" t="n">
        <v>77235127974</v>
      </c>
      <c r="B212" s="108" t="n">
        <v>19</v>
      </c>
      <c r="C212" s="108" t="n">
        <v>1</v>
      </c>
      <c r="D212" s="108" t="s">
        <v>220</v>
      </c>
      <c r="E212" s="108" t="s">
        <v>410</v>
      </c>
      <c r="F212" s="108" t="s">
        <v>190</v>
      </c>
      <c r="G212" s="108" t="s">
        <v>192</v>
      </c>
      <c r="H212" s="108" t="s">
        <v>190</v>
      </c>
    </row>
    <row r="213" customFormat="false" ht="15" hidden="false" customHeight="false" outlineLevel="0" collapsed="false">
      <c r="A213" s="108" t="n">
        <v>77235127970</v>
      </c>
      <c r="B213" s="108" t="n">
        <v>19</v>
      </c>
      <c r="C213" s="108" t="n">
        <v>1</v>
      </c>
      <c r="D213" s="108" t="s">
        <v>220</v>
      </c>
      <c r="E213" s="108" t="s">
        <v>411</v>
      </c>
      <c r="F213" s="108" t="s">
        <v>190</v>
      </c>
      <c r="G213" s="108" t="s">
        <v>190</v>
      </c>
      <c r="H213" s="108" t="s">
        <v>190</v>
      </c>
    </row>
    <row r="214" customFormat="false" ht="15" hidden="false" customHeight="false" outlineLevel="0" collapsed="false">
      <c r="A214" s="108" t="n">
        <v>77235127964</v>
      </c>
      <c r="B214" s="108" t="n">
        <v>19</v>
      </c>
      <c r="C214" s="108" t="n">
        <v>1</v>
      </c>
      <c r="D214" s="108" t="s">
        <v>220</v>
      </c>
      <c r="E214" s="108" t="s">
        <v>412</v>
      </c>
      <c r="F214" s="108" t="s">
        <v>190</v>
      </c>
      <c r="G214" s="108" t="s">
        <v>190</v>
      </c>
      <c r="H214" s="108" t="s">
        <v>190</v>
      </c>
    </row>
    <row r="215" customFormat="false" ht="15" hidden="false" customHeight="false" outlineLevel="0" collapsed="false">
      <c r="A215" s="108" t="n">
        <v>77235127961</v>
      </c>
      <c r="B215" s="108" t="n">
        <v>19</v>
      </c>
      <c r="C215" s="108" t="n">
        <v>1</v>
      </c>
      <c r="D215" s="108" t="s">
        <v>220</v>
      </c>
      <c r="E215" s="108" t="s">
        <v>413</v>
      </c>
      <c r="F215" s="108" t="s">
        <v>190</v>
      </c>
      <c r="G215" s="108" t="s">
        <v>190</v>
      </c>
      <c r="H215" s="108" t="s">
        <v>190</v>
      </c>
    </row>
    <row r="216" customFormat="false" ht="15" hidden="false" customHeight="false" outlineLevel="0" collapsed="false">
      <c r="A216" s="108" t="n">
        <v>77235127960</v>
      </c>
      <c r="B216" s="108" t="n">
        <v>19</v>
      </c>
      <c r="C216" s="108" t="n">
        <v>1</v>
      </c>
      <c r="D216" s="108" t="s">
        <v>220</v>
      </c>
      <c r="E216" s="108" t="s">
        <v>414</v>
      </c>
      <c r="F216" s="108" t="s">
        <v>190</v>
      </c>
      <c r="G216" s="108" t="s">
        <v>190</v>
      </c>
      <c r="H216" s="108" t="s">
        <v>190</v>
      </c>
    </row>
    <row r="217" customFormat="false" ht="15" hidden="false" customHeight="false" outlineLevel="0" collapsed="false">
      <c r="A217" s="108" t="n">
        <v>77235127957</v>
      </c>
      <c r="B217" s="108" t="n">
        <v>19</v>
      </c>
      <c r="C217" s="108" t="n">
        <v>1</v>
      </c>
      <c r="D217" s="108" t="s">
        <v>220</v>
      </c>
      <c r="E217" s="108" t="s">
        <v>415</v>
      </c>
      <c r="F217" s="108" t="s">
        <v>190</v>
      </c>
      <c r="G217" s="108" t="s">
        <v>192</v>
      </c>
      <c r="H217" s="108" t="s">
        <v>190</v>
      </c>
    </row>
    <row r="218" customFormat="false" ht="15" hidden="false" customHeight="false" outlineLevel="0" collapsed="false">
      <c r="A218" s="108" t="n">
        <v>77235127937</v>
      </c>
      <c r="B218" s="108" t="n">
        <v>19</v>
      </c>
      <c r="C218" s="108" t="n">
        <v>1</v>
      </c>
      <c r="D218" s="108" t="s">
        <v>220</v>
      </c>
      <c r="E218" s="108" t="s">
        <v>416</v>
      </c>
      <c r="F218" s="108" t="s">
        <v>190</v>
      </c>
      <c r="G218" s="108" t="s">
        <v>192</v>
      </c>
      <c r="H218" s="108" t="s">
        <v>190</v>
      </c>
    </row>
    <row r="219" customFormat="false" ht="15" hidden="false" customHeight="false" outlineLevel="0" collapsed="false">
      <c r="A219" s="108" t="n">
        <v>77235127920</v>
      </c>
      <c r="B219" s="108" t="n">
        <v>19</v>
      </c>
      <c r="C219" s="108" t="n">
        <v>1</v>
      </c>
      <c r="D219" s="108" t="s">
        <v>220</v>
      </c>
      <c r="E219" s="108" t="s">
        <v>417</v>
      </c>
      <c r="F219" s="108" t="s">
        <v>190</v>
      </c>
      <c r="G219" s="108" t="s">
        <v>190</v>
      </c>
      <c r="H219" s="108" t="s">
        <v>190</v>
      </c>
    </row>
    <row r="220" customFormat="false" ht="15" hidden="false" customHeight="false" outlineLevel="0" collapsed="false">
      <c r="A220" s="108" t="s">
        <v>219</v>
      </c>
      <c r="B220" s="108" t="n">
        <v>19</v>
      </c>
      <c r="C220" s="108" t="n">
        <v>1</v>
      </c>
      <c r="D220" s="108" t="s">
        <v>220</v>
      </c>
      <c r="E220" s="108" t="s">
        <v>418</v>
      </c>
      <c r="F220" s="108" t="s">
        <v>190</v>
      </c>
      <c r="G220" s="108" t="s">
        <v>190</v>
      </c>
      <c r="H220" s="108" t="s">
        <v>190</v>
      </c>
    </row>
    <row r="221" customFormat="false" ht="15" hidden="false" customHeight="false" outlineLevel="0" collapsed="false">
      <c r="A221" s="108" t="n">
        <v>77235127905</v>
      </c>
      <c r="B221" s="108" t="n">
        <v>19</v>
      </c>
      <c r="C221" s="108" t="n">
        <v>1</v>
      </c>
      <c r="D221" s="108" t="s">
        <v>220</v>
      </c>
      <c r="E221" s="108" t="s">
        <v>419</v>
      </c>
      <c r="F221" s="108" t="s">
        <v>190</v>
      </c>
      <c r="G221" s="108" t="s">
        <v>190</v>
      </c>
      <c r="H221" s="108" t="s">
        <v>190</v>
      </c>
    </row>
    <row r="222" customFormat="false" ht="15" hidden="false" customHeight="false" outlineLevel="0" collapsed="false">
      <c r="A222" s="108" t="n">
        <v>77235127817</v>
      </c>
      <c r="B222" s="108" t="n">
        <v>21</v>
      </c>
      <c r="C222" s="108" t="n">
        <v>0</v>
      </c>
      <c r="D222" s="108" t="s">
        <v>353</v>
      </c>
      <c r="E222" s="108" t="s">
        <v>420</v>
      </c>
      <c r="F222" s="108" t="s">
        <v>190</v>
      </c>
      <c r="G222" s="108" t="s">
        <v>190</v>
      </c>
      <c r="H222" s="108" t="s">
        <v>190</v>
      </c>
    </row>
    <row r="223" customFormat="false" ht="15" hidden="false" customHeight="false" outlineLevel="0" collapsed="false">
      <c r="A223" s="108" t="n">
        <v>77235127804</v>
      </c>
      <c r="B223" s="108" t="n">
        <v>37</v>
      </c>
      <c r="C223" s="108" t="n">
        <v>1</v>
      </c>
      <c r="D223" s="108" t="s">
        <v>222</v>
      </c>
      <c r="E223" s="108" t="s">
        <v>421</v>
      </c>
      <c r="F223" s="108" t="s">
        <v>190</v>
      </c>
      <c r="G223" s="108" t="s">
        <v>190</v>
      </c>
      <c r="H223" s="108" t="s">
        <v>190</v>
      </c>
    </row>
    <row r="224" customFormat="false" ht="15" hidden="false" customHeight="false" outlineLevel="0" collapsed="false">
      <c r="A224" s="108" t="n">
        <v>77235127803</v>
      </c>
      <c r="B224" s="108" t="n">
        <v>21</v>
      </c>
      <c r="C224" s="108" t="n">
        <v>1</v>
      </c>
      <c r="D224" s="108" t="s">
        <v>353</v>
      </c>
      <c r="E224" s="108" t="s">
        <v>422</v>
      </c>
      <c r="F224" s="108" t="s">
        <v>190</v>
      </c>
      <c r="G224" s="108" t="s">
        <v>190</v>
      </c>
      <c r="H224" s="108" t="s">
        <v>190</v>
      </c>
    </row>
    <row r="225" customFormat="false" ht="15" hidden="false" customHeight="false" outlineLevel="0" collapsed="false">
      <c r="A225" s="108" t="n">
        <v>77235127774</v>
      </c>
      <c r="B225" s="108" t="n">
        <v>21</v>
      </c>
      <c r="C225" s="108" t="n">
        <v>1</v>
      </c>
      <c r="D225" s="108" t="s">
        <v>353</v>
      </c>
      <c r="E225" s="108" t="s">
        <v>423</v>
      </c>
      <c r="F225" s="108" t="s">
        <v>190</v>
      </c>
      <c r="G225" s="108" t="s">
        <v>190</v>
      </c>
      <c r="H225" s="108" t="s">
        <v>190</v>
      </c>
    </row>
    <row r="226" customFormat="false" ht="15" hidden="false" customHeight="false" outlineLevel="0" collapsed="false">
      <c r="A226" s="108" t="n">
        <v>77235127759</v>
      </c>
      <c r="B226" s="108" t="n">
        <v>37</v>
      </c>
      <c r="C226" s="108" t="n">
        <v>0</v>
      </c>
      <c r="D226" s="108" t="s">
        <v>222</v>
      </c>
      <c r="E226" s="108" t="s">
        <v>424</v>
      </c>
      <c r="F226" s="108" t="s">
        <v>190</v>
      </c>
      <c r="G226" s="108" t="s">
        <v>190</v>
      </c>
      <c r="H226" s="108" t="s">
        <v>190</v>
      </c>
    </row>
    <row r="227" customFormat="false" ht="15" hidden="false" customHeight="false" outlineLevel="0" collapsed="false">
      <c r="A227" s="108" t="n">
        <v>77235127694</v>
      </c>
      <c r="B227" s="108" t="n">
        <v>37</v>
      </c>
      <c r="C227" s="108" t="n">
        <v>1</v>
      </c>
      <c r="D227" s="108" t="s">
        <v>222</v>
      </c>
      <c r="E227" s="108" t="s">
        <v>425</v>
      </c>
      <c r="F227" s="108" t="s">
        <v>190</v>
      </c>
      <c r="G227" s="108" t="s">
        <v>190</v>
      </c>
      <c r="H227" s="108" t="s">
        <v>190</v>
      </c>
    </row>
    <row r="228" customFormat="false" ht="15" hidden="false" customHeight="false" outlineLevel="0" collapsed="false">
      <c r="A228" s="108" t="n">
        <v>77235127690</v>
      </c>
      <c r="B228" s="108" t="n">
        <v>37</v>
      </c>
      <c r="C228" s="108" t="n">
        <v>1</v>
      </c>
      <c r="D228" s="108" t="s">
        <v>222</v>
      </c>
      <c r="E228" s="108" t="s">
        <v>426</v>
      </c>
      <c r="F228" s="108" t="s">
        <v>190</v>
      </c>
      <c r="G228" s="108" t="s">
        <v>190</v>
      </c>
      <c r="H228" s="108" t="s">
        <v>190</v>
      </c>
    </row>
    <row r="229" customFormat="false" ht="15" hidden="false" customHeight="false" outlineLevel="0" collapsed="false">
      <c r="A229" s="108" t="n">
        <v>77235127689</v>
      </c>
      <c r="B229" s="108" t="n">
        <v>37</v>
      </c>
      <c r="C229" s="108" t="n">
        <v>1</v>
      </c>
      <c r="D229" s="108" t="s">
        <v>222</v>
      </c>
      <c r="E229" s="108" t="s">
        <v>427</v>
      </c>
      <c r="F229" s="108" t="s">
        <v>190</v>
      </c>
      <c r="G229" s="108" t="s">
        <v>192</v>
      </c>
      <c r="H229" s="108" t="s">
        <v>190</v>
      </c>
    </row>
    <row r="230" customFormat="false" ht="15" hidden="false" customHeight="false" outlineLevel="0" collapsed="false">
      <c r="A230" s="108" t="n">
        <v>77235127684</v>
      </c>
      <c r="B230" s="108" t="n">
        <v>37</v>
      </c>
      <c r="C230" s="108" t="n">
        <v>1</v>
      </c>
      <c r="D230" s="108" t="s">
        <v>222</v>
      </c>
      <c r="E230" s="108" t="s">
        <v>428</v>
      </c>
      <c r="F230" s="108" t="s">
        <v>190</v>
      </c>
      <c r="G230" s="108" t="s">
        <v>192</v>
      </c>
      <c r="H230" s="108" t="s">
        <v>190</v>
      </c>
    </row>
    <row r="231" customFormat="false" ht="15" hidden="false" customHeight="false" outlineLevel="0" collapsed="false">
      <c r="A231" s="108" t="n">
        <v>77235127674</v>
      </c>
      <c r="B231" s="108" t="n">
        <v>37</v>
      </c>
      <c r="C231" s="108" t="n">
        <v>1</v>
      </c>
      <c r="D231" s="108" t="s">
        <v>222</v>
      </c>
      <c r="E231" s="108" t="s">
        <v>429</v>
      </c>
      <c r="F231" s="108" t="s">
        <v>190</v>
      </c>
      <c r="G231" s="108" t="s">
        <v>190</v>
      </c>
      <c r="H231" s="108" t="s">
        <v>190</v>
      </c>
    </row>
    <row r="232" customFormat="false" ht="15" hidden="false" customHeight="false" outlineLevel="0" collapsed="false">
      <c r="A232" s="108" t="n">
        <v>77235127650</v>
      </c>
      <c r="B232" s="108" t="n">
        <v>37</v>
      </c>
      <c r="C232" s="108" t="n">
        <v>1</v>
      </c>
      <c r="D232" s="108" t="s">
        <v>222</v>
      </c>
      <c r="E232" s="108" t="s">
        <v>430</v>
      </c>
      <c r="F232" s="108" t="s">
        <v>190</v>
      </c>
      <c r="G232" s="108" t="s">
        <v>190</v>
      </c>
      <c r="H232" s="108" t="s">
        <v>190</v>
      </c>
    </row>
    <row r="233" customFormat="false" ht="15" hidden="false" customHeight="false" outlineLevel="0" collapsed="false">
      <c r="A233" s="108" t="n">
        <v>77235127631</v>
      </c>
      <c r="B233" s="108" t="n">
        <v>21</v>
      </c>
      <c r="C233" s="108" t="n">
        <v>2</v>
      </c>
      <c r="D233" s="108" t="s">
        <v>353</v>
      </c>
      <c r="E233" s="108" t="s">
        <v>431</v>
      </c>
      <c r="F233" s="108" t="s">
        <v>190</v>
      </c>
      <c r="G233" s="108" t="s">
        <v>190</v>
      </c>
      <c r="H233" s="108" t="s">
        <v>190</v>
      </c>
    </row>
    <row r="234" customFormat="false" ht="15" hidden="false" customHeight="false" outlineLevel="0" collapsed="false">
      <c r="A234" s="108" t="n">
        <v>77235127620</v>
      </c>
      <c r="B234" s="108" t="n">
        <v>21</v>
      </c>
      <c r="C234" s="108" t="n">
        <v>1</v>
      </c>
      <c r="D234" s="108" t="s">
        <v>353</v>
      </c>
      <c r="E234" s="108" t="s">
        <v>432</v>
      </c>
      <c r="F234" s="108" t="s">
        <v>190</v>
      </c>
      <c r="G234" s="108" t="s">
        <v>190</v>
      </c>
      <c r="H234" s="108" t="s">
        <v>190</v>
      </c>
    </row>
    <row r="235" customFormat="false" ht="15" hidden="false" customHeight="false" outlineLevel="0" collapsed="false">
      <c r="A235" s="108" t="n">
        <v>77235127599</v>
      </c>
      <c r="B235" s="108" t="n">
        <v>37</v>
      </c>
      <c r="C235" s="108" t="n">
        <v>1</v>
      </c>
      <c r="D235" s="108" t="s">
        <v>222</v>
      </c>
      <c r="E235" s="108" t="s">
        <v>433</v>
      </c>
      <c r="F235" s="108" t="s">
        <v>190</v>
      </c>
      <c r="G235" s="108" t="s">
        <v>192</v>
      </c>
      <c r="H235" s="108" t="s">
        <v>192</v>
      </c>
    </row>
    <row r="236" customFormat="false" ht="15" hidden="false" customHeight="false" outlineLevel="0" collapsed="false">
      <c r="A236" s="108" t="n">
        <v>77235127588</v>
      </c>
      <c r="B236" s="108" t="n">
        <v>37</v>
      </c>
      <c r="C236" s="108" t="n">
        <v>1</v>
      </c>
      <c r="D236" s="108" t="s">
        <v>222</v>
      </c>
      <c r="E236" s="108" t="s">
        <v>434</v>
      </c>
      <c r="F236" s="108" t="s">
        <v>190</v>
      </c>
      <c r="G236" s="108" t="s">
        <v>190</v>
      </c>
      <c r="H236" s="108" t="s">
        <v>190</v>
      </c>
    </row>
    <row r="237" customFormat="false" ht="15" hidden="false" customHeight="false" outlineLevel="0" collapsed="false">
      <c r="A237" s="108" t="n">
        <v>77235127584</v>
      </c>
      <c r="B237" s="108" t="n">
        <v>37</v>
      </c>
      <c r="C237" s="108" t="n">
        <v>1</v>
      </c>
      <c r="D237" s="108" t="s">
        <v>222</v>
      </c>
      <c r="E237" s="108" t="s">
        <v>435</v>
      </c>
      <c r="F237" s="108" t="s">
        <v>190</v>
      </c>
      <c r="G237" s="108" t="s">
        <v>192</v>
      </c>
      <c r="H237" s="108" t="s">
        <v>190</v>
      </c>
    </row>
    <row r="238" customFormat="false" ht="15" hidden="false" customHeight="false" outlineLevel="0" collapsed="false">
      <c r="A238" s="108" t="n">
        <v>77235127574</v>
      </c>
      <c r="B238" s="108" t="n">
        <v>37</v>
      </c>
      <c r="C238" s="108" t="n">
        <v>1</v>
      </c>
      <c r="D238" s="108" t="s">
        <v>222</v>
      </c>
      <c r="E238" s="108" t="s">
        <v>436</v>
      </c>
      <c r="F238" s="108" t="s">
        <v>190</v>
      </c>
      <c r="G238" s="108" t="s">
        <v>190</v>
      </c>
      <c r="H238" s="108" t="s">
        <v>190</v>
      </c>
    </row>
    <row r="239" customFormat="false" ht="15" hidden="false" customHeight="false" outlineLevel="0" collapsed="false">
      <c r="A239" s="108" t="n">
        <v>77235127573</v>
      </c>
      <c r="B239" s="108" t="n">
        <v>37</v>
      </c>
      <c r="C239" s="108" t="n">
        <v>1</v>
      </c>
      <c r="D239" s="108" t="s">
        <v>222</v>
      </c>
      <c r="E239" s="108" t="s">
        <v>437</v>
      </c>
      <c r="F239" s="108" t="s">
        <v>192</v>
      </c>
      <c r="G239" s="108" t="s">
        <v>192</v>
      </c>
      <c r="H239" s="108" t="s">
        <v>190</v>
      </c>
    </row>
    <row r="240" customFormat="false" ht="15" hidden="false" customHeight="false" outlineLevel="0" collapsed="false">
      <c r="A240" s="108" t="n">
        <v>77235127558</v>
      </c>
      <c r="B240" s="108" t="n">
        <v>37</v>
      </c>
      <c r="C240" s="108" t="n">
        <v>1</v>
      </c>
      <c r="D240" s="108" t="s">
        <v>222</v>
      </c>
      <c r="E240" s="108" t="s">
        <v>438</v>
      </c>
      <c r="F240" s="108" t="s">
        <v>190</v>
      </c>
      <c r="G240" s="108" t="s">
        <v>190</v>
      </c>
      <c r="H240" s="108" t="s">
        <v>190</v>
      </c>
    </row>
    <row r="241" customFormat="false" ht="15" hidden="false" customHeight="false" outlineLevel="0" collapsed="false">
      <c r="A241" s="108" t="n">
        <v>77235127546</v>
      </c>
      <c r="B241" s="108" t="n">
        <v>37</v>
      </c>
      <c r="C241" s="108" t="n">
        <v>1</v>
      </c>
      <c r="D241" s="108" t="s">
        <v>222</v>
      </c>
      <c r="E241" s="108" t="s">
        <v>439</v>
      </c>
      <c r="F241" s="108" t="s">
        <v>190</v>
      </c>
      <c r="G241" s="108" t="s">
        <v>192</v>
      </c>
      <c r="H241" s="108" t="s">
        <v>192</v>
      </c>
    </row>
    <row r="242" customFormat="false" ht="15" hidden="false" customHeight="false" outlineLevel="0" collapsed="false">
      <c r="A242" s="108" t="n">
        <v>77235127524</v>
      </c>
      <c r="B242" s="108" t="n">
        <v>37</v>
      </c>
      <c r="C242" s="108" t="n">
        <v>1</v>
      </c>
      <c r="D242" s="108" t="s">
        <v>222</v>
      </c>
      <c r="E242" s="108" t="s">
        <v>440</v>
      </c>
      <c r="F242" s="108" t="s">
        <v>190</v>
      </c>
      <c r="G242" s="108" t="s">
        <v>192</v>
      </c>
      <c r="H242" s="108" t="s">
        <v>192</v>
      </c>
    </row>
    <row r="243" customFormat="false" ht="15" hidden="false" customHeight="false" outlineLevel="0" collapsed="false">
      <c r="A243" s="108" t="n">
        <v>77235127520</v>
      </c>
      <c r="B243" s="108" t="n">
        <v>37</v>
      </c>
      <c r="C243" s="108" t="n">
        <v>1</v>
      </c>
      <c r="D243" s="108" t="s">
        <v>222</v>
      </c>
      <c r="E243" s="108" t="s">
        <v>441</v>
      </c>
      <c r="F243" s="108" t="s">
        <v>190</v>
      </c>
      <c r="G243" s="108" t="s">
        <v>190</v>
      </c>
      <c r="H243" s="108" t="s">
        <v>190</v>
      </c>
    </row>
    <row r="244" customFormat="false" ht="15" hidden="false" customHeight="false" outlineLevel="0" collapsed="false">
      <c r="A244" s="108" t="n">
        <v>77235127511</v>
      </c>
      <c r="B244" s="108" t="n">
        <v>21</v>
      </c>
      <c r="C244" s="108" t="n">
        <v>1</v>
      </c>
      <c r="D244" s="108" t="s">
        <v>353</v>
      </c>
      <c r="E244" s="108" t="s">
        <v>442</v>
      </c>
      <c r="F244" s="108" t="s">
        <v>190</v>
      </c>
      <c r="G244" s="108" t="s">
        <v>190</v>
      </c>
      <c r="H244" s="108" t="s">
        <v>192</v>
      </c>
    </row>
    <row r="245" customFormat="false" ht="15" hidden="false" customHeight="false" outlineLevel="0" collapsed="false">
      <c r="A245" s="108" t="n">
        <v>77235127509</v>
      </c>
      <c r="B245" s="108" t="n">
        <v>37</v>
      </c>
      <c r="C245" s="108" t="n">
        <v>1</v>
      </c>
      <c r="D245" s="108" t="s">
        <v>222</v>
      </c>
      <c r="E245" s="108" t="s">
        <v>443</v>
      </c>
      <c r="F245" s="108" t="s">
        <v>190</v>
      </c>
      <c r="G245" s="108" t="s">
        <v>192</v>
      </c>
      <c r="H245" s="108" t="s">
        <v>190</v>
      </c>
    </row>
    <row r="246" customFormat="false" ht="15" hidden="false" customHeight="false" outlineLevel="0" collapsed="false">
      <c r="A246" s="108" t="n">
        <v>77235127505</v>
      </c>
      <c r="B246" s="108" t="n">
        <v>37</v>
      </c>
      <c r="C246" s="108" t="n">
        <v>1</v>
      </c>
      <c r="D246" s="108" t="s">
        <v>222</v>
      </c>
      <c r="E246" s="108" t="s">
        <v>444</v>
      </c>
      <c r="F246" s="108" t="s">
        <v>190</v>
      </c>
      <c r="G246" s="108" t="s">
        <v>192</v>
      </c>
      <c r="H246" s="108" t="s">
        <v>192</v>
      </c>
    </row>
    <row r="247" customFormat="false" ht="15" hidden="false" customHeight="false" outlineLevel="0" collapsed="false">
      <c r="A247" s="108" t="n">
        <v>77235127482</v>
      </c>
      <c r="B247" s="108" t="n">
        <v>21</v>
      </c>
      <c r="C247" s="108" t="n">
        <v>0</v>
      </c>
      <c r="D247" s="108" t="s">
        <v>353</v>
      </c>
      <c r="E247" s="108" t="s">
        <v>445</v>
      </c>
      <c r="F247" s="108" t="s">
        <v>190</v>
      </c>
      <c r="G247" s="108" t="s">
        <v>192</v>
      </c>
      <c r="H247" s="108" t="s">
        <v>190</v>
      </c>
    </row>
    <row r="248" customFormat="false" ht="15" hidden="false" customHeight="false" outlineLevel="0" collapsed="false">
      <c r="A248" s="108" t="n">
        <v>77235127473</v>
      </c>
      <c r="B248" s="108" t="n">
        <v>21</v>
      </c>
      <c r="C248" s="108" t="n">
        <v>1</v>
      </c>
      <c r="D248" s="108" t="s">
        <v>353</v>
      </c>
      <c r="E248" s="108" t="s">
        <v>446</v>
      </c>
      <c r="F248" s="108" t="s">
        <v>190</v>
      </c>
      <c r="G248" s="108" t="s">
        <v>192</v>
      </c>
      <c r="H248" s="108" t="s">
        <v>190</v>
      </c>
    </row>
    <row r="249" customFormat="false" ht="15" hidden="false" customHeight="false" outlineLevel="0" collapsed="false">
      <c r="A249" s="108" t="n">
        <v>77235127462</v>
      </c>
      <c r="B249" s="108" t="n">
        <v>37</v>
      </c>
      <c r="C249" s="108" t="n">
        <v>0</v>
      </c>
      <c r="D249" s="108" t="s">
        <v>222</v>
      </c>
      <c r="E249" s="108" t="s">
        <v>447</v>
      </c>
      <c r="F249" s="108" t="s">
        <v>190</v>
      </c>
      <c r="G249" s="108" t="s">
        <v>192</v>
      </c>
      <c r="H249" s="108" t="s">
        <v>190</v>
      </c>
    </row>
    <row r="250" customFormat="false" ht="15" hidden="false" customHeight="false" outlineLevel="0" collapsed="false">
      <c r="A250" s="108" t="n">
        <v>77235127438</v>
      </c>
      <c r="B250" s="108" t="n">
        <v>21</v>
      </c>
      <c r="C250" s="108" t="n">
        <v>1</v>
      </c>
      <c r="D250" s="108" t="s">
        <v>353</v>
      </c>
      <c r="E250" s="108" t="s">
        <v>448</v>
      </c>
      <c r="F250" s="108" t="s">
        <v>190</v>
      </c>
      <c r="G250" s="108" t="s">
        <v>192</v>
      </c>
      <c r="H250" s="108" t="s">
        <v>190</v>
      </c>
    </row>
    <row r="251" customFormat="false" ht="15" hidden="false" customHeight="false" outlineLevel="0" collapsed="false">
      <c r="A251" s="108" t="s">
        <v>219</v>
      </c>
      <c r="B251" s="108" t="n">
        <v>36</v>
      </c>
      <c r="C251" s="108" t="n">
        <v>2</v>
      </c>
      <c r="D251" s="108" t="s">
        <v>193</v>
      </c>
      <c r="E251" s="108" t="s">
        <v>449</v>
      </c>
      <c r="F251" s="108" t="s">
        <v>190</v>
      </c>
      <c r="G251" s="108" t="s">
        <v>190</v>
      </c>
      <c r="H251" s="108" t="s">
        <v>190</v>
      </c>
    </row>
    <row r="252" customFormat="false" ht="15" hidden="false" customHeight="false" outlineLevel="0" collapsed="false">
      <c r="A252" s="108" t="n">
        <v>77235127259</v>
      </c>
      <c r="B252" s="108" t="n">
        <v>19</v>
      </c>
      <c r="C252" s="108" t="n">
        <v>2</v>
      </c>
      <c r="D252" s="108" t="s">
        <v>220</v>
      </c>
      <c r="E252" s="108" t="s">
        <v>450</v>
      </c>
      <c r="F252" s="108" t="s">
        <v>190</v>
      </c>
      <c r="G252" s="108" t="s">
        <v>192</v>
      </c>
      <c r="H252" s="108" t="s">
        <v>190</v>
      </c>
    </row>
    <row r="253" customFormat="false" ht="15" hidden="false" customHeight="false" outlineLevel="0" collapsed="false">
      <c r="A253" s="108" t="s">
        <v>219</v>
      </c>
      <c r="B253" s="108" t="n">
        <v>19</v>
      </c>
      <c r="C253" s="108" t="n">
        <v>1</v>
      </c>
      <c r="D253" s="108" t="s">
        <v>220</v>
      </c>
      <c r="E253" s="108" t="s">
        <v>451</v>
      </c>
      <c r="F253" s="108" t="s">
        <v>190</v>
      </c>
      <c r="G253" s="108" t="s">
        <v>190</v>
      </c>
      <c r="H253" s="108" t="s">
        <v>190</v>
      </c>
    </row>
    <row r="254" customFormat="false" ht="15" hidden="false" customHeight="false" outlineLevel="0" collapsed="false">
      <c r="A254" s="108" t="n">
        <v>77235126642</v>
      </c>
      <c r="B254" s="108" t="n">
        <v>20</v>
      </c>
      <c r="C254" s="108" t="n">
        <v>1</v>
      </c>
      <c r="D254" s="108" t="s">
        <v>452</v>
      </c>
      <c r="E254" s="108" t="s">
        <v>453</v>
      </c>
      <c r="F254" s="108" t="s">
        <v>190</v>
      </c>
      <c r="G254" s="108" t="s">
        <v>192</v>
      </c>
      <c r="H254" s="108" t="s">
        <v>192</v>
      </c>
    </row>
    <row r="255" customFormat="false" ht="15" hidden="false" customHeight="false" outlineLevel="0" collapsed="false">
      <c r="A255" s="108" t="n">
        <v>77235126624</v>
      </c>
      <c r="B255" s="108" t="n">
        <v>20</v>
      </c>
      <c r="C255" s="108" t="n">
        <v>1</v>
      </c>
      <c r="D255" s="108" t="s">
        <v>452</v>
      </c>
      <c r="E255" s="108" t="s">
        <v>454</v>
      </c>
      <c r="F255" s="108" t="s">
        <v>190</v>
      </c>
      <c r="G255" s="108" t="s">
        <v>190</v>
      </c>
      <c r="H255" s="108" t="s">
        <v>190</v>
      </c>
    </row>
    <row r="256" customFormat="false" ht="15" hidden="false" customHeight="false" outlineLevel="0" collapsed="false">
      <c r="A256" s="108" t="n">
        <v>77235126620</v>
      </c>
      <c r="B256" s="108" t="n">
        <v>19</v>
      </c>
      <c r="C256" s="108" t="n">
        <v>1</v>
      </c>
      <c r="D256" s="108" t="s">
        <v>220</v>
      </c>
      <c r="E256" s="108" t="s">
        <v>455</v>
      </c>
      <c r="F256" s="108" t="s">
        <v>190</v>
      </c>
      <c r="G256" s="108" t="s">
        <v>190</v>
      </c>
      <c r="H256" s="108" t="s">
        <v>190</v>
      </c>
    </row>
    <row r="257" customFormat="false" ht="15" hidden="false" customHeight="false" outlineLevel="0" collapsed="false">
      <c r="A257" s="108" t="n">
        <v>77235126617</v>
      </c>
      <c r="B257" s="108" t="n">
        <v>20</v>
      </c>
      <c r="C257" s="108" t="n">
        <v>1</v>
      </c>
      <c r="D257" s="108" t="s">
        <v>452</v>
      </c>
      <c r="E257" s="108" t="s">
        <v>456</v>
      </c>
      <c r="F257" s="108" t="s">
        <v>190</v>
      </c>
      <c r="G257" s="108" t="s">
        <v>190</v>
      </c>
      <c r="H257" s="108" t="s">
        <v>190</v>
      </c>
    </row>
    <row r="258" customFormat="false" ht="15" hidden="false" customHeight="false" outlineLevel="0" collapsed="false">
      <c r="A258" s="108" t="n">
        <v>77235126616</v>
      </c>
      <c r="B258" s="108" t="n">
        <v>20</v>
      </c>
      <c r="C258" s="108" t="n">
        <v>1</v>
      </c>
      <c r="D258" s="108" t="s">
        <v>452</v>
      </c>
      <c r="E258" s="108" t="s">
        <v>457</v>
      </c>
      <c r="F258" s="108" t="s">
        <v>190</v>
      </c>
      <c r="G258" s="108" t="s">
        <v>190</v>
      </c>
      <c r="H258" s="108" t="s">
        <v>190</v>
      </c>
    </row>
    <row r="259" customFormat="false" ht="15" hidden="false" customHeight="false" outlineLevel="0" collapsed="false">
      <c r="A259" s="108" t="s">
        <v>219</v>
      </c>
      <c r="B259" s="108" t="n">
        <v>19</v>
      </c>
      <c r="C259" s="108" t="n">
        <v>1</v>
      </c>
      <c r="D259" s="108" t="s">
        <v>220</v>
      </c>
      <c r="E259" s="108" t="s">
        <v>458</v>
      </c>
      <c r="F259" s="108" t="s">
        <v>190</v>
      </c>
      <c r="G259" s="108" t="s">
        <v>190</v>
      </c>
      <c r="H259" s="108" t="s">
        <v>190</v>
      </c>
    </row>
    <row r="260" customFormat="false" ht="15" hidden="false" customHeight="false" outlineLevel="0" collapsed="false">
      <c r="A260" s="108" t="n">
        <v>77235126581</v>
      </c>
      <c r="B260" s="108" t="n">
        <v>20</v>
      </c>
      <c r="C260" s="108" t="n">
        <v>0</v>
      </c>
      <c r="D260" s="108" t="s">
        <v>452</v>
      </c>
      <c r="E260" s="108" t="s">
        <v>459</v>
      </c>
      <c r="F260" s="108" t="s">
        <v>190</v>
      </c>
      <c r="G260" s="108" t="s">
        <v>192</v>
      </c>
      <c r="H260" s="108" t="s">
        <v>192</v>
      </c>
    </row>
    <row r="261" customFormat="false" ht="15" hidden="false" customHeight="false" outlineLevel="0" collapsed="false">
      <c r="A261" s="108" t="n">
        <v>77235126555</v>
      </c>
      <c r="B261" s="108" t="n">
        <v>19</v>
      </c>
      <c r="C261" s="108" t="n">
        <v>1</v>
      </c>
      <c r="D261" s="108" t="s">
        <v>220</v>
      </c>
      <c r="E261" s="108" t="s">
        <v>460</v>
      </c>
      <c r="F261" s="108" t="s">
        <v>190</v>
      </c>
      <c r="G261" s="108" t="s">
        <v>192</v>
      </c>
      <c r="H261" s="108" t="s">
        <v>190</v>
      </c>
    </row>
    <row r="262" customFormat="false" ht="15" hidden="false" customHeight="false" outlineLevel="0" collapsed="false">
      <c r="A262" s="108" t="n">
        <v>77235126536</v>
      </c>
      <c r="B262" s="108" t="n">
        <v>19</v>
      </c>
      <c r="C262" s="108" t="n">
        <v>1</v>
      </c>
      <c r="D262" s="108" t="s">
        <v>220</v>
      </c>
      <c r="E262" s="108" t="s">
        <v>461</v>
      </c>
      <c r="F262" s="108" t="s">
        <v>190</v>
      </c>
      <c r="G262" s="108" t="s">
        <v>192</v>
      </c>
      <c r="H262" s="108" t="s">
        <v>190</v>
      </c>
    </row>
    <row r="263" customFormat="false" ht="15" hidden="false" customHeight="false" outlineLevel="0" collapsed="false">
      <c r="A263" s="108" t="n">
        <v>77235126533</v>
      </c>
      <c r="B263" s="108" t="n">
        <v>20</v>
      </c>
      <c r="C263" s="108" t="n">
        <v>1</v>
      </c>
      <c r="D263" s="108" t="s">
        <v>452</v>
      </c>
      <c r="E263" s="108" t="s">
        <v>462</v>
      </c>
      <c r="F263" s="108" t="s">
        <v>190</v>
      </c>
      <c r="G263" s="108" t="s">
        <v>192</v>
      </c>
      <c r="H263" s="108" t="s">
        <v>190</v>
      </c>
    </row>
    <row r="264" customFormat="false" ht="15" hidden="false" customHeight="false" outlineLevel="0" collapsed="false">
      <c r="A264" s="108" t="n">
        <v>77235126530</v>
      </c>
      <c r="B264" s="108" t="n">
        <v>20</v>
      </c>
      <c r="C264" s="108" t="n">
        <v>1</v>
      </c>
      <c r="D264" s="108" t="s">
        <v>452</v>
      </c>
      <c r="E264" s="108" t="s">
        <v>463</v>
      </c>
      <c r="F264" s="108" t="s">
        <v>190</v>
      </c>
      <c r="G264" s="108" t="s">
        <v>190</v>
      </c>
      <c r="H264" s="108" t="s">
        <v>190</v>
      </c>
    </row>
    <row r="265" customFormat="false" ht="15" hidden="false" customHeight="false" outlineLevel="0" collapsed="false">
      <c r="A265" s="108" t="n">
        <v>77235126525</v>
      </c>
      <c r="B265" s="108" t="n">
        <v>37</v>
      </c>
      <c r="C265" s="108" t="n">
        <v>1</v>
      </c>
      <c r="D265" s="108" t="s">
        <v>222</v>
      </c>
      <c r="E265" s="108" t="s">
        <v>464</v>
      </c>
      <c r="F265" s="108" t="s">
        <v>190</v>
      </c>
      <c r="G265" s="108" t="s">
        <v>190</v>
      </c>
      <c r="H265" s="108" t="s">
        <v>190</v>
      </c>
    </row>
    <row r="266" customFormat="false" ht="15" hidden="false" customHeight="false" outlineLevel="0" collapsed="false">
      <c r="A266" s="108" t="n">
        <v>77235126444</v>
      </c>
      <c r="B266" s="108" t="n">
        <v>19</v>
      </c>
      <c r="C266" s="108" t="n">
        <v>1</v>
      </c>
      <c r="D266" s="108" t="s">
        <v>220</v>
      </c>
      <c r="E266" s="108" t="s">
        <v>465</v>
      </c>
      <c r="F266" s="108" t="s">
        <v>190</v>
      </c>
      <c r="G266" s="108" t="s">
        <v>192</v>
      </c>
      <c r="H266" s="108" t="s">
        <v>190</v>
      </c>
    </row>
    <row r="267" customFormat="false" ht="15" hidden="false" customHeight="false" outlineLevel="0" collapsed="false">
      <c r="A267" s="108" t="n">
        <v>77235126425</v>
      </c>
      <c r="B267" s="108" t="n">
        <v>20</v>
      </c>
      <c r="C267" s="108" t="n">
        <v>1</v>
      </c>
      <c r="D267" s="108" t="s">
        <v>452</v>
      </c>
      <c r="E267" s="108" t="s">
        <v>466</v>
      </c>
      <c r="F267" s="108" t="s">
        <v>190</v>
      </c>
      <c r="G267" s="108" t="s">
        <v>190</v>
      </c>
      <c r="H267" s="108" t="s">
        <v>190</v>
      </c>
    </row>
    <row r="268" customFormat="false" ht="15" hidden="false" customHeight="false" outlineLevel="0" collapsed="false">
      <c r="A268" s="108" t="n">
        <v>77235126408</v>
      </c>
      <c r="B268" s="108" t="n">
        <v>19</v>
      </c>
      <c r="C268" s="108" t="n">
        <v>2</v>
      </c>
      <c r="D268" s="108" t="s">
        <v>220</v>
      </c>
      <c r="E268" s="108" t="s">
        <v>467</v>
      </c>
      <c r="F268" s="108" t="s">
        <v>190</v>
      </c>
      <c r="G268" s="108" t="s">
        <v>190</v>
      </c>
      <c r="H268" s="108" t="s">
        <v>190</v>
      </c>
    </row>
    <row r="269" customFormat="false" ht="15" hidden="false" customHeight="false" outlineLevel="0" collapsed="false">
      <c r="A269" s="108" t="n">
        <v>77235126388</v>
      </c>
      <c r="B269" s="108" t="n">
        <v>20</v>
      </c>
      <c r="C269" s="108" t="n">
        <v>1</v>
      </c>
      <c r="D269" s="108" t="s">
        <v>452</v>
      </c>
      <c r="E269" s="108" t="s">
        <v>468</v>
      </c>
      <c r="F269" s="108" t="s">
        <v>190</v>
      </c>
      <c r="G269" s="108" t="s">
        <v>190</v>
      </c>
      <c r="H269" s="108" t="s">
        <v>190</v>
      </c>
    </row>
    <row r="270" customFormat="false" ht="15" hidden="false" customHeight="false" outlineLevel="0" collapsed="false">
      <c r="A270" s="108" t="n">
        <v>77235126362</v>
      </c>
      <c r="B270" s="108" t="n">
        <v>19</v>
      </c>
      <c r="C270" s="108" t="n">
        <v>1</v>
      </c>
      <c r="D270" s="108" t="s">
        <v>220</v>
      </c>
      <c r="E270" s="108" t="s">
        <v>469</v>
      </c>
      <c r="F270" s="108" t="s">
        <v>190</v>
      </c>
      <c r="G270" s="108" t="s">
        <v>190</v>
      </c>
      <c r="H270" s="108" t="s">
        <v>190</v>
      </c>
    </row>
    <row r="271" customFormat="false" ht="15" hidden="false" customHeight="false" outlineLevel="0" collapsed="false">
      <c r="A271" s="108" t="n">
        <v>77235126317</v>
      </c>
      <c r="B271" s="108" t="n">
        <v>20</v>
      </c>
      <c r="C271" s="108" t="n">
        <v>1</v>
      </c>
      <c r="D271" s="108" t="s">
        <v>452</v>
      </c>
      <c r="E271" s="108" t="s">
        <v>470</v>
      </c>
      <c r="F271" s="108" t="s">
        <v>190</v>
      </c>
      <c r="G271" s="108" t="s">
        <v>190</v>
      </c>
      <c r="H271" s="108" t="s">
        <v>190</v>
      </c>
    </row>
    <row r="272" customFormat="false" ht="15" hidden="false" customHeight="false" outlineLevel="0" collapsed="false">
      <c r="A272" s="108" t="n">
        <v>77235126290</v>
      </c>
      <c r="B272" s="108" t="n">
        <v>21</v>
      </c>
      <c r="C272" s="108" t="n">
        <v>1</v>
      </c>
      <c r="D272" s="108" t="s">
        <v>353</v>
      </c>
      <c r="E272" s="108" t="s">
        <v>471</v>
      </c>
      <c r="F272" s="108" t="s">
        <v>190</v>
      </c>
      <c r="G272" s="108" t="s">
        <v>190</v>
      </c>
      <c r="H272" s="108" t="s">
        <v>190</v>
      </c>
    </row>
    <row r="273" customFormat="false" ht="15" hidden="false" customHeight="false" outlineLevel="0" collapsed="false">
      <c r="A273" s="108" t="n">
        <v>77235126257</v>
      </c>
      <c r="B273" s="108" t="n">
        <v>37</v>
      </c>
      <c r="C273" s="108" t="n">
        <v>0</v>
      </c>
      <c r="D273" s="108" t="s">
        <v>222</v>
      </c>
      <c r="E273" s="108" t="s">
        <v>472</v>
      </c>
      <c r="F273" s="108" t="s">
        <v>190</v>
      </c>
      <c r="G273" s="108" t="s">
        <v>190</v>
      </c>
      <c r="H273" s="108" t="s">
        <v>190</v>
      </c>
    </row>
    <row r="274" customFormat="false" ht="15" hidden="false" customHeight="false" outlineLevel="0" collapsed="false">
      <c r="A274" s="108" t="n">
        <v>77235126245</v>
      </c>
      <c r="B274" s="108" t="n">
        <v>21</v>
      </c>
      <c r="C274" s="108" t="n">
        <v>1</v>
      </c>
      <c r="D274" s="108" t="s">
        <v>353</v>
      </c>
      <c r="E274" s="108" t="s">
        <v>473</v>
      </c>
      <c r="F274" s="108" t="s">
        <v>190</v>
      </c>
      <c r="G274" s="108" t="s">
        <v>192</v>
      </c>
      <c r="H274" s="108" t="s">
        <v>192</v>
      </c>
    </row>
    <row r="275" customFormat="false" ht="15" hidden="false" customHeight="false" outlineLevel="0" collapsed="false">
      <c r="A275" s="108" t="n">
        <v>77235126225</v>
      </c>
      <c r="B275" s="108" t="n">
        <v>21</v>
      </c>
      <c r="C275" s="108" t="n">
        <v>1</v>
      </c>
      <c r="D275" s="108" t="s">
        <v>353</v>
      </c>
      <c r="E275" s="108" t="s">
        <v>474</v>
      </c>
      <c r="F275" s="108" t="s">
        <v>190</v>
      </c>
      <c r="G275" s="108" t="s">
        <v>192</v>
      </c>
      <c r="H275" s="108" t="s">
        <v>192</v>
      </c>
    </row>
    <row r="276" customFormat="false" ht="15" hidden="false" customHeight="false" outlineLevel="0" collapsed="false">
      <c r="A276" s="108" t="n">
        <v>77235126207</v>
      </c>
      <c r="B276" s="108" t="n">
        <v>21</v>
      </c>
      <c r="C276" s="108" t="n">
        <v>2</v>
      </c>
      <c r="D276" s="108" t="s">
        <v>353</v>
      </c>
      <c r="E276" s="108" t="s">
        <v>475</v>
      </c>
      <c r="F276" s="108" t="s">
        <v>190</v>
      </c>
      <c r="G276" s="108" t="s">
        <v>190</v>
      </c>
      <c r="H276" s="108" t="s">
        <v>190</v>
      </c>
    </row>
    <row r="277" customFormat="false" ht="15" hidden="false" customHeight="false" outlineLevel="0" collapsed="false">
      <c r="A277" s="108" t="n">
        <v>77235126198</v>
      </c>
      <c r="B277" s="108" t="n">
        <v>37</v>
      </c>
      <c r="C277" s="108" t="n">
        <v>0</v>
      </c>
      <c r="D277" s="108" t="s">
        <v>222</v>
      </c>
      <c r="E277" s="108" t="s">
        <v>476</v>
      </c>
      <c r="F277" s="108" t="s">
        <v>190</v>
      </c>
      <c r="G277" s="108" t="s">
        <v>192</v>
      </c>
      <c r="H277" s="108" t="s">
        <v>190</v>
      </c>
    </row>
    <row r="278" customFormat="false" ht="15" hidden="false" customHeight="false" outlineLevel="0" collapsed="false">
      <c r="A278" s="108" t="n">
        <v>77235126190</v>
      </c>
      <c r="B278" s="108" t="n">
        <v>21</v>
      </c>
      <c r="C278" s="108" t="n">
        <v>0</v>
      </c>
      <c r="D278" s="108" t="s">
        <v>353</v>
      </c>
      <c r="E278" s="108" t="s">
        <v>477</v>
      </c>
      <c r="F278" s="108" t="s">
        <v>190</v>
      </c>
      <c r="G278" s="108" t="s">
        <v>190</v>
      </c>
      <c r="H278" s="108" t="s">
        <v>190</v>
      </c>
    </row>
    <row r="279" customFormat="false" ht="15" hidden="false" customHeight="false" outlineLevel="0" collapsed="false">
      <c r="A279" s="108" t="n">
        <v>77235126188</v>
      </c>
      <c r="B279" s="108" t="n">
        <v>21</v>
      </c>
      <c r="C279" s="108" t="n">
        <v>1</v>
      </c>
      <c r="D279" s="108" t="s">
        <v>353</v>
      </c>
      <c r="E279" s="108" t="s">
        <v>478</v>
      </c>
      <c r="F279" s="108" t="s">
        <v>190</v>
      </c>
      <c r="G279" s="108" t="s">
        <v>192</v>
      </c>
      <c r="H279" s="108" t="s">
        <v>192</v>
      </c>
    </row>
    <row r="280" customFormat="false" ht="15" hidden="false" customHeight="false" outlineLevel="0" collapsed="false">
      <c r="A280" s="108" t="n">
        <v>77235126184</v>
      </c>
      <c r="B280" s="108" t="n">
        <v>21</v>
      </c>
      <c r="C280" s="108" t="n">
        <v>0</v>
      </c>
      <c r="D280" s="108" t="s">
        <v>353</v>
      </c>
      <c r="E280" s="108" t="s">
        <v>479</v>
      </c>
      <c r="F280" s="108" t="s">
        <v>190</v>
      </c>
      <c r="G280" s="108" t="s">
        <v>192</v>
      </c>
      <c r="H280" s="108" t="s">
        <v>192</v>
      </c>
    </row>
    <row r="281" customFormat="false" ht="15" hidden="false" customHeight="false" outlineLevel="0" collapsed="false">
      <c r="A281" s="108" t="n">
        <v>77235126181</v>
      </c>
      <c r="B281" s="108" t="n">
        <v>21</v>
      </c>
      <c r="C281" s="108" t="n">
        <v>1</v>
      </c>
      <c r="D281" s="108" t="s">
        <v>353</v>
      </c>
      <c r="E281" s="108" t="s">
        <v>480</v>
      </c>
      <c r="F281" s="108" t="s">
        <v>190</v>
      </c>
      <c r="G281" s="108" t="s">
        <v>192</v>
      </c>
      <c r="H281" s="108" t="s">
        <v>190</v>
      </c>
    </row>
    <row r="282" customFormat="false" ht="15" hidden="false" customHeight="false" outlineLevel="0" collapsed="false">
      <c r="A282" s="108" t="n">
        <v>77235126180</v>
      </c>
      <c r="B282" s="108" t="n">
        <v>21</v>
      </c>
      <c r="C282" s="108" t="n">
        <v>1</v>
      </c>
      <c r="D282" s="108" t="s">
        <v>353</v>
      </c>
      <c r="E282" s="108" t="s">
        <v>481</v>
      </c>
      <c r="F282" s="108" t="s">
        <v>190</v>
      </c>
      <c r="G282" s="108" t="s">
        <v>192</v>
      </c>
      <c r="H282" s="108" t="s">
        <v>190</v>
      </c>
    </row>
    <row r="283" customFormat="false" ht="15" hidden="false" customHeight="false" outlineLevel="0" collapsed="false">
      <c r="A283" s="108" t="n">
        <v>77235126178</v>
      </c>
      <c r="B283" s="108" t="n">
        <v>21</v>
      </c>
      <c r="C283" s="108" t="n">
        <v>1</v>
      </c>
      <c r="D283" s="108" t="s">
        <v>353</v>
      </c>
      <c r="E283" s="108" t="s">
        <v>482</v>
      </c>
      <c r="F283" s="108" t="s">
        <v>190</v>
      </c>
      <c r="G283" s="108" t="s">
        <v>192</v>
      </c>
      <c r="H283" s="108" t="s">
        <v>190</v>
      </c>
    </row>
    <row r="284" customFormat="false" ht="15" hidden="false" customHeight="false" outlineLevel="0" collapsed="false">
      <c r="A284" s="108" t="n">
        <v>77235126166</v>
      </c>
      <c r="B284" s="108" t="n">
        <v>21</v>
      </c>
      <c r="C284" s="108" t="n">
        <v>0</v>
      </c>
      <c r="D284" s="108" t="s">
        <v>353</v>
      </c>
      <c r="E284" s="108" t="s">
        <v>483</v>
      </c>
      <c r="F284" s="108" t="s">
        <v>190</v>
      </c>
      <c r="G284" s="108" t="s">
        <v>192</v>
      </c>
      <c r="H284" s="108" t="s">
        <v>190</v>
      </c>
    </row>
    <row r="285" customFormat="false" ht="15" hidden="false" customHeight="false" outlineLevel="0" collapsed="false">
      <c r="A285" s="108" t="n">
        <v>77235126150</v>
      </c>
      <c r="B285" s="108" t="n">
        <v>21</v>
      </c>
      <c r="C285" s="108" t="n">
        <v>1</v>
      </c>
      <c r="D285" s="108" t="s">
        <v>353</v>
      </c>
      <c r="E285" s="108" t="s">
        <v>484</v>
      </c>
      <c r="F285" s="108" t="s">
        <v>190</v>
      </c>
      <c r="G285" s="108" t="s">
        <v>190</v>
      </c>
      <c r="H285" s="108" t="s">
        <v>190</v>
      </c>
    </row>
    <row r="286" customFormat="false" ht="15" hidden="false" customHeight="false" outlineLevel="0" collapsed="false">
      <c r="A286" s="108" t="n">
        <v>77235126138</v>
      </c>
      <c r="B286" s="108" t="n">
        <v>37</v>
      </c>
      <c r="C286" s="108" t="n">
        <v>1</v>
      </c>
      <c r="D286" s="108" t="s">
        <v>222</v>
      </c>
      <c r="E286" s="108" t="s">
        <v>485</v>
      </c>
      <c r="F286" s="108" t="s">
        <v>190</v>
      </c>
      <c r="G286" s="108" t="s">
        <v>190</v>
      </c>
      <c r="H286" s="108" t="s">
        <v>190</v>
      </c>
    </row>
    <row r="287" customFormat="false" ht="15" hidden="false" customHeight="false" outlineLevel="0" collapsed="false">
      <c r="A287" s="108" t="n">
        <v>77235126134</v>
      </c>
      <c r="B287" s="108" t="n">
        <v>21</v>
      </c>
      <c r="C287" s="108" t="n">
        <v>0</v>
      </c>
      <c r="D287" s="108" t="s">
        <v>353</v>
      </c>
      <c r="E287" s="108" t="s">
        <v>486</v>
      </c>
      <c r="F287" s="108" t="s">
        <v>190</v>
      </c>
      <c r="G287" s="108" t="s">
        <v>192</v>
      </c>
      <c r="H287" s="108" t="s">
        <v>192</v>
      </c>
    </row>
    <row r="288" customFormat="false" ht="15" hidden="false" customHeight="false" outlineLevel="0" collapsed="false">
      <c r="A288" s="108" t="s">
        <v>219</v>
      </c>
      <c r="B288" s="108" t="n">
        <v>9</v>
      </c>
      <c r="C288" s="108" t="n">
        <v>1</v>
      </c>
      <c r="D288" s="108" t="s">
        <v>188</v>
      </c>
      <c r="E288" s="108" t="s">
        <v>487</v>
      </c>
      <c r="F288" s="108" t="s">
        <v>190</v>
      </c>
      <c r="G288" s="108" t="s">
        <v>190</v>
      </c>
      <c r="H288" s="108" t="s">
        <v>190</v>
      </c>
    </row>
    <row r="289" customFormat="false" ht="15" hidden="false" customHeight="false" outlineLevel="0" collapsed="false">
      <c r="A289" s="108" t="n">
        <v>77235126095</v>
      </c>
      <c r="B289" s="108" t="n">
        <v>37</v>
      </c>
      <c r="C289" s="108" t="n">
        <v>0</v>
      </c>
      <c r="D289" s="108" t="s">
        <v>222</v>
      </c>
      <c r="E289" s="108" t="s">
        <v>488</v>
      </c>
      <c r="F289" s="108" t="s">
        <v>190</v>
      </c>
      <c r="G289" s="108" t="s">
        <v>190</v>
      </c>
      <c r="H289" s="108" t="s">
        <v>190</v>
      </c>
    </row>
    <row r="290" customFormat="false" ht="15" hidden="false" customHeight="false" outlineLevel="0" collapsed="false">
      <c r="A290" s="108" t="n">
        <v>77235126067</v>
      </c>
      <c r="B290" s="108" t="n">
        <v>37</v>
      </c>
      <c r="C290" s="108" t="n">
        <v>2</v>
      </c>
      <c r="D290" s="108" t="s">
        <v>222</v>
      </c>
      <c r="E290" s="108" t="s">
        <v>489</v>
      </c>
      <c r="F290" s="108" t="s">
        <v>190</v>
      </c>
      <c r="G290" s="108" t="s">
        <v>190</v>
      </c>
      <c r="H290" s="108" t="s">
        <v>190</v>
      </c>
    </row>
    <row r="291" customFormat="false" ht="15" hidden="false" customHeight="false" outlineLevel="0" collapsed="false">
      <c r="A291" s="108" t="n">
        <v>77235126018</v>
      </c>
      <c r="B291" s="108" t="n">
        <v>37</v>
      </c>
      <c r="C291" s="108" t="n">
        <v>0</v>
      </c>
      <c r="D291" s="108" t="s">
        <v>222</v>
      </c>
      <c r="E291" s="108" t="s">
        <v>490</v>
      </c>
      <c r="F291" s="108" t="s">
        <v>190</v>
      </c>
      <c r="G291" s="108" t="s">
        <v>192</v>
      </c>
      <c r="H291" s="108" t="s">
        <v>192</v>
      </c>
    </row>
    <row r="292" customFormat="false" ht="15" hidden="false" customHeight="false" outlineLevel="0" collapsed="false">
      <c r="A292" s="108" t="n">
        <v>77235126000</v>
      </c>
      <c r="B292" s="108" t="n">
        <v>37</v>
      </c>
      <c r="C292" s="108" t="n">
        <v>0</v>
      </c>
      <c r="D292" s="108" t="s">
        <v>222</v>
      </c>
      <c r="E292" s="108" t="s">
        <v>491</v>
      </c>
      <c r="F292" s="108" t="s">
        <v>190</v>
      </c>
      <c r="G292" s="108" t="s">
        <v>192</v>
      </c>
      <c r="H292" s="108" t="s">
        <v>190</v>
      </c>
    </row>
    <row r="293" customFormat="false" ht="15" hidden="false" customHeight="false" outlineLevel="0" collapsed="false">
      <c r="A293" s="108" t="n">
        <v>77235125999</v>
      </c>
      <c r="B293" s="108" t="n">
        <v>21</v>
      </c>
      <c r="C293" s="108" t="n">
        <v>0</v>
      </c>
      <c r="D293" s="108" t="s">
        <v>353</v>
      </c>
      <c r="E293" s="108" t="s">
        <v>492</v>
      </c>
      <c r="F293" s="108" t="s">
        <v>190</v>
      </c>
      <c r="G293" s="108" t="s">
        <v>190</v>
      </c>
      <c r="H293" s="108" t="s">
        <v>190</v>
      </c>
    </row>
    <row r="294" customFormat="false" ht="15" hidden="false" customHeight="false" outlineLevel="0" collapsed="false">
      <c r="A294" s="108" t="n">
        <v>77235125992</v>
      </c>
      <c r="B294" s="108" t="n">
        <v>21</v>
      </c>
      <c r="C294" s="108" t="n">
        <v>1</v>
      </c>
      <c r="D294" s="108" t="s">
        <v>353</v>
      </c>
      <c r="E294" s="108" t="s">
        <v>493</v>
      </c>
      <c r="F294" s="108" t="s">
        <v>190</v>
      </c>
      <c r="G294" s="108" t="s">
        <v>192</v>
      </c>
      <c r="H294" s="108" t="s">
        <v>192</v>
      </c>
    </row>
    <row r="295" customFormat="false" ht="15" hidden="false" customHeight="false" outlineLevel="0" collapsed="false">
      <c r="A295" s="108" t="n">
        <v>77235125957</v>
      </c>
      <c r="B295" s="108" t="n">
        <v>37</v>
      </c>
      <c r="C295" s="108" t="n">
        <v>0</v>
      </c>
      <c r="D295" s="108" t="s">
        <v>222</v>
      </c>
      <c r="E295" s="108" t="s">
        <v>494</v>
      </c>
      <c r="F295" s="108" t="s">
        <v>190</v>
      </c>
      <c r="G295" s="108" t="s">
        <v>192</v>
      </c>
      <c r="H295" s="108" t="s">
        <v>190</v>
      </c>
    </row>
    <row r="296" customFormat="false" ht="15" hidden="false" customHeight="false" outlineLevel="0" collapsed="false">
      <c r="A296" s="108" t="n">
        <v>77235125946</v>
      </c>
      <c r="B296" s="108" t="n">
        <v>21</v>
      </c>
      <c r="C296" s="108" t="n">
        <v>0</v>
      </c>
      <c r="D296" s="108" t="s">
        <v>353</v>
      </c>
      <c r="E296" s="108" t="s">
        <v>495</v>
      </c>
      <c r="F296" s="108" t="s">
        <v>190</v>
      </c>
      <c r="G296" s="108" t="s">
        <v>190</v>
      </c>
      <c r="H296" s="108" t="s">
        <v>190</v>
      </c>
    </row>
    <row r="297" customFormat="false" ht="15" hidden="false" customHeight="false" outlineLevel="0" collapsed="false">
      <c r="A297" s="108" t="n">
        <v>77235125932</v>
      </c>
      <c r="B297" s="108" t="n">
        <v>21</v>
      </c>
      <c r="C297" s="108" t="n">
        <v>0</v>
      </c>
      <c r="D297" s="108" t="s">
        <v>353</v>
      </c>
      <c r="E297" s="108" t="s">
        <v>496</v>
      </c>
      <c r="F297" s="108" t="s">
        <v>190</v>
      </c>
      <c r="G297" s="108" t="s">
        <v>190</v>
      </c>
      <c r="H297" s="108" t="s">
        <v>190</v>
      </c>
    </row>
    <row r="298" customFormat="false" ht="15" hidden="false" customHeight="false" outlineLevel="0" collapsed="false">
      <c r="A298" s="108" t="n">
        <v>77235125931</v>
      </c>
      <c r="B298" s="108" t="n">
        <v>37</v>
      </c>
      <c r="C298" s="108" t="n">
        <v>0</v>
      </c>
      <c r="D298" s="108" t="s">
        <v>222</v>
      </c>
      <c r="E298" s="108" t="s">
        <v>497</v>
      </c>
      <c r="F298" s="108" t="s">
        <v>190</v>
      </c>
      <c r="G298" s="108" t="s">
        <v>192</v>
      </c>
      <c r="H298" s="108" t="s">
        <v>190</v>
      </c>
    </row>
    <row r="299" customFormat="false" ht="15" hidden="false" customHeight="false" outlineLevel="0" collapsed="false">
      <c r="A299" s="108" t="n">
        <v>77235125914</v>
      </c>
      <c r="B299" s="108" t="n">
        <v>21</v>
      </c>
      <c r="C299" s="108" t="n">
        <v>2</v>
      </c>
      <c r="D299" s="108" t="s">
        <v>353</v>
      </c>
      <c r="E299" s="108" t="s">
        <v>498</v>
      </c>
      <c r="F299" s="108" t="s">
        <v>190</v>
      </c>
      <c r="G299" s="108" t="s">
        <v>192</v>
      </c>
      <c r="H299" s="108" t="s">
        <v>190</v>
      </c>
    </row>
    <row r="300" customFormat="false" ht="15" hidden="false" customHeight="false" outlineLevel="0" collapsed="false">
      <c r="A300" s="108" t="n">
        <v>77235125908</v>
      </c>
      <c r="B300" s="108" t="n">
        <v>37</v>
      </c>
      <c r="C300" s="108" t="n">
        <v>0</v>
      </c>
      <c r="D300" s="108" t="s">
        <v>222</v>
      </c>
      <c r="E300" s="108" t="s">
        <v>499</v>
      </c>
      <c r="F300" s="108" t="s">
        <v>190</v>
      </c>
      <c r="G300" s="108" t="s">
        <v>192</v>
      </c>
      <c r="H300" s="108" t="s">
        <v>192</v>
      </c>
    </row>
    <row r="301" customFormat="false" ht="15" hidden="false" customHeight="false" outlineLevel="0" collapsed="false">
      <c r="A301" s="108" t="n">
        <v>77235125907</v>
      </c>
      <c r="B301" s="108" t="n">
        <v>21</v>
      </c>
      <c r="C301" s="108" t="n">
        <v>1</v>
      </c>
      <c r="D301" s="108" t="s">
        <v>353</v>
      </c>
      <c r="E301" s="108" t="s">
        <v>500</v>
      </c>
      <c r="F301" s="108" t="s">
        <v>190</v>
      </c>
      <c r="G301" s="108" t="s">
        <v>190</v>
      </c>
      <c r="H301" s="108" t="s">
        <v>190</v>
      </c>
    </row>
    <row r="302" customFormat="false" ht="15" hidden="false" customHeight="false" outlineLevel="0" collapsed="false">
      <c r="A302" s="108" t="n">
        <v>77235125900</v>
      </c>
      <c r="B302" s="108" t="n">
        <v>37</v>
      </c>
      <c r="C302" s="108" t="n">
        <v>0</v>
      </c>
      <c r="D302" s="108" t="s">
        <v>222</v>
      </c>
      <c r="E302" s="108" t="s">
        <v>501</v>
      </c>
      <c r="F302" s="108" t="s">
        <v>190</v>
      </c>
      <c r="G302" s="108" t="s">
        <v>192</v>
      </c>
      <c r="H302" s="108" t="s">
        <v>190</v>
      </c>
    </row>
    <row r="303" customFormat="false" ht="15" hidden="false" customHeight="false" outlineLevel="0" collapsed="false">
      <c r="A303" s="108" t="n">
        <v>77235125896</v>
      </c>
      <c r="B303" s="108" t="n">
        <v>21</v>
      </c>
      <c r="C303" s="108" t="n">
        <v>0</v>
      </c>
      <c r="D303" s="108" t="s">
        <v>353</v>
      </c>
      <c r="E303" s="108" t="s">
        <v>502</v>
      </c>
      <c r="F303" s="108" t="s">
        <v>190</v>
      </c>
      <c r="G303" s="108" t="s">
        <v>190</v>
      </c>
      <c r="H303" s="108" t="s">
        <v>190</v>
      </c>
    </row>
    <row r="304" customFormat="false" ht="15" hidden="false" customHeight="false" outlineLevel="0" collapsed="false">
      <c r="A304" s="108" t="n">
        <v>77235125895</v>
      </c>
      <c r="B304" s="108" t="n">
        <v>37</v>
      </c>
      <c r="C304" s="108" t="n">
        <v>0</v>
      </c>
      <c r="D304" s="108" t="s">
        <v>222</v>
      </c>
      <c r="E304" s="108" t="s">
        <v>503</v>
      </c>
      <c r="F304" s="108" t="s">
        <v>190</v>
      </c>
      <c r="G304" s="108" t="s">
        <v>192</v>
      </c>
      <c r="H304" s="108" t="s">
        <v>192</v>
      </c>
    </row>
    <row r="305" customFormat="false" ht="15" hidden="false" customHeight="false" outlineLevel="0" collapsed="false">
      <c r="A305" s="108" t="n">
        <v>77235125893</v>
      </c>
      <c r="B305" s="108" t="n">
        <v>21</v>
      </c>
      <c r="C305" s="108" t="n">
        <v>1</v>
      </c>
      <c r="D305" s="108" t="s">
        <v>353</v>
      </c>
      <c r="E305" s="108" t="s">
        <v>504</v>
      </c>
      <c r="F305" s="108" t="s">
        <v>190</v>
      </c>
      <c r="G305" s="108" t="s">
        <v>190</v>
      </c>
      <c r="H305" s="108" t="s">
        <v>190</v>
      </c>
    </row>
    <row r="306" customFormat="false" ht="15" hidden="false" customHeight="false" outlineLevel="0" collapsed="false">
      <c r="A306" s="108" t="n">
        <v>77235125870</v>
      </c>
      <c r="B306" s="108" t="n">
        <v>21</v>
      </c>
      <c r="C306" s="108" t="n">
        <v>1</v>
      </c>
      <c r="D306" s="108" t="s">
        <v>353</v>
      </c>
      <c r="E306" s="108" t="s">
        <v>505</v>
      </c>
      <c r="F306" s="108" t="s">
        <v>190</v>
      </c>
      <c r="G306" s="108" t="s">
        <v>192</v>
      </c>
      <c r="H306" s="108" t="s">
        <v>192</v>
      </c>
    </row>
    <row r="307" customFormat="false" ht="15" hidden="false" customHeight="false" outlineLevel="0" collapsed="false">
      <c r="A307" s="108" t="n">
        <v>77235125861</v>
      </c>
      <c r="B307" s="108" t="n">
        <v>21</v>
      </c>
      <c r="C307" s="108" t="n">
        <v>1</v>
      </c>
      <c r="D307" s="108" t="s">
        <v>353</v>
      </c>
      <c r="E307" s="108" t="s">
        <v>506</v>
      </c>
      <c r="F307" s="108" t="s">
        <v>190</v>
      </c>
      <c r="G307" s="108" t="s">
        <v>190</v>
      </c>
      <c r="H307" s="108" t="s">
        <v>190</v>
      </c>
    </row>
    <row r="308" customFormat="false" ht="15" hidden="false" customHeight="false" outlineLevel="0" collapsed="false">
      <c r="A308" s="108" t="n">
        <v>77235125816</v>
      </c>
      <c r="B308" s="108" t="n">
        <v>21</v>
      </c>
      <c r="C308" s="108" t="n">
        <v>0</v>
      </c>
      <c r="D308" s="108" t="s">
        <v>353</v>
      </c>
      <c r="E308" s="108" t="s">
        <v>507</v>
      </c>
      <c r="F308" s="108" t="s">
        <v>190</v>
      </c>
      <c r="G308" s="108" t="s">
        <v>192</v>
      </c>
      <c r="H308" s="108" t="s">
        <v>192</v>
      </c>
    </row>
    <row r="309" customFormat="false" ht="15" hidden="false" customHeight="false" outlineLevel="0" collapsed="false">
      <c r="A309" s="108" t="n">
        <v>77235125810</v>
      </c>
      <c r="B309" s="108" t="n">
        <v>21</v>
      </c>
      <c r="C309" s="108" t="n">
        <v>1</v>
      </c>
      <c r="D309" s="108" t="s">
        <v>353</v>
      </c>
      <c r="E309" s="108" t="s">
        <v>508</v>
      </c>
      <c r="F309" s="108" t="s">
        <v>190</v>
      </c>
      <c r="G309" s="108" t="s">
        <v>190</v>
      </c>
      <c r="H309" s="108" t="s">
        <v>190</v>
      </c>
    </row>
    <row r="310" customFormat="false" ht="15" hidden="false" customHeight="false" outlineLevel="0" collapsed="false">
      <c r="A310" s="108" t="n">
        <v>77235125800</v>
      </c>
      <c r="B310" s="108" t="n">
        <v>37</v>
      </c>
      <c r="C310" s="108" t="n">
        <v>0</v>
      </c>
      <c r="D310" s="108" t="s">
        <v>222</v>
      </c>
      <c r="E310" s="108" t="s">
        <v>509</v>
      </c>
      <c r="F310" s="108" t="s">
        <v>190</v>
      </c>
      <c r="G310" s="108" t="s">
        <v>192</v>
      </c>
      <c r="H310" s="108" t="s">
        <v>190</v>
      </c>
    </row>
    <row r="311" customFormat="false" ht="15" hidden="false" customHeight="false" outlineLevel="0" collapsed="false">
      <c r="A311" s="108" t="n">
        <v>77235125727</v>
      </c>
      <c r="B311" s="108" t="n">
        <v>37</v>
      </c>
      <c r="C311" s="108" t="n">
        <v>0</v>
      </c>
      <c r="D311" s="108" t="s">
        <v>222</v>
      </c>
      <c r="E311" s="108" t="s">
        <v>510</v>
      </c>
      <c r="F311" s="108" t="s">
        <v>190</v>
      </c>
      <c r="G311" s="108" t="s">
        <v>192</v>
      </c>
      <c r="H311" s="108" t="s">
        <v>190</v>
      </c>
    </row>
    <row r="312" customFormat="false" ht="15" hidden="false" customHeight="false" outlineLevel="0" collapsed="false">
      <c r="A312" s="108" t="n">
        <v>77235125726</v>
      </c>
      <c r="B312" s="108" t="n">
        <v>21</v>
      </c>
      <c r="C312" s="108" t="n">
        <v>2</v>
      </c>
      <c r="D312" s="108" t="s">
        <v>353</v>
      </c>
      <c r="E312" s="108" t="s">
        <v>511</v>
      </c>
      <c r="F312" s="108" t="s">
        <v>190</v>
      </c>
      <c r="G312" s="108" t="s">
        <v>190</v>
      </c>
      <c r="H312" s="108" t="s">
        <v>190</v>
      </c>
    </row>
    <row r="313" customFormat="false" ht="15" hidden="false" customHeight="false" outlineLevel="0" collapsed="false">
      <c r="A313" s="108" t="n">
        <v>77235125703</v>
      </c>
      <c r="B313" s="108" t="n">
        <v>21</v>
      </c>
      <c r="C313" s="108" t="n">
        <v>1</v>
      </c>
      <c r="D313" s="108" t="s">
        <v>353</v>
      </c>
      <c r="E313" s="108" t="s">
        <v>512</v>
      </c>
      <c r="F313" s="108" t="s">
        <v>190</v>
      </c>
      <c r="G313" s="108" t="s">
        <v>192</v>
      </c>
      <c r="H313" s="108" t="s">
        <v>192</v>
      </c>
    </row>
    <row r="314" customFormat="false" ht="15" hidden="false" customHeight="false" outlineLevel="0" collapsed="false">
      <c r="A314" s="108" t="n">
        <v>77235125660</v>
      </c>
      <c r="B314" s="108" t="n">
        <v>21</v>
      </c>
      <c r="C314" s="108" t="n">
        <v>0</v>
      </c>
      <c r="D314" s="108" t="s">
        <v>353</v>
      </c>
      <c r="E314" s="108" t="s">
        <v>513</v>
      </c>
      <c r="F314" s="108" t="s">
        <v>190</v>
      </c>
      <c r="G314" s="108" t="s">
        <v>190</v>
      </c>
      <c r="H314" s="108" t="s">
        <v>190</v>
      </c>
    </row>
    <row r="315" customFormat="false" ht="15" hidden="false" customHeight="false" outlineLevel="0" collapsed="false">
      <c r="A315" s="108" t="n">
        <v>77235125638</v>
      </c>
      <c r="B315" s="108" t="n">
        <v>21</v>
      </c>
      <c r="C315" s="108" t="n">
        <v>0</v>
      </c>
      <c r="D315" s="108" t="s">
        <v>353</v>
      </c>
      <c r="E315" s="108" t="s">
        <v>514</v>
      </c>
      <c r="F315" s="108" t="s">
        <v>190</v>
      </c>
      <c r="G315" s="108" t="s">
        <v>190</v>
      </c>
      <c r="H315" s="108" t="s">
        <v>190</v>
      </c>
    </row>
    <row r="316" customFormat="false" ht="15" hidden="false" customHeight="false" outlineLevel="0" collapsed="false">
      <c r="A316" s="108" t="n">
        <v>77235125595</v>
      </c>
      <c r="B316" s="108" t="n">
        <v>20</v>
      </c>
      <c r="C316" s="108" t="n">
        <v>1</v>
      </c>
      <c r="D316" s="108" t="s">
        <v>452</v>
      </c>
      <c r="E316" s="108" t="s">
        <v>515</v>
      </c>
      <c r="F316" s="108" t="s">
        <v>190</v>
      </c>
      <c r="G316" s="108" t="s">
        <v>192</v>
      </c>
      <c r="H316" s="108" t="s">
        <v>192</v>
      </c>
    </row>
    <row r="317" customFormat="false" ht="15" hidden="false" customHeight="false" outlineLevel="0" collapsed="false">
      <c r="A317" s="108" t="n">
        <v>77235125576</v>
      </c>
      <c r="B317" s="108" t="n">
        <v>37</v>
      </c>
      <c r="C317" s="108" t="n">
        <v>0</v>
      </c>
      <c r="D317" s="108" t="s">
        <v>222</v>
      </c>
      <c r="E317" s="108" t="s">
        <v>516</v>
      </c>
      <c r="F317" s="108" t="s">
        <v>190</v>
      </c>
      <c r="G317" s="108" t="s">
        <v>190</v>
      </c>
      <c r="H317" s="108" t="s">
        <v>190</v>
      </c>
    </row>
    <row r="318" customFormat="false" ht="15" hidden="false" customHeight="false" outlineLevel="0" collapsed="false">
      <c r="A318" s="108" t="n">
        <v>77235125569</v>
      </c>
      <c r="B318" s="108" t="n">
        <v>21</v>
      </c>
      <c r="C318" s="108" t="n">
        <v>0</v>
      </c>
      <c r="D318" s="108" t="s">
        <v>353</v>
      </c>
      <c r="E318" s="108" t="s">
        <v>517</v>
      </c>
      <c r="F318" s="108" t="s">
        <v>190</v>
      </c>
      <c r="G318" s="108" t="s">
        <v>190</v>
      </c>
      <c r="H318" s="108" t="s">
        <v>190</v>
      </c>
    </row>
    <row r="319" customFormat="false" ht="15" hidden="false" customHeight="false" outlineLevel="0" collapsed="false">
      <c r="A319" s="108" t="n">
        <v>77235125548</v>
      </c>
      <c r="B319" s="108" t="n">
        <v>21</v>
      </c>
      <c r="C319" s="108" t="n">
        <v>1</v>
      </c>
      <c r="D319" s="108" t="s">
        <v>353</v>
      </c>
      <c r="E319" s="108" t="s">
        <v>518</v>
      </c>
      <c r="F319" s="108" t="s">
        <v>190</v>
      </c>
      <c r="G319" s="108" t="s">
        <v>190</v>
      </c>
      <c r="H319" s="108" t="s">
        <v>190</v>
      </c>
    </row>
    <row r="320" customFormat="false" ht="15" hidden="false" customHeight="false" outlineLevel="0" collapsed="false">
      <c r="A320" s="108" t="n">
        <v>77235125482</v>
      </c>
      <c r="B320" s="108" t="n">
        <v>21</v>
      </c>
      <c r="C320" s="108" t="n">
        <v>1</v>
      </c>
      <c r="D320" s="108" t="s">
        <v>353</v>
      </c>
      <c r="E320" s="108" t="s">
        <v>519</v>
      </c>
      <c r="F320" s="108" t="s">
        <v>190</v>
      </c>
      <c r="G320" s="108" t="s">
        <v>190</v>
      </c>
      <c r="H320" s="108" t="s">
        <v>190</v>
      </c>
    </row>
    <row r="321" customFormat="false" ht="15" hidden="false" customHeight="false" outlineLevel="0" collapsed="false">
      <c r="A321" s="108" t="n">
        <v>77235125473</v>
      </c>
      <c r="B321" s="108" t="n">
        <v>21</v>
      </c>
      <c r="C321" s="108" t="n">
        <v>1</v>
      </c>
      <c r="D321" s="108" t="s">
        <v>353</v>
      </c>
      <c r="E321" s="108" t="s">
        <v>520</v>
      </c>
      <c r="F321" s="108" t="s">
        <v>190</v>
      </c>
      <c r="G321" s="108" t="s">
        <v>190</v>
      </c>
      <c r="H321" s="108" t="s">
        <v>190</v>
      </c>
    </row>
    <row r="322" customFormat="false" ht="15" hidden="false" customHeight="false" outlineLevel="0" collapsed="false">
      <c r="A322" s="108" t="n">
        <v>77235125472</v>
      </c>
      <c r="B322" s="108" t="n">
        <v>21</v>
      </c>
      <c r="C322" s="108" t="n">
        <v>0</v>
      </c>
      <c r="D322" s="108" t="s">
        <v>353</v>
      </c>
      <c r="E322" s="108" t="s">
        <v>521</v>
      </c>
      <c r="F322" s="108" t="s">
        <v>190</v>
      </c>
      <c r="G322" s="108" t="s">
        <v>192</v>
      </c>
      <c r="H322" s="108" t="s">
        <v>190</v>
      </c>
    </row>
    <row r="323" customFormat="false" ht="15" hidden="false" customHeight="false" outlineLevel="0" collapsed="false">
      <c r="A323" s="108" t="n">
        <v>77235125455</v>
      </c>
      <c r="B323" s="108" t="n">
        <v>21</v>
      </c>
      <c r="C323" s="108" t="n">
        <v>1</v>
      </c>
      <c r="D323" s="108" t="s">
        <v>353</v>
      </c>
      <c r="E323" s="108" t="s">
        <v>522</v>
      </c>
      <c r="F323" s="108" t="s">
        <v>190</v>
      </c>
      <c r="G323" s="108" t="s">
        <v>190</v>
      </c>
      <c r="H323" s="108" t="s">
        <v>190</v>
      </c>
    </row>
    <row r="324" customFormat="false" ht="15" hidden="false" customHeight="false" outlineLevel="0" collapsed="false">
      <c r="A324" s="108" t="n">
        <v>77235125448</v>
      </c>
      <c r="B324" s="108" t="n">
        <v>21</v>
      </c>
      <c r="C324" s="108" t="n">
        <v>1</v>
      </c>
      <c r="D324" s="108" t="s">
        <v>353</v>
      </c>
      <c r="E324" s="108" t="s">
        <v>523</v>
      </c>
      <c r="F324" s="108" t="s">
        <v>190</v>
      </c>
      <c r="G324" s="108" t="s">
        <v>190</v>
      </c>
      <c r="H324" s="108" t="s">
        <v>190</v>
      </c>
    </row>
    <row r="325" customFormat="false" ht="15" hidden="false" customHeight="false" outlineLevel="0" collapsed="false">
      <c r="A325" s="108" t="n">
        <v>77235125412</v>
      </c>
      <c r="B325" s="108" t="n">
        <v>37</v>
      </c>
      <c r="C325" s="108" t="n">
        <v>0</v>
      </c>
      <c r="D325" s="108" t="s">
        <v>222</v>
      </c>
      <c r="E325" s="108" t="s">
        <v>524</v>
      </c>
      <c r="F325" s="108" t="s">
        <v>190</v>
      </c>
      <c r="G325" s="108" t="s">
        <v>192</v>
      </c>
      <c r="H325" s="108" t="s">
        <v>192</v>
      </c>
    </row>
    <row r="326" customFormat="false" ht="15" hidden="false" customHeight="false" outlineLevel="0" collapsed="false">
      <c r="A326" s="108" t="n">
        <v>77235125401</v>
      </c>
      <c r="B326" s="108" t="n">
        <v>21</v>
      </c>
      <c r="C326" s="108" t="n">
        <v>1</v>
      </c>
      <c r="D326" s="108" t="s">
        <v>353</v>
      </c>
      <c r="E326" s="108" t="s">
        <v>525</v>
      </c>
      <c r="F326" s="108" t="s">
        <v>190</v>
      </c>
      <c r="G326" s="108" t="s">
        <v>192</v>
      </c>
      <c r="H326" s="108" t="s">
        <v>192</v>
      </c>
    </row>
    <row r="327" customFormat="false" ht="15" hidden="false" customHeight="false" outlineLevel="0" collapsed="false">
      <c r="A327" s="108" t="n">
        <v>77235125386</v>
      </c>
      <c r="B327" s="108" t="n">
        <v>37</v>
      </c>
      <c r="C327" s="108" t="n">
        <v>0</v>
      </c>
      <c r="D327" s="108" t="s">
        <v>222</v>
      </c>
      <c r="E327" s="108" t="s">
        <v>526</v>
      </c>
      <c r="F327" s="108" t="s">
        <v>190</v>
      </c>
      <c r="G327" s="108" t="s">
        <v>190</v>
      </c>
      <c r="H327" s="108" t="s">
        <v>190</v>
      </c>
    </row>
    <row r="328" customFormat="false" ht="15" hidden="false" customHeight="false" outlineLevel="0" collapsed="false">
      <c r="A328" s="108" t="n">
        <v>77235125343</v>
      </c>
      <c r="B328" s="108" t="n">
        <v>21</v>
      </c>
      <c r="C328" s="108" t="n">
        <v>0</v>
      </c>
      <c r="D328" s="108" t="s">
        <v>353</v>
      </c>
      <c r="E328" s="108" t="s">
        <v>527</v>
      </c>
      <c r="F328" s="108" t="s">
        <v>190</v>
      </c>
      <c r="G328" s="108" t="s">
        <v>190</v>
      </c>
      <c r="H328" s="108" t="s">
        <v>190</v>
      </c>
    </row>
    <row r="329" customFormat="false" ht="15" hidden="false" customHeight="false" outlineLevel="0" collapsed="false">
      <c r="A329" s="108" t="n">
        <v>77235125322</v>
      </c>
      <c r="B329" s="108" t="n">
        <v>21</v>
      </c>
      <c r="C329" s="108" t="n">
        <v>0</v>
      </c>
      <c r="D329" s="108" t="s">
        <v>353</v>
      </c>
      <c r="E329" s="108" t="s">
        <v>528</v>
      </c>
      <c r="F329" s="108" t="s">
        <v>190</v>
      </c>
      <c r="G329" s="108" t="s">
        <v>192</v>
      </c>
      <c r="H329" s="108" t="s">
        <v>192</v>
      </c>
    </row>
    <row r="330" customFormat="false" ht="15" hidden="false" customHeight="false" outlineLevel="0" collapsed="false">
      <c r="A330" s="108" t="n">
        <v>77235125271</v>
      </c>
      <c r="B330" s="108" t="n">
        <v>37</v>
      </c>
      <c r="C330" s="108" t="n">
        <v>0</v>
      </c>
      <c r="D330" s="108" t="s">
        <v>222</v>
      </c>
      <c r="E330" s="108" t="s">
        <v>529</v>
      </c>
      <c r="F330" s="108" t="s">
        <v>190</v>
      </c>
      <c r="G330" s="108" t="s">
        <v>190</v>
      </c>
      <c r="H330" s="108" t="s">
        <v>190</v>
      </c>
    </row>
    <row r="331" customFormat="false" ht="15" hidden="false" customHeight="false" outlineLevel="0" collapsed="false">
      <c r="A331" s="108" t="n">
        <v>77235125247</v>
      </c>
      <c r="B331" s="108" t="n">
        <v>37</v>
      </c>
      <c r="C331" s="108" t="n">
        <v>0</v>
      </c>
      <c r="D331" s="108" t="s">
        <v>222</v>
      </c>
      <c r="E331" s="108" t="s">
        <v>530</v>
      </c>
      <c r="F331" s="108" t="s">
        <v>190</v>
      </c>
      <c r="G331" s="108" t="s">
        <v>192</v>
      </c>
      <c r="H331" s="108" t="s">
        <v>192</v>
      </c>
    </row>
    <row r="332" customFormat="false" ht="15" hidden="false" customHeight="false" outlineLevel="0" collapsed="false">
      <c r="A332" s="108" t="n">
        <v>77235125200</v>
      </c>
      <c r="B332" s="108" t="n">
        <v>21</v>
      </c>
      <c r="C332" s="108" t="n">
        <v>1</v>
      </c>
      <c r="D332" s="108" t="s">
        <v>353</v>
      </c>
      <c r="E332" s="108" t="s">
        <v>531</v>
      </c>
      <c r="F332" s="108" t="s">
        <v>190</v>
      </c>
      <c r="G332" s="108" t="s">
        <v>192</v>
      </c>
      <c r="H332" s="108" t="s">
        <v>190</v>
      </c>
    </row>
    <row r="333" customFormat="false" ht="15" hidden="false" customHeight="false" outlineLevel="0" collapsed="false">
      <c r="A333" s="108" t="n">
        <v>77235125160</v>
      </c>
      <c r="B333" s="108" t="n">
        <v>21</v>
      </c>
      <c r="C333" s="108" t="n">
        <v>1</v>
      </c>
      <c r="D333" s="108" t="s">
        <v>353</v>
      </c>
      <c r="E333" s="108" t="s">
        <v>532</v>
      </c>
      <c r="F333" s="108" t="s">
        <v>190</v>
      </c>
      <c r="G333" s="108" t="s">
        <v>192</v>
      </c>
      <c r="H333" s="108" t="s">
        <v>192</v>
      </c>
    </row>
    <row r="334" customFormat="false" ht="15" hidden="false" customHeight="false" outlineLevel="0" collapsed="false">
      <c r="A334" s="108" t="n">
        <v>77235125139</v>
      </c>
      <c r="B334" s="108" t="n">
        <v>21</v>
      </c>
      <c r="C334" s="108" t="n">
        <v>0</v>
      </c>
      <c r="D334" s="108" t="s">
        <v>353</v>
      </c>
      <c r="E334" s="108" t="s">
        <v>533</v>
      </c>
      <c r="F334" s="108" t="s">
        <v>190</v>
      </c>
      <c r="G334" s="108" t="s">
        <v>190</v>
      </c>
      <c r="H334" s="108" t="s">
        <v>190</v>
      </c>
    </row>
    <row r="335" customFormat="false" ht="15" hidden="false" customHeight="false" outlineLevel="0" collapsed="false">
      <c r="A335" s="108" t="n">
        <v>77235125127</v>
      </c>
      <c r="B335" s="108" t="n">
        <v>21</v>
      </c>
      <c r="C335" s="108" t="n">
        <v>2</v>
      </c>
      <c r="D335" s="108" t="s">
        <v>353</v>
      </c>
      <c r="E335" s="108" t="s">
        <v>534</v>
      </c>
      <c r="F335" s="108" t="s">
        <v>190</v>
      </c>
      <c r="G335" s="108" t="s">
        <v>192</v>
      </c>
      <c r="H335" s="108" t="s">
        <v>192</v>
      </c>
    </row>
    <row r="336" customFormat="false" ht="15" hidden="false" customHeight="false" outlineLevel="0" collapsed="false">
      <c r="A336" s="108" t="n">
        <v>77235125119</v>
      </c>
      <c r="B336" s="108" t="n">
        <v>21</v>
      </c>
      <c r="C336" s="108" t="n">
        <v>1</v>
      </c>
      <c r="D336" s="108" t="s">
        <v>353</v>
      </c>
      <c r="E336" s="108" t="s">
        <v>535</v>
      </c>
      <c r="F336" s="108" t="s">
        <v>190</v>
      </c>
      <c r="G336" s="108" t="s">
        <v>192</v>
      </c>
      <c r="H336" s="108" t="s">
        <v>192</v>
      </c>
    </row>
    <row r="337" customFormat="false" ht="15" hidden="false" customHeight="false" outlineLevel="0" collapsed="false">
      <c r="A337" s="108" t="n">
        <v>77235125105</v>
      </c>
      <c r="B337" s="108" t="n">
        <v>37</v>
      </c>
      <c r="C337" s="108" t="n">
        <v>0</v>
      </c>
      <c r="D337" s="108" t="s">
        <v>222</v>
      </c>
      <c r="E337" s="108" t="s">
        <v>536</v>
      </c>
      <c r="F337" s="108" t="s">
        <v>190</v>
      </c>
      <c r="G337" s="108" t="s">
        <v>192</v>
      </c>
      <c r="H337" s="108" t="s">
        <v>190</v>
      </c>
    </row>
    <row r="338" customFormat="false" ht="15" hidden="false" customHeight="false" outlineLevel="0" collapsed="false">
      <c r="A338" s="108" t="n">
        <v>77235125079</v>
      </c>
      <c r="B338" s="108" t="n">
        <v>21</v>
      </c>
      <c r="C338" s="108" t="n">
        <v>0</v>
      </c>
      <c r="D338" s="108" t="s">
        <v>353</v>
      </c>
      <c r="E338" s="108" t="s">
        <v>537</v>
      </c>
      <c r="F338" s="108" t="s">
        <v>190</v>
      </c>
      <c r="G338" s="108" t="s">
        <v>192</v>
      </c>
      <c r="H338" s="108" t="s">
        <v>192</v>
      </c>
    </row>
    <row r="339" customFormat="false" ht="15" hidden="false" customHeight="false" outlineLevel="0" collapsed="false">
      <c r="A339" s="108" t="n">
        <v>77235125073</v>
      </c>
      <c r="B339" s="108" t="n">
        <v>21</v>
      </c>
      <c r="C339" s="108" t="n">
        <v>1</v>
      </c>
      <c r="D339" s="108" t="s">
        <v>353</v>
      </c>
      <c r="E339" s="108" t="s">
        <v>538</v>
      </c>
      <c r="F339" s="108" t="s">
        <v>190</v>
      </c>
      <c r="G339" s="108" t="s">
        <v>190</v>
      </c>
      <c r="H339" s="108" t="s">
        <v>190</v>
      </c>
    </row>
    <row r="340" customFormat="false" ht="15" hidden="false" customHeight="false" outlineLevel="0" collapsed="false">
      <c r="A340" s="108" t="n">
        <v>77235125070</v>
      </c>
      <c r="B340" s="108" t="n">
        <v>21</v>
      </c>
      <c r="C340" s="108" t="n">
        <v>0</v>
      </c>
      <c r="D340" s="108" t="s">
        <v>353</v>
      </c>
      <c r="E340" s="108" t="s">
        <v>539</v>
      </c>
      <c r="F340" s="108" t="s">
        <v>190</v>
      </c>
      <c r="G340" s="108" t="s">
        <v>190</v>
      </c>
      <c r="H340" s="108" t="s">
        <v>190</v>
      </c>
    </row>
    <row r="341" customFormat="false" ht="15" hidden="false" customHeight="false" outlineLevel="0" collapsed="false">
      <c r="A341" s="108" t="n">
        <v>77235125064</v>
      </c>
      <c r="B341" s="108" t="n">
        <v>37</v>
      </c>
      <c r="C341" s="108" t="n">
        <v>0</v>
      </c>
      <c r="D341" s="108" t="s">
        <v>222</v>
      </c>
      <c r="E341" s="108" t="s">
        <v>540</v>
      </c>
      <c r="F341" s="108" t="s">
        <v>190</v>
      </c>
      <c r="G341" s="108" t="s">
        <v>192</v>
      </c>
      <c r="H341" s="108" t="s">
        <v>190</v>
      </c>
    </row>
    <row r="342" customFormat="false" ht="15" hidden="false" customHeight="false" outlineLevel="0" collapsed="false">
      <c r="A342" s="108" t="n">
        <v>77235125063</v>
      </c>
      <c r="B342" s="108" t="n">
        <v>21</v>
      </c>
      <c r="C342" s="108" t="n">
        <v>0</v>
      </c>
      <c r="D342" s="108" t="s">
        <v>353</v>
      </c>
      <c r="E342" s="108" t="s">
        <v>541</v>
      </c>
      <c r="F342" s="108" t="s">
        <v>190</v>
      </c>
      <c r="G342" s="108" t="s">
        <v>192</v>
      </c>
      <c r="H342" s="108" t="s">
        <v>192</v>
      </c>
    </row>
    <row r="343" customFormat="false" ht="15" hidden="false" customHeight="false" outlineLevel="0" collapsed="false">
      <c r="A343" s="108" t="n">
        <v>77235125055</v>
      </c>
      <c r="B343" s="108" t="n">
        <v>21</v>
      </c>
      <c r="C343" s="108" t="n">
        <v>1</v>
      </c>
      <c r="D343" s="108" t="s">
        <v>353</v>
      </c>
      <c r="E343" s="108" t="s">
        <v>542</v>
      </c>
      <c r="F343" s="108" t="s">
        <v>190</v>
      </c>
      <c r="G343" s="108" t="s">
        <v>190</v>
      </c>
      <c r="H343" s="108" t="s">
        <v>190</v>
      </c>
    </row>
    <row r="344" customFormat="false" ht="15" hidden="false" customHeight="false" outlineLevel="0" collapsed="false">
      <c r="A344" s="108" t="s">
        <v>219</v>
      </c>
      <c r="B344" s="108" t="n">
        <v>9</v>
      </c>
      <c r="C344" s="108" t="n">
        <v>1</v>
      </c>
      <c r="D344" s="108" t="s">
        <v>188</v>
      </c>
      <c r="E344" s="108" t="s">
        <v>543</v>
      </c>
      <c r="F344" s="108" t="s">
        <v>190</v>
      </c>
      <c r="G344" s="108" t="s">
        <v>190</v>
      </c>
      <c r="H344" s="108" t="s">
        <v>190</v>
      </c>
    </row>
    <row r="345" customFormat="false" ht="15" hidden="false" customHeight="false" outlineLevel="0" collapsed="false">
      <c r="A345" s="108" t="n">
        <v>77235125011</v>
      </c>
      <c r="B345" s="108" t="n">
        <v>37</v>
      </c>
      <c r="C345" s="108" t="n">
        <v>0</v>
      </c>
      <c r="D345" s="108" t="s">
        <v>222</v>
      </c>
      <c r="E345" s="108" t="s">
        <v>544</v>
      </c>
      <c r="F345" s="108" t="s">
        <v>190</v>
      </c>
      <c r="G345" s="108" t="s">
        <v>190</v>
      </c>
      <c r="H345" s="108" t="s">
        <v>190</v>
      </c>
    </row>
    <row r="346" customFormat="false" ht="15" hidden="false" customHeight="false" outlineLevel="0" collapsed="false">
      <c r="A346" s="108" t="n">
        <v>77235125010</v>
      </c>
      <c r="B346" s="108" t="n">
        <v>21</v>
      </c>
      <c r="C346" s="108" t="n">
        <v>1</v>
      </c>
      <c r="D346" s="108" t="s">
        <v>353</v>
      </c>
      <c r="E346" s="108" t="s">
        <v>545</v>
      </c>
      <c r="F346" s="108" t="s">
        <v>190</v>
      </c>
      <c r="G346" s="108" t="s">
        <v>190</v>
      </c>
      <c r="H346" s="108" t="s">
        <v>190</v>
      </c>
    </row>
    <row r="347" customFormat="false" ht="15" hidden="false" customHeight="false" outlineLevel="0" collapsed="false">
      <c r="A347" s="108" t="n">
        <v>77235125002</v>
      </c>
      <c r="B347" s="108" t="n">
        <v>21</v>
      </c>
      <c r="C347" s="108" t="n">
        <v>2</v>
      </c>
      <c r="D347" s="108" t="s">
        <v>353</v>
      </c>
      <c r="E347" s="108" t="s">
        <v>546</v>
      </c>
      <c r="F347" s="108" t="s">
        <v>190</v>
      </c>
      <c r="G347" s="108" t="s">
        <v>190</v>
      </c>
      <c r="H347" s="108" t="s">
        <v>190</v>
      </c>
    </row>
    <row r="348" customFormat="false" ht="15" hidden="false" customHeight="false" outlineLevel="0" collapsed="false">
      <c r="A348" s="108" t="n">
        <v>77235124998</v>
      </c>
      <c r="B348" s="108" t="n">
        <v>21</v>
      </c>
      <c r="C348" s="108" t="n">
        <v>1</v>
      </c>
      <c r="D348" s="108" t="s">
        <v>353</v>
      </c>
      <c r="E348" s="108" t="s">
        <v>547</v>
      </c>
      <c r="F348" s="108" t="s">
        <v>190</v>
      </c>
      <c r="G348" s="108" t="s">
        <v>192</v>
      </c>
      <c r="H348" s="108" t="s">
        <v>190</v>
      </c>
    </row>
    <row r="349" customFormat="false" ht="15" hidden="false" customHeight="false" outlineLevel="0" collapsed="false">
      <c r="A349" s="108" t="n">
        <v>77235124962</v>
      </c>
      <c r="B349" s="108" t="n">
        <v>21</v>
      </c>
      <c r="C349" s="108" t="n">
        <v>1</v>
      </c>
      <c r="D349" s="108" t="s">
        <v>353</v>
      </c>
      <c r="E349" s="108" t="s">
        <v>548</v>
      </c>
      <c r="F349" s="108" t="s">
        <v>190</v>
      </c>
      <c r="G349" s="108" t="s">
        <v>192</v>
      </c>
      <c r="H349" s="108" t="s">
        <v>192</v>
      </c>
    </row>
    <row r="350" customFormat="false" ht="15" hidden="false" customHeight="false" outlineLevel="0" collapsed="false">
      <c r="A350" s="108" t="n">
        <v>77235124927</v>
      </c>
      <c r="B350" s="108" t="n">
        <v>37</v>
      </c>
      <c r="C350" s="108" t="n">
        <v>0</v>
      </c>
      <c r="D350" s="108" t="s">
        <v>222</v>
      </c>
      <c r="E350" s="108" t="s">
        <v>549</v>
      </c>
      <c r="F350" s="108" t="s">
        <v>190</v>
      </c>
      <c r="G350" s="108" t="s">
        <v>190</v>
      </c>
      <c r="H350" s="108" t="s">
        <v>190</v>
      </c>
    </row>
    <row r="351" customFormat="false" ht="15" hidden="false" customHeight="false" outlineLevel="0" collapsed="false">
      <c r="A351" s="108" t="n">
        <v>77235124926</v>
      </c>
      <c r="B351" s="108" t="n">
        <v>21</v>
      </c>
      <c r="C351" s="108" t="n">
        <v>2</v>
      </c>
      <c r="D351" s="108" t="s">
        <v>353</v>
      </c>
      <c r="E351" s="108" t="s">
        <v>550</v>
      </c>
      <c r="F351" s="108" t="s">
        <v>190</v>
      </c>
      <c r="G351" s="108" t="s">
        <v>192</v>
      </c>
      <c r="H351" s="108" t="s">
        <v>190</v>
      </c>
    </row>
    <row r="352" customFormat="false" ht="15" hidden="false" customHeight="false" outlineLevel="0" collapsed="false">
      <c r="A352" s="108" t="n">
        <v>77235124905</v>
      </c>
      <c r="B352" s="108" t="n">
        <v>37</v>
      </c>
      <c r="C352" s="108" t="n">
        <v>0</v>
      </c>
      <c r="D352" s="108" t="s">
        <v>222</v>
      </c>
      <c r="E352" s="108" t="s">
        <v>551</v>
      </c>
      <c r="F352" s="108" t="s">
        <v>190</v>
      </c>
      <c r="G352" s="108" t="s">
        <v>190</v>
      </c>
      <c r="H352" s="108" t="s">
        <v>190</v>
      </c>
    </row>
    <row r="353" customFormat="false" ht="15" hidden="false" customHeight="false" outlineLevel="0" collapsed="false">
      <c r="A353" s="108" t="n">
        <v>77235124883</v>
      </c>
      <c r="B353" s="108" t="n">
        <v>37</v>
      </c>
      <c r="C353" s="108" t="n">
        <v>0</v>
      </c>
      <c r="D353" s="108" t="s">
        <v>222</v>
      </c>
      <c r="E353" s="108" t="s">
        <v>552</v>
      </c>
      <c r="F353" s="108" t="s">
        <v>190</v>
      </c>
      <c r="G353" s="108" t="s">
        <v>192</v>
      </c>
      <c r="H353" s="108" t="s">
        <v>192</v>
      </c>
    </row>
    <row r="354" customFormat="false" ht="15" hidden="false" customHeight="false" outlineLevel="0" collapsed="false">
      <c r="A354" s="108" t="n">
        <v>77235124876</v>
      </c>
      <c r="B354" s="108" t="n">
        <v>37</v>
      </c>
      <c r="C354" s="108" t="n">
        <v>0</v>
      </c>
      <c r="D354" s="108" t="s">
        <v>222</v>
      </c>
      <c r="E354" s="108" t="s">
        <v>553</v>
      </c>
      <c r="F354" s="108" t="s">
        <v>190</v>
      </c>
      <c r="G354" s="108" t="s">
        <v>190</v>
      </c>
      <c r="H354" s="108" t="s">
        <v>190</v>
      </c>
    </row>
    <row r="355" customFormat="false" ht="15" hidden="false" customHeight="false" outlineLevel="0" collapsed="false">
      <c r="A355" s="108" t="n">
        <v>77235124873</v>
      </c>
      <c r="B355" s="108" t="n">
        <v>37</v>
      </c>
      <c r="C355" s="108" t="n">
        <v>0</v>
      </c>
      <c r="D355" s="108" t="s">
        <v>222</v>
      </c>
      <c r="E355" s="108" t="s">
        <v>554</v>
      </c>
      <c r="F355" s="108" t="s">
        <v>190</v>
      </c>
      <c r="G355" s="108" t="s">
        <v>190</v>
      </c>
      <c r="H355" s="108" t="s">
        <v>190</v>
      </c>
    </row>
    <row r="356" customFormat="false" ht="15" hidden="false" customHeight="false" outlineLevel="0" collapsed="false">
      <c r="A356" s="108" t="n">
        <v>77235124847</v>
      </c>
      <c r="B356" s="108" t="n">
        <v>37</v>
      </c>
      <c r="C356" s="108" t="n">
        <v>0</v>
      </c>
      <c r="D356" s="108" t="s">
        <v>222</v>
      </c>
      <c r="E356" s="108" t="s">
        <v>555</v>
      </c>
      <c r="F356" s="108" t="s">
        <v>190</v>
      </c>
      <c r="G356" s="108" t="s">
        <v>190</v>
      </c>
      <c r="H356" s="108" t="s">
        <v>190</v>
      </c>
    </row>
    <row r="357" customFormat="false" ht="15" hidden="false" customHeight="false" outlineLevel="0" collapsed="false">
      <c r="A357" s="108" t="n">
        <v>77235124846</v>
      </c>
      <c r="B357" s="108" t="n">
        <v>21</v>
      </c>
      <c r="C357" s="108" t="n">
        <v>2</v>
      </c>
      <c r="D357" s="108" t="s">
        <v>353</v>
      </c>
      <c r="E357" s="108" t="s">
        <v>556</v>
      </c>
      <c r="F357" s="108" t="s">
        <v>190</v>
      </c>
      <c r="G357" s="108" t="s">
        <v>192</v>
      </c>
      <c r="H357" s="108" t="s">
        <v>190</v>
      </c>
    </row>
    <row r="358" customFormat="false" ht="15" hidden="false" customHeight="false" outlineLevel="0" collapsed="false">
      <c r="A358" s="108" t="n">
        <v>77235124840</v>
      </c>
      <c r="B358" s="108" t="n">
        <v>21</v>
      </c>
      <c r="C358" s="108" t="n">
        <v>1</v>
      </c>
      <c r="D358" s="108" t="s">
        <v>353</v>
      </c>
      <c r="E358" s="108" t="s">
        <v>557</v>
      </c>
      <c r="F358" s="108" t="s">
        <v>190</v>
      </c>
      <c r="G358" s="108" t="s">
        <v>190</v>
      </c>
      <c r="H358" s="108" t="s">
        <v>190</v>
      </c>
    </row>
    <row r="359" customFormat="false" ht="15" hidden="false" customHeight="false" outlineLevel="0" collapsed="false">
      <c r="A359" s="108" t="n">
        <v>77235124833</v>
      </c>
      <c r="B359" s="108" t="n">
        <v>21</v>
      </c>
      <c r="C359" s="108" t="n">
        <v>0</v>
      </c>
      <c r="D359" s="108" t="s">
        <v>353</v>
      </c>
      <c r="E359" s="108" t="s">
        <v>558</v>
      </c>
      <c r="F359" s="108" t="s">
        <v>190</v>
      </c>
      <c r="G359" s="108" t="s">
        <v>192</v>
      </c>
      <c r="H359" s="108" t="s">
        <v>192</v>
      </c>
    </row>
    <row r="360" customFormat="false" ht="15" hidden="false" customHeight="false" outlineLevel="0" collapsed="false">
      <c r="A360" s="108" t="n">
        <v>77235124832</v>
      </c>
      <c r="B360" s="108" t="n">
        <v>37</v>
      </c>
      <c r="C360" s="108" t="n">
        <v>0</v>
      </c>
      <c r="D360" s="108" t="s">
        <v>222</v>
      </c>
      <c r="E360" s="108" t="s">
        <v>559</v>
      </c>
      <c r="F360" s="108" t="s">
        <v>190</v>
      </c>
      <c r="G360" s="108" t="s">
        <v>190</v>
      </c>
      <c r="H360" s="108" t="s">
        <v>190</v>
      </c>
    </row>
    <row r="361" customFormat="false" ht="15" hidden="false" customHeight="false" outlineLevel="0" collapsed="false">
      <c r="A361" s="108" t="n">
        <v>77235124830</v>
      </c>
      <c r="B361" s="108" t="n">
        <v>21</v>
      </c>
      <c r="C361" s="108" t="n">
        <v>0</v>
      </c>
      <c r="D361" s="108" t="s">
        <v>353</v>
      </c>
      <c r="E361" s="108" t="s">
        <v>560</v>
      </c>
      <c r="F361" s="108" t="s">
        <v>190</v>
      </c>
      <c r="G361" s="108" t="s">
        <v>192</v>
      </c>
      <c r="H361" s="108" t="s">
        <v>190</v>
      </c>
    </row>
    <row r="362" customFormat="false" ht="15" hidden="false" customHeight="false" outlineLevel="0" collapsed="false">
      <c r="A362" s="108" t="n">
        <v>77235124829</v>
      </c>
      <c r="B362" s="108" t="n">
        <v>37</v>
      </c>
      <c r="C362" s="108" t="n">
        <v>0</v>
      </c>
      <c r="D362" s="108" t="s">
        <v>222</v>
      </c>
      <c r="E362" s="108" t="s">
        <v>561</v>
      </c>
      <c r="F362" s="108" t="s">
        <v>190</v>
      </c>
      <c r="G362" s="108" t="s">
        <v>190</v>
      </c>
      <c r="H362" s="108" t="s">
        <v>190</v>
      </c>
    </row>
    <row r="363" customFormat="false" ht="15" hidden="false" customHeight="false" outlineLevel="0" collapsed="false">
      <c r="A363" s="108" t="n">
        <v>77235124820</v>
      </c>
      <c r="B363" s="108" t="n">
        <v>21</v>
      </c>
      <c r="C363" s="108" t="n">
        <v>1</v>
      </c>
      <c r="D363" s="108" t="s">
        <v>353</v>
      </c>
      <c r="E363" s="108" t="s">
        <v>562</v>
      </c>
      <c r="F363" s="108" t="s">
        <v>190</v>
      </c>
      <c r="G363" s="108" t="s">
        <v>190</v>
      </c>
      <c r="H363" s="108" t="s">
        <v>190</v>
      </c>
    </row>
    <row r="364" customFormat="false" ht="15" hidden="false" customHeight="false" outlineLevel="0" collapsed="false">
      <c r="A364" s="108" t="n">
        <v>77235124818</v>
      </c>
      <c r="B364" s="108" t="n">
        <v>21</v>
      </c>
      <c r="C364" s="108" t="n">
        <v>1</v>
      </c>
      <c r="D364" s="108" t="s">
        <v>353</v>
      </c>
      <c r="E364" s="108" t="s">
        <v>563</v>
      </c>
      <c r="F364" s="108" t="s">
        <v>190</v>
      </c>
      <c r="G364" s="108" t="s">
        <v>192</v>
      </c>
      <c r="H364" s="108" t="s">
        <v>190</v>
      </c>
    </row>
    <row r="365" customFormat="false" ht="15" hidden="false" customHeight="false" outlineLevel="0" collapsed="false">
      <c r="A365" s="108" t="n">
        <v>77235124815</v>
      </c>
      <c r="B365" s="108" t="n">
        <v>21</v>
      </c>
      <c r="C365" s="108" t="n">
        <v>1</v>
      </c>
      <c r="D365" s="108" t="s">
        <v>353</v>
      </c>
      <c r="E365" s="108" t="s">
        <v>564</v>
      </c>
      <c r="F365" s="108" t="s">
        <v>190</v>
      </c>
      <c r="G365" s="108" t="s">
        <v>192</v>
      </c>
      <c r="H365" s="108" t="s">
        <v>190</v>
      </c>
    </row>
    <row r="366" customFormat="false" ht="15" hidden="false" customHeight="false" outlineLevel="0" collapsed="false">
      <c r="A366" s="108" t="n">
        <v>77235124800</v>
      </c>
      <c r="B366" s="108" t="n">
        <v>37</v>
      </c>
      <c r="C366" s="108" t="n">
        <v>0</v>
      </c>
      <c r="D366" s="108" t="s">
        <v>222</v>
      </c>
      <c r="E366" s="108" t="s">
        <v>565</v>
      </c>
      <c r="F366" s="108" t="s">
        <v>190</v>
      </c>
      <c r="G366" s="108" t="s">
        <v>192</v>
      </c>
      <c r="H366" s="108" t="s">
        <v>190</v>
      </c>
    </row>
    <row r="367" customFormat="false" ht="15" hidden="false" customHeight="false" outlineLevel="0" collapsed="false">
      <c r="A367" s="108" t="n">
        <v>77235124798</v>
      </c>
      <c r="B367" s="108" t="n">
        <v>19</v>
      </c>
      <c r="C367" s="108" t="n">
        <v>1</v>
      </c>
      <c r="D367" s="108" t="s">
        <v>220</v>
      </c>
      <c r="E367" s="108" t="s">
        <v>566</v>
      </c>
      <c r="F367" s="108" t="s">
        <v>190</v>
      </c>
      <c r="G367" s="108" t="s">
        <v>192</v>
      </c>
      <c r="H367" s="108" t="s">
        <v>190</v>
      </c>
    </row>
    <row r="368" customFormat="false" ht="15" hidden="false" customHeight="false" outlineLevel="0" collapsed="false">
      <c r="A368" s="108" t="n">
        <v>77235124783</v>
      </c>
      <c r="B368" s="108" t="n">
        <v>19</v>
      </c>
      <c r="C368" s="108" t="n">
        <v>1</v>
      </c>
      <c r="D368" s="108" t="s">
        <v>220</v>
      </c>
      <c r="E368" s="108" t="s">
        <v>567</v>
      </c>
      <c r="F368" s="108" t="s">
        <v>190</v>
      </c>
      <c r="G368" s="108" t="s">
        <v>190</v>
      </c>
      <c r="H368" s="108" t="s">
        <v>190</v>
      </c>
    </row>
    <row r="369" customFormat="false" ht="15" hidden="false" customHeight="false" outlineLevel="0" collapsed="false">
      <c r="A369" s="108" t="n">
        <v>77235124780</v>
      </c>
      <c r="B369" s="108" t="n">
        <v>19</v>
      </c>
      <c r="C369" s="108" t="n">
        <v>1</v>
      </c>
      <c r="D369" s="108" t="s">
        <v>220</v>
      </c>
      <c r="E369" s="108" t="s">
        <v>568</v>
      </c>
      <c r="F369" s="108" t="s">
        <v>190</v>
      </c>
      <c r="G369" s="108" t="s">
        <v>190</v>
      </c>
      <c r="H369" s="108" t="s">
        <v>190</v>
      </c>
    </row>
    <row r="370" customFormat="false" ht="15" hidden="false" customHeight="false" outlineLevel="0" collapsed="false">
      <c r="A370" s="108" t="n">
        <v>77235124755</v>
      </c>
      <c r="B370" s="108" t="n">
        <v>19</v>
      </c>
      <c r="C370" s="108" t="n">
        <v>0</v>
      </c>
      <c r="D370" s="108" t="s">
        <v>220</v>
      </c>
      <c r="E370" s="108" t="s">
        <v>569</v>
      </c>
      <c r="F370" s="108" t="s">
        <v>190</v>
      </c>
      <c r="G370" s="108" t="s">
        <v>192</v>
      </c>
      <c r="H370" s="108" t="s">
        <v>192</v>
      </c>
    </row>
    <row r="371" customFormat="false" ht="15" hidden="false" customHeight="false" outlineLevel="0" collapsed="false">
      <c r="A371" s="108" t="n">
        <v>77235124752</v>
      </c>
      <c r="B371" s="108" t="n">
        <v>19</v>
      </c>
      <c r="C371" s="108" t="n">
        <v>1</v>
      </c>
      <c r="D371" s="108" t="s">
        <v>220</v>
      </c>
      <c r="E371" s="108" t="s">
        <v>570</v>
      </c>
      <c r="F371" s="108" t="s">
        <v>190</v>
      </c>
      <c r="G371" s="108" t="s">
        <v>190</v>
      </c>
      <c r="H371" s="108" t="s">
        <v>190</v>
      </c>
    </row>
    <row r="372" customFormat="false" ht="15" hidden="false" customHeight="false" outlineLevel="0" collapsed="false">
      <c r="A372" s="108" t="n">
        <v>77235124719</v>
      </c>
      <c r="B372" s="108" t="n">
        <v>20</v>
      </c>
      <c r="C372" s="108" t="n">
        <v>2</v>
      </c>
      <c r="D372" s="108" t="s">
        <v>452</v>
      </c>
      <c r="E372" s="108" t="s">
        <v>571</v>
      </c>
      <c r="F372" s="108" t="s">
        <v>190</v>
      </c>
      <c r="G372" s="108" t="s">
        <v>190</v>
      </c>
      <c r="H372" s="108" t="s">
        <v>190</v>
      </c>
    </row>
    <row r="373" customFormat="false" ht="15" hidden="false" customHeight="false" outlineLevel="0" collapsed="false">
      <c r="A373" s="108" t="n">
        <v>77235124718</v>
      </c>
      <c r="B373" s="108" t="n">
        <v>20</v>
      </c>
      <c r="C373" s="108" t="n">
        <v>2</v>
      </c>
      <c r="D373" s="108" t="s">
        <v>452</v>
      </c>
      <c r="E373" s="108" t="s">
        <v>572</v>
      </c>
      <c r="F373" s="108" t="s">
        <v>190</v>
      </c>
      <c r="G373" s="108" t="s">
        <v>190</v>
      </c>
      <c r="H373" s="108" t="s">
        <v>190</v>
      </c>
    </row>
    <row r="374" customFormat="false" ht="15" hidden="false" customHeight="false" outlineLevel="0" collapsed="false">
      <c r="A374" s="108" t="n">
        <v>77235124712</v>
      </c>
      <c r="B374" s="108" t="n">
        <v>19</v>
      </c>
      <c r="C374" s="108" t="n">
        <v>1</v>
      </c>
      <c r="D374" s="108" t="s">
        <v>220</v>
      </c>
      <c r="E374" s="108" t="s">
        <v>573</v>
      </c>
      <c r="F374" s="108" t="s">
        <v>190</v>
      </c>
      <c r="G374" s="108" t="s">
        <v>190</v>
      </c>
      <c r="H374" s="108" t="s">
        <v>190</v>
      </c>
    </row>
    <row r="375" customFormat="false" ht="15" hidden="false" customHeight="false" outlineLevel="0" collapsed="false">
      <c r="A375" s="108" t="n">
        <v>77235124644</v>
      </c>
      <c r="B375" s="108" t="n">
        <v>37</v>
      </c>
      <c r="C375" s="108" t="n">
        <v>1</v>
      </c>
      <c r="D375" s="108" t="s">
        <v>222</v>
      </c>
      <c r="E375" s="108" t="s">
        <v>574</v>
      </c>
      <c r="F375" s="108" t="s">
        <v>190</v>
      </c>
      <c r="G375" s="108" t="s">
        <v>190</v>
      </c>
      <c r="H375" s="108" t="s">
        <v>192</v>
      </c>
    </row>
    <row r="376" customFormat="false" ht="15" hidden="false" customHeight="false" outlineLevel="0" collapsed="false">
      <c r="A376" s="108" t="n">
        <v>77235124625</v>
      </c>
      <c r="B376" s="108" t="n">
        <v>20</v>
      </c>
      <c r="C376" s="108" t="n">
        <v>2</v>
      </c>
      <c r="D376" s="108" t="s">
        <v>452</v>
      </c>
      <c r="E376" s="108" t="s">
        <v>575</v>
      </c>
      <c r="F376" s="108" t="s">
        <v>190</v>
      </c>
      <c r="G376" s="108" t="s">
        <v>192</v>
      </c>
      <c r="H376" s="108" t="s">
        <v>192</v>
      </c>
    </row>
    <row r="377" customFormat="false" ht="15" hidden="false" customHeight="false" outlineLevel="0" collapsed="false">
      <c r="A377" s="108" t="s">
        <v>219</v>
      </c>
      <c r="B377" s="108" t="n">
        <v>19</v>
      </c>
      <c r="C377" s="108" t="n">
        <v>2</v>
      </c>
      <c r="D377" s="108" t="s">
        <v>220</v>
      </c>
      <c r="E377" s="108" t="s">
        <v>576</v>
      </c>
      <c r="F377" s="108" t="s">
        <v>190</v>
      </c>
      <c r="G377" s="108" t="s">
        <v>190</v>
      </c>
      <c r="H377" s="108" t="s">
        <v>190</v>
      </c>
    </row>
    <row r="378" customFormat="false" ht="15" hidden="false" customHeight="false" outlineLevel="0" collapsed="false">
      <c r="A378" s="108" t="n">
        <v>77235124615</v>
      </c>
      <c r="B378" s="108" t="n">
        <v>19</v>
      </c>
      <c r="C378" s="108" t="n">
        <v>0</v>
      </c>
      <c r="D378" s="108" t="s">
        <v>220</v>
      </c>
      <c r="E378" s="108" t="s">
        <v>577</v>
      </c>
      <c r="F378" s="108" t="s">
        <v>190</v>
      </c>
      <c r="G378" s="108" t="s">
        <v>192</v>
      </c>
      <c r="H378" s="108" t="s">
        <v>192</v>
      </c>
    </row>
    <row r="379" customFormat="false" ht="15" hidden="false" customHeight="false" outlineLevel="0" collapsed="false">
      <c r="A379" s="108" t="n">
        <v>77235124599</v>
      </c>
      <c r="B379" s="108" t="n">
        <v>37</v>
      </c>
      <c r="C379" s="108" t="n">
        <v>1</v>
      </c>
      <c r="D379" s="108" t="s">
        <v>222</v>
      </c>
      <c r="E379" s="108" t="s">
        <v>578</v>
      </c>
      <c r="F379" s="108" t="s">
        <v>190</v>
      </c>
      <c r="G379" s="108" t="s">
        <v>190</v>
      </c>
      <c r="H379" s="108" t="s">
        <v>190</v>
      </c>
    </row>
    <row r="380" customFormat="false" ht="15" hidden="false" customHeight="false" outlineLevel="0" collapsed="false">
      <c r="A380" s="108" t="n">
        <v>77235124589</v>
      </c>
      <c r="B380" s="108" t="n">
        <v>19</v>
      </c>
      <c r="C380" s="108" t="n">
        <v>2</v>
      </c>
      <c r="D380" s="108" t="s">
        <v>220</v>
      </c>
      <c r="E380" s="108" t="s">
        <v>579</v>
      </c>
      <c r="F380" s="108" t="s">
        <v>190</v>
      </c>
      <c r="G380" s="108" t="s">
        <v>190</v>
      </c>
      <c r="H380" s="108" t="s">
        <v>190</v>
      </c>
    </row>
    <row r="381" customFormat="false" ht="15" hidden="false" customHeight="false" outlineLevel="0" collapsed="false">
      <c r="A381" s="108" t="n">
        <v>77235124587</v>
      </c>
      <c r="B381" s="108" t="n">
        <v>19</v>
      </c>
      <c r="C381" s="108" t="n">
        <v>1</v>
      </c>
      <c r="D381" s="108" t="s">
        <v>220</v>
      </c>
      <c r="E381" s="108" t="s">
        <v>580</v>
      </c>
      <c r="F381" s="108" t="s">
        <v>190</v>
      </c>
      <c r="G381" s="108" t="s">
        <v>190</v>
      </c>
      <c r="H381" s="108" t="s">
        <v>190</v>
      </c>
    </row>
    <row r="382" customFormat="false" ht="15" hidden="false" customHeight="false" outlineLevel="0" collapsed="false">
      <c r="A382" s="108" t="n">
        <v>77235124582</v>
      </c>
      <c r="B382" s="108" t="n">
        <v>19</v>
      </c>
      <c r="C382" s="108" t="n">
        <v>1</v>
      </c>
      <c r="D382" s="108" t="s">
        <v>220</v>
      </c>
      <c r="E382" s="108" t="s">
        <v>581</v>
      </c>
      <c r="F382" s="108" t="s">
        <v>190</v>
      </c>
      <c r="G382" s="108" t="s">
        <v>190</v>
      </c>
      <c r="H382" s="108" t="s">
        <v>190</v>
      </c>
    </row>
    <row r="383" customFormat="false" ht="15" hidden="false" customHeight="false" outlineLevel="0" collapsed="false">
      <c r="A383" s="108" t="n">
        <v>77235124566</v>
      </c>
      <c r="B383" s="108" t="n">
        <v>19</v>
      </c>
      <c r="C383" s="108" t="n">
        <v>1</v>
      </c>
      <c r="D383" s="108" t="s">
        <v>220</v>
      </c>
      <c r="E383" s="108" t="s">
        <v>582</v>
      </c>
      <c r="F383" s="108" t="s">
        <v>190</v>
      </c>
      <c r="G383" s="108" t="s">
        <v>190</v>
      </c>
      <c r="H383" s="108" t="s">
        <v>190</v>
      </c>
    </row>
    <row r="384" customFormat="false" ht="15" hidden="false" customHeight="false" outlineLevel="0" collapsed="false">
      <c r="A384" s="108" t="s">
        <v>219</v>
      </c>
      <c r="B384" s="108" t="n">
        <v>36</v>
      </c>
      <c r="C384" s="108" t="n">
        <v>1</v>
      </c>
      <c r="D384" s="108" t="s">
        <v>193</v>
      </c>
      <c r="E384" s="108" t="s">
        <v>583</v>
      </c>
      <c r="F384" s="108" t="s">
        <v>190</v>
      </c>
      <c r="G384" s="108" t="s">
        <v>190</v>
      </c>
      <c r="H384" s="108" t="s">
        <v>190</v>
      </c>
    </row>
    <row r="385" customFormat="false" ht="15" hidden="false" customHeight="false" outlineLevel="0" collapsed="false">
      <c r="A385" s="108" t="n">
        <v>77235124552</v>
      </c>
      <c r="B385" s="108" t="n">
        <v>19</v>
      </c>
      <c r="C385" s="108" t="n">
        <v>0</v>
      </c>
      <c r="D385" s="108" t="s">
        <v>220</v>
      </c>
      <c r="E385" s="108" t="s">
        <v>584</v>
      </c>
      <c r="F385" s="108" t="s">
        <v>190</v>
      </c>
      <c r="G385" s="108" t="s">
        <v>192</v>
      </c>
      <c r="H385" s="108" t="s">
        <v>190</v>
      </c>
    </row>
    <row r="386" customFormat="false" ht="15" hidden="false" customHeight="false" outlineLevel="0" collapsed="false">
      <c r="A386" s="108" t="n">
        <v>77235124550</v>
      </c>
      <c r="B386" s="108" t="n">
        <v>19</v>
      </c>
      <c r="C386" s="108" t="n">
        <v>2</v>
      </c>
      <c r="D386" s="108" t="s">
        <v>220</v>
      </c>
      <c r="E386" s="108" t="s">
        <v>585</v>
      </c>
      <c r="F386" s="108" t="s">
        <v>190</v>
      </c>
      <c r="G386" s="108" t="s">
        <v>190</v>
      </c>
      <c r="H386" s="108" t="s">
        <v>192</v>
      </c>
    </row>
    <row r="387" customFormat="false" ht="15" hidden="false" customHeight="false" outlineLevel="0" collapsed="false">
      <c r="A387" s="108" t="n">
        <v>77235124541</v>
      </c>
      <c r="B387" s="108" t="n">
        <v>19</v>
      </c>
      <c r="C387" s="108" t="n">
        <v>1</v>
      </c>
      <c r="D387" s="108" t="s">
        <v>220</v>
      </c>
      <c r="E387" s="108" t="s">
        <v>586</v>
      </c>
      <c r="F387" s="108" t="s">
        <v>190</v>
      </c>
      <c r="G387" s="108" t="s">
        <v>190</v>
      </c>
      <c r="H387" s="108" t="s">
        <v>190</v>
      </c>
    </row>
    <row r="388" customFormat="false" ht="15" hidden="false" customHeight="false" outlineLevel="0" collapsed="false">
      <c r="A388" s="108" t="n">
        <v>77235124540</v>
      </c>
      <c r="B388" s="108" t="n">
        <v>19</v>
      </c>
      <c r="C388" s="108" t="n">
        <v>0</v>
      </c>
      <c r="D388" s="108" t="s">
        <v>220</v>
      </c>
      <c r="E388" s="108" t="s">
        <v>587</v>
      </c>
      <c r="F388" s="108" t="s">
        <v>190</v>
      </c>
      <c r="G388" s="108" t="s">
        <v>190</v>
      </c>
      <c r="H388" s="108" t="s">
        <v>190</v>
      </c>
    </row>
    <row r="389" customFormat="false" ht="15" hidden="false" customHeight="false" outlineLevel="0" collapsed="false">
      <c r="A389" s="108" t="n">
        <v>77235124538</v>
      </c>
      <c r="B389" s="108" t="n">
        <v>19</v>
      </c>
      <c r="C389" s="108" t="n">
        <v>2</v>
      </c>
      <c r="D389" s="108" t="s">
        <v>220</v>
      </c>
      <c r="E389" s="108" t="s">
        <v>588</v>
      </c>
      <c r="F389" s="108" t="s">
        <v>190</v>
      </c>
      <c r="G389" s="108" t="s">
        <v>190</v>
      </c>
      <c r="H389" s="108" t="s">
        <v>190</v>
      </c>
    </row>
    <row r="390" customFormat="false" ht="15" hidden="false" customHeight="false" outlineLevel="0" collapsed="false">
      <c r="A390" s="108" t="n">
        <v>77235124528</v>
      </c>
      <c r="B390" s="108" t="n">
        <v>19</v>
      </c>
      <c r="C390" s="108" t="n">
        <v>2</v>
      </c>
      <c r="D390" s="108" t="s">
        <v>220</v>
      </c>
      <c r="E390" s="108" t="s">
        <v>589</v>
      </c>
      <c r="F390" s="108" t="s">
        <v>190</v>
      </c>
      <c r="G390" s="108" t="s">
        <v>192</v>
      </c>
      <c r="H390" s="108" t="s">
        <v>190</v>
      </c>
    </row>
    <row r="391" customFormat="false" ht="15" hidden="false" customHeight="false" outlineLevel="0" collapsed="false">
      <c r="A391" s="108" t="n">
        <v>77235124499</v>
      </c>
      <c r="B391" s="108" t="n">
        <v>19</v>
      </c>
      <c r="C391" s="108" t="n">
        <v>2</v>
      </c>
      <c r="D391" s="108" t="s">
        <v>220</v>
      </c>
      <c r="E391" s="108" t="s">
        <v>590</v>
      </c>
      <c r="F391" s="108" t="s">
        <v>190</v>
      </c>
      <c r="G391" s="108" t="s">
        <v>192</v>
      </c>
      <c r="H391" s="108" t="s">
        <v>192</v>
      </c>
    </row>
    <row r="392" customFormat="false" ht="15" hidden="false" customHeight="false" outlineLevel="0" collapsed="false">
      <c r="A392" s="108" t="n">
        <v>77235124489</v>
      </c>
      <c r="B392" s="108" t="n">
        <v>19</v>
      </c>
      <c r="C392" s="108" t="n">
        <v>1</v>
      </c>
      <c r="D392" s="108" t="s">
        <v>220</v>
      </c>
      <c r="E392" s="108" t="s">
        <v>591</v>
      </c>
      <c r="F392" s="108" t="s">
        <v>190</v>
      </c>
      <c r="G392" s="108" t="s">
        <v>190</v>
      </c>
      <c r="H392" s="108" t="s">
        <v>190</v>
      </c>
    </row>
    <row r="393" customFormat="false" ht="15" hidden="false" customHeight="false" outlineLevel="0" collapsed="false">
      <c r="A393" s="108" t="n">
        <v>77235124461</v>
      </c>
      <c r="B393" s="108" t="n">
        <v>19</v>
      </c>
      <c r="C393" s="108" t="n">
        <v>0</v>
      </c>
      <c r="D393" s="108" t="s">
        <v>220</v>
      </c>
      <c r="E393" s="108" t="s">
        <v>592</v>
      </c>
      <c r="F393" s="108" t="s">
        <v>190</v>
      </c>
      <c r="G393" s="108" t="s">
        <v>190</v>
      </c>
      <c r="H393" s="108" t="s">
        <v>190</v>
      </c>
    </row>
    <row r="394" customFormat="false" ht="15" hidden="false" customHeight="false" outlineLevel="0" collapsed="false">
      <c r="A394" s="108" t="n">
        <v>77235124460</v>
      </c>
      <c r="B394" s="108" t="n">
        <v>19</v>
      </c>
      <c r="C394" s="108" t="n">
        <v>1</v>
      </c>
      <c r="D394" s="108" t="s">
        <v>220</v>
      </c>
      <c r="E394" s="108" t="s">
        <v>593</v>
      </c>
      <c r="F394" s="108" t="s">
        <v>190</v>
      </c>
      <c r="G394" s="108" t="s">
        <v>190</v>
      </c>
      <c r="H394" s="108" t="s">
        <v>190</v>
      </c>
    </row>
    <row r="395" customFormat="false" ht="15" hidden="false" customHeight="false" outlineLevel="0" collapsed="false">
      <c r="A395" s="108" t="s">
        <v>219</v>
      </c>
      <c r="B395" s="108" t="n">
        <v>19</v>
      </c>
      <c r="C395" s="108" t="n">
        <v>2</v>
      </c>
      <c r="D395" s="108" t="s">
        <v>220</v>
      </c>
      <c r="E395" s="108" t="s">
        <v>594</v>
      </c>
      <c r="F395" s="108" t="s">
        <v>190</v>
      </c>
      <c r="G395" s="108" t="s">
        <v>190</v>
      </c>
      <c r="H395" s="108" t="s">
        <v>190</v>
      </c>
    </row>
    <row r="396" customFormat="false" ht="15" hidden="false" customHeight="false" outlineLevel="0" collapsed="false">
      <c r="A396" s="108" t="n">
        <v>77235124439</v>
      </c>
      <c r="B396" s="108" t="n">
        <v>19</v>
      </c>
      <c r="C396" s="108" t="n">
        <v>2</v>
      </c>
      <c r="D396" s="108" t="s">
        <v>220</v>
      </c>
      <c r="E396" s="108" t="s">
        <v>595</v>
      </c>
      <c r="F396" s="108" t="s">
        <v>190</v>
      </c>
      <c r="G396" s="108" t="s">
        <v>190</v>
      </c>
      <c r="H396" s="108" t="s">
        <v>190</v>
      </c>
    </row>
    <row r="397" customFormat="false" ht="15" hidden="false" customHeight="false" outlineLevel="0" collapsed="false">
      <c r="A397" s="108" t="n">
        <v>77235124438</v>
      </c>
      <c r="B397" s="108" t="n">
        <v>19</v>
      </c>
      <c r="C397" s="108" t="n">
        <v>2</v>
      </c>
      <c r="D397" s="108" t="s">
        <v>220</v>
      </c>
      <c r="E397" s="108" t="s">
        <v>596</v>
      </c>
      <c r="F397" s="108" t="s">
        <v>190</v>
      </c>
      <c r="G397" s="108" t="s">
        <v>192</v>
      </c>
      <c r="H397" s="108" t="s">
        <v>190</v>
      </c>
    </row>
    <row r="398" customFormat="false" ht="15" hidden="false" customHeight="false" outlineLevel="0" collapsed="false">
      <c r="A398" s="108" t="n">
        <v>77235124418</v>
      </c>
      <c r="B398" s="108" t="n">
        <v>19</v>
      </c>
      <c r="C398" s="108" t="n">
        <v>2</v>
      </c>
      <c r="D398" s="108" t="s">
        <v>220</v>
      </c>
      <c r="E398" s="108" t="s">
        <v>597</v>
      </c>
      <c r="F398" s="108" t="s">
        <v>190</v>
      </c>
      <c r="G398" s="108" t="s">
        <v>190</v>
      </c>
      <c r="H398" s="108" t="s">
        <v>190</v>
      </c>
    </row>
    <row r="399" customFormat="false" ht="15" hidden="false" customHeight="false" outlineLevel="0" collapsed="false">
      <c r="A399" s="108" t="n">
        <v>77235124417</v>
      </c>
      <c r="B399" s="108" t="n">
        <v>19</v>
      </c>
      <c r="C399" s="108" t="n">
        <v>2</v>
      </c>
      <c r="D399" s="108" t="s">
        <v>220</v>
      </c>
      <c r="E399" s="108" t="s">
        <v>598</v>
      </c>
      <c r="F399" s="108" t="s">
        <v>190</v>
      </c>
      <c r="G399" s="108" t="s">
        <v>192</v>
      </c>
      <c r="H399" s="108" t="s">
        <v>190</v>
      </c>
    </row>
    <row r="400" customFormat="false" ht="15" hidden="false" customHeight="false" outlineLevel="0" collapsed="false">
      <c r="A400" s="108" t="n">
        <v>77235124414</v>
      </c>
      <c r="B400" s="108" t="n">
        <v>19</v>
      </c>
      <c r="C400" s="108" t="n">
        <v>2</v>
      </c>
      <c r="D400" s="108" t="s">
        <v>220</v>
      </c>
      <c r="E400" s="108" t="s">
        <v>599</v>
      </c>
      <c r="F400" s="108" t="s">
        <v>190</v>
      </c>
      <c r="G400" s="108" t="s">
        <v>190</v>
      </c>
      <c r="H400" s="108" t="s">
        <v>190</v>
      </c>
    </row>
    <row r="401" customFormat="false" ht="15" hidden="false" customHeight="false" outlineLevel="0" collapsed="false">
      <c r="A401" s="108" t="n">
        <v>77235124411</v>
      </c>
      <c r="B401" s="108" t="n">
        <v>19</v>
      </c>
      <c r="C401" s="108" t="n">
        <v>2</v>
      </c>
      <c r="D401" s="108" t="s">
        <v>220</v>
      </c>
      <c r="E401" s="108" t="s">
        <v>600</v>
      </c>
      <c r="F401" s="108" t="s">
        <v>190</v>
      </c>
      <c r="G401" s="108" t="s">
        <v>190</v>
      </c>
      <c r="H401" s="108" t="s">
        <v>190</v>
      </c>
    </row>
    <row r="402" customFormat="false" ht="15" hidden="false" customHeight="false" outlineLevel="0" collapsed="false">
      <c r="A402" s="108" t="n">
        <v>77235124404</v>
      </c>
      <c r="B402" s="108" t="n">
        <v>19</v>
      </c>
      <c r="C402" s="108" t="n">
        <v>2</v>
      </c>
      <c r="D402" s="108" t="s">
        <v>220</v>
      </c>
      <c r="E402" s="108" t="s">
        <v>601</v>
      </c>
      <c r="F402" s="108" t="s">
        <v>190</v>
      </c>
      <c r="G402" s="108" t="s">
        <v>192</v>
      </c>
      <c r="H402" s="108" t="s">
        <v>190</v>
      </c>
    </row>
    <row r="403" customFormat="false" ht="15" hidden="false" customHeight="false" outlineLevel="0" collapsed="false">
      <c r="A403" s="108" t="n">
        <v>77235124391</v>
      </c>
      <c r="B403" s="108" t="n">
        <v>19</v>
      </c>
      <c r="C403" s="108" t="n">
        <v>0</v>
      </c>
      <c r="D403" s="108" t="s">
        <v>220</v>
      </c>
      <c r="E403" s="108" t="s">
        <v>602</v>
      </c>
      <c r="F403" s="108" t="s">
        <v>190</v>
      </c>
      <c r="G403" s="108" t="s">
        <v>192</v>
      </c>
      <c r="H403" s="108" t="s">
        <v>190</v>
      </c>
    </row>
    <row r="404" customFormat="false" ht="15" hidden="false" customHeight="false" outlineLevel="0" collapsed="false">
      <c r="A404" s="108" t="n">
        <v>77235124386</v>
      </c>
      <c r="B404" s="108" t="n">
        <v>19</v>
      </c>
      <c r="C404" s="108" t="n">
        <v>2</v>
      </c>
      <c r="D404" s="108" t="s">
        <v>220</v>
      </c>
      <c r="E404" s="108" t="s">
        <v>603</v>
      </c>
      <c r="F404" s="108" t="s">
        <v>190</v>
      </c>
      <c r="G404" s="108" t="s">
        <v>192</v>
      </c>
      <c r="H404" s="108" t="s">
        <v>190</v>
      </c>
    </row>
    <row r="405" customFormat="false" ht="15" hidden="false" customHeight="false" outlineLevel="0" collapsed="false">
      <c r="A405" s="108" t="n">
        <v>77235124378</v>
      </c>
      <c r="B405" s="108" t="n">
        <v>19</v>
      </c>
      <c r="C405" s="108" t="n">
        <v>2</v>
      </c>
      <c r="D405" s="108" t="s">
        <v>220</v>
      </c>
      <c r="E405" s="108" t="s">
        <v>604</v>
      </c>
      <c r="F405" s="108" t="s">
        <v>190</v>
      </c>
      <c r="G405" s="108" t="s">
        <v>192</v>
      </c>
      <c r="H405" s="108" t="s">
        <v>190</v>
      </c>
    </row>
    <row r="406" customFormat="false" ht="15" hidden="false" customHeight="false" outlineLevel="0" collapsed="false">
      <c r="A406" s="108" t="n">
        <v>77235124351</v>
      </c>
      <c r="B406" s="108" t="n">
        <v>19</v>
      </c>
      <c r="C406" s="108" t="n">
        <v>2</v>
      </c>
      <c r="D406" s="108" t="s">
        <v>220</v>
      </c>
      <c r="E406" s="108" t="s">
        <v>605</v>
      </c>
      <c r="F406" s="108" t="s">
        <v>190</v>
      </c>
      <c r="G406" s="108" t="s">
        <v>190</v>
      </c>
      <c r="H406" s="108" t="s">
        <v>190</v>
      </c>
    </row>
    <row r="407" customFormat="false" ht="15" hidden="false" customHeight="false" outlineLevel="0" collapsed="false">
      <c r="A407" s="108" t="n">
        <v>77235124337</v>
      </c>
      <c r="B407" s="108" t="n">
        <v>19</v>
      </c>
      <c r="C407" s="108" t="n">
        <v>1</v>
      </c>
      <c r="D407" s="108" t="s">
        <v>220</v>
      </c>
      <c r="E407" s="108" t="s">
        <v>606</v>
      </c>
      <c r="F407" s="108" t="s">
        <v>190</v>
      </c>
      <c r="G407" s="108" t="s">
        <v>190</v>
      </c>
      <c r="H407" s="108" t="s">
        <v>190</v>
      </c>
    </row>
    <row r="408" customFormat="false" ht="15" hidden="false" customHeight="false" outlineLevel="0" collapsed="false">
      <c r="A408" s="108" t="n">
        <v>77235124291</v>
      </c>
      <c r="B408" s="108" t="n">
        <v>19</v>
      </c>
      <c r="C408" s="108" t="n">
        <v>2</v>
      </c>
      <c r="D408" s="108" t="s">
        <v>220</v>
      </c>
      <c r="E408" s="108" t="s">
        <v>607</v>
      </c>
      <c r="F408" s="108" t="s">
        <v>190</v>
      </c>
      <c r="G408" s="108" t="s">
        <v>190</v>
      </c>
      <c r="H408" s="108" t="s">
        <v>190</v>
      </c>
    </row>
    <row r="409" customFormat="false" ht="15" hidden="false" customHeight="false" outlineLevel="0" collapsed="false">
      <c r="A409" s="108" t="n">
        <v>77235124239</v>
      </c>
      <c r="B409" s="108" t="n">
        <v>19</v>
      </c>
      <c r="C409" s="108" t="n">
        <v>2</v>
      </c>
      <c r="D409" s="108" t="s">
        <v>220</v>
      </c>
      <c r="E409" s="108" t="s">
        <v>608</v>
      </c>
      <c r="F409" s="108" t="s">
        <v>190</v>
      </c>
      <c r="G409" s="108" t="s">
        <v>192</v>
      </c>
      <c r="H409" s="108" t="s">
        <v>190</v>
      </c>
    </row>
    <row r="410" customFormat="false" ht="15" hidden="false" customHeight="false" outlineLevel="0" collapsed="false">
      <c r="A410" s="108" t="n">
        <v>77235124236</v>
      </c>
      <c r="B410" s="108" t="n">
        <v>19</v>
      </c>
      <c r="C410" s="108" t="n">
        <v>1</v>
      </c>
      <c r="D410" s="108" t="s">
        <v>220</v>
      </c>
      <c r="E410" s="108" t="s">
        <v>609</v>
      </c>
      <c r="F410" s="108" t="s">
        <v>190</v>
      </c>
      <c r="G410" s="108" t="s">
        <v>190</v>
      </c>
      <c r="H410" s="108" t="s">
        <v>190</v>
      </c>
    </row>
    <row r="411" customFormat="false" ht="15" hidden="false" customHeight="false" outlineLevel="0" collapsed="false">
      <c r="A411" s="108" t="n">
        <v>77235124232</v>
      </c>
      <c r="B411" s="108" t="n">
        <v>19</v>
      </c>
      <c r="C411" s="108" t="n">
        <v>0</v>
      </c>
      <c r="D411" s="108" t="s">
        <v>220</v>
      </c>
      <c r="E411" s="108" t="s">
        <v>610</v>
      </c>
      <c r="F411" s="108" t="s">
        <v>190</v>
      </c>
      <c r="G411" s="108" t="s">
        <v>190</v>
      </c>
      <c r="H411" s="108" t="s">
        <v>190</v>
      </c>
    </row>
    <row r="412" customFormat="false" ht="15" hidden="false" customHeight="false" outlineLevel="0" collapsed="false">
      <c r="A412" s="108" t="s">
        <v>219</v>
      </c>
      <c r="B412" s="108" t="n">
        <v>19</v>
      </c>
      <c r="C412" s="108" t="n">
        <v>1</v>
      </c>
      <c r="D412" s="108" t="s">
        <v>220</v>
      </c>
      <c r="E412" s="108" t="s">
        <v>611</v>
      </c>
      <c r="F412" s="108" t="s">
        <v>190</v>
      </c>
      <c r="G412" s="108" t="s">
        <v>190</v>
      </c>
      <c r="H412" s="108" t="s">
        <v>190</v>
      </c>
    </row>
    <row r="413" customFormat="false" ht="15" hidden="false" customHeight="false" outlineLevel="0" collapsed="false">
      <c r="A413" s="108" t="n">
        <v>77235124225</v>
      </c>
      <c r="B413" s="108" t="n">
        <v>20</v>
      </c>
      <c r="C413" s="108" t="n">
        <v>2</v>
      </c>
      <c r="D413" s="108" t="s">
        <v>452</v>
      </c>
      <c r="E413" s="108" t="s">
        <v>612</v>
      </c>
      <c r="F413" s="108" t="s">
        <v>190</v>
      </c>
      <c r="G413" s="108" t="s">
        <v>190</v>
      </c>
      <c r="H413" s="108" t="s">
        <v>190</v>
      </c>
    </row>
    <row r="414" customFormat="false" ht="15" hidden="false" customHeight="false" outlineLevel="0" collapsed="false">
      <c r="A414" s="108" t="n">
        <v>77235124222</v>
      </c>
      <c r="B414" s="108" t="n">
        <v>19</v>
      </c>
      <c r="C414" s="108" t="n">
        <v>2</v>
      </c>
      <c r="D414" s="108" t="s">
        <v>220</v>
      </c>
      <c r="E414" s="108" t="s">
        <v>613</v>
      </c>
      <c r="F414" s="108" t="s">
        <v>190</v>
      </c>
      <c r="G414" s="108" t="s">
        <v>192</v>
      </c>
      <c r="H414" s="108" t="s">
        <v>192</v>
      </c>
    </row>
    <row r="415" customFormat="false" ht="15" hidden="false" customHeight="false" outlineLevel="0" collapsed="false">
      <c r="A415" s="108" t="n">
        <v>77235124207</v>
      </c>
      <c r="B415" s="108" t="n">
        <v>19</v>
      </c>
      <c r="C415" s="108" t="n">
        <v>1</v>
      </c>
      <c r="D415" s="108" t="s">
        <v>220</v>
      </c>
      <c r="E415" s="108" t="s">
        <v>614</v>
      </c>
      <c r="F415" s="108" t="s">
        <v>190</v>
      </c>
      <c r="G415" s="108" t="s">
        <v>192</v>
      </c>
      <c r="H415" s="108" t="s">
        <v>190</v>
      </c>
    </row>
    <row r="416" customFormat="false" ht="15" hidden="false" customHeight="false" outlineLevel="0" collapsed="false">
      <c r="A416" s="108" t="n">
        <v>77235124168</v>
      </c>
      <c r="B416" s="108" t="n">
        <v>19</v>
      </c>
      <c r="C416" s="108" t="n">
        <v>2</v>
      </c>
      <c r="D416" s="108" t="s">
        <v>220</v>
      </c>
      <c r="E416" s="108" t="s">
        <v>615</v>
      </c>
      <c r="F416" s="108" t="s">
        <v>190</v>
      </c>
      <c r="G416" s="108" t="s">
        <v>192</v>
      </c>
      <c r="H416" s="108" t="s">
        <v>190</v>
      </c>
    </row>
    <row r="417" customFormat="false" ht="15" hidden="false" customHeight="false" outlineLevel="0" collapsed="false">
      <c r="A417" s="108" t="n">
        <v>77235124164</v>
      </c>
      <c r="B417" s="108" t="n">
        <v>19</v>
      </c>
      <c r="C417" s="108" t="n">
        <v>0</v>
      </c>
      <c r="D417" s="108" t="s">
        <v>220</v>
      </c>
      <c r="E417" s="108" t="s">
        <v>616</v>
      </c>
      <c r="F417" s="108" t="s">
        <v>190</v>
      </c>
      <c r="G417" s="108" t="s">
        <v>190</v>
      </c>
      <c r="H417" s="108" t="s">
        <v>192</v>
      </c>
    </row>
    <row r="418" customFormat="false" ht="15" hidden="false" customHeight="false" outlineLevel="0" collapsed="false">
      <c r="A418" s="108" t="n">
        <v>77235124163</v>
      </c>
      <c r="B418" s="108" t="n">
        <v>19</v>
      </c>
      <c r="C418" s="108" t="n">
        <v>2</v>
      </c>
      <c r="D418" s="108" t="s">
        <v>220</v>
      </c>
      <c r="E418" s="108" t="s">
        <v>617</v>
      </c>
      <c r="F418" s="108" t="s">
        <v>190</v>
      </c>
      <c r="G418" s="108" t="s">
        <v>190</v>
      </c>
      <c r="H418" s="108" t="s">
        <v>190</v>
      </c>
    </row>
    <row r="419" customFormat="false" ht="15" hidden="false" customHeight="false" outlineLevel="0" collapsed="false">
      <c r="A419" s="108" t="n">
        <v>77235124160</v>
      </c>
      <c r="B419" s="108" t="n">
        <v>19</v>
      </c>
      <c r="C419" s="108" t="n">
        <v>1</v>
      </c>
      <c r="D419" s="108" t="s">
        <v>220</v>
      </c>
      <c r="E419" s="108" t="s">
        <v>618</v>
      </c>
      <c r="F419" s="108" t="s">
        <v>190</v>
      </c>
      <c r="G419" s="108" t="s">
        <v>190</v>
      </c>
      <c r="H419" s="108" t="s">
        <v>190</v>
      </c>
    </row>
    <row r="420" customFormat="false" ht="15" hidden="false" customHeight="false" outlineLevel="0" collapsed="false">
      <c r="A420" s="108" t="n">
        <v>77235124149</v>
      </c>
      <c r="B420" s="108" t="n">
        <v>19</v>
      </c>
      <c r="C420" s="108" t="n">
        <v>1</v>
      </c>
      <c r="D420" s="108" t="s">
        <v>220</v>
      </c>
      <c r="E420" s="108" t="s">
        <v>619</v>
      </c>
      <c r="F420" s="108" t="s">
        <v>190</v>
      </c>
      <c r="G420" s="108" t="s">
        <v>190</v>
      </c>
      <c r="H420" s="108" t="s">
        <v>190</v>
      </c>
    </row>
    <row r="421" customFormat="false" ht="15" hidden="false" customHeight="false" outlineLevel="0" collapsed="false">
      <c r="A421" s="108" t="n">
        <v>77235124147</v>
      </c>
      <c r="B421" s="108" t="n">
        <v>19</v>
      </c>
      <c r="C421" s="108" t="n">
        <v>1</v>
      </c>
      <c r="D421" s="108" t="s">
        <v>220</v>
      </c>
      <c r="E421" s="108" t="s">
        <v>620</v>
      </c>
      <c r="F421" s="108" t="s">
        <v>190</v>
      </c>
      <c r="G421" s="108" t="s">
        <v>190</v>
      </c>
      <c r="H421" s="108" t="s">
        <v>190</v>
      </c>
    </row>
    <row r="422" customFormat="false" ht="15" hidden="false" customHeight="false" outlineLevel="0" collapsed="false">
      <c r="A422" s="108" t="n">
        <v>77235124146</v>
      </c>
      <c r="B422" s="108" t="n">
        <v>19</v>
      </c>
      <c r="C422" s="108" t="n">
        <v>1</v>
      </c>
      <c r="D422" s="108" t="s">
        <v>220</v>
      </c>
      <c r="E422" s="108" t="s">
        <v>621</v>
      </c>
      <c r="F422" s="108" t="s">
        <v>190</v>
      </c>
      <c r="G422" s="108" t="s">
        <v>192</v>
      </c>
      <c r="H422" s="108" t="s">
        <v>192</v>
      </c>
    </row>
    <row r="423" customFormat="false" ht="15" hidden="false" customHeight="false" outlineLevel="0" collapsed="false">
      <c r="A423" s="108" t="n">
        <v>77235124145</v>
      </c>
      <c r="B423" s="108" t="n">
        <v>19</v>
      </c>
      <c r="C423" s="108" t="n">
        <v>1</v>
      </c>
      <c r="D423" s="108" t="s">
        <v>220</v>
      </c>
      <c r="E423" s="108" t="s">
        <v>622</v>
      </c>
      <c r="F423" s="108" t="s">
        <v>190</v>
      </c>
      <c r="G423" s="108" t="s">
        <v>190</v>
      </c>
      <c r="H423" s="108" t="s">
        <v>190</v>
      </c>
    </row>
    <row r="424" customFormat="false" ht="15" hidden="false" customHeight="false" outlineLevel="0" collapsed="false">
      <c r="A424" s="108" t="n">
        <v>77235124141</v>
      </c>
      <c r="B424" s="108" t="n">
        <v>19</v>
      </c>
      <c r="C424" s="108" t="n">
        <v>1</v>
      </c>
      <c r="D424" s="108" t="s">
        <v>220</v>
      </c>
      <c r="E424" s="108" t="s">
        <v>623</v>
      </c>
      <c r="F424" s="108" t="s">
        <v>190</v>
      </c>
      <c r="G424" s="108" t="s">
        <v>192</v>
      </c>
      <c r="H424" s="108" t="s">
        <v>190</v>
      </c>
    </row>
    <row r="425" customFormat="false" ht="15" hidden="false" customHeight="false" outlineLevel="0" collapsed="false">
      <c r="A425" s="108" t="n">
        <v>77235124136</v>
      </c>
      <c r="B425" s="108" t="n">
        <v>19</v>
      </c>
      <c r="C425" s="108" t="n">
        <v>1</v>
      </c>
      <c r="D425" s="108" t="s">
        <v>220</v>
      </c>
      <c r="E425" s="108" t="s">
        <v>624</v>
      </c>
      <c r="F425" s="108" t="s">
        <v>190</v>
      </c>
      <c r="G425" s="108" t="s">
        <v>190</v>
      </c>
      <c r="H425" s="108" t="s">
        <v>190</v>
      </c>
    </row>
    <row r="426" customFormat="false" ht="15" hidden="false" customHeight="false" outlineLevel="0" collapsed="false">
      <c r="A426" s="108" t="n">
        <v>77235124134</v>
      </c>
      <c r="B426" s="108" t="n">
        <v>19</v>
      </c>
      <c r="C426" s="108" t="n">
        <v>1</v>
      </c>
      <c r="D426" s="108" t="s">
        <v>220</v>
      </c>
      <c r="E426" s="108" t="s">
        <v>625</v>
      </c>
      <c r="F426" s="108" t="s">
        <v>190</v>
      </c>
      <c r="G426" s="108" t="s">
        <v>190</v>
      </c>
      <c r="H426" s="108" t="s">
        <v>190</v>
      </c>
    </row>
    <row r="427" customFormat="false" ht="15" hidden="false" customHeight="false" outlineLevel="0" collapsed="false">
      <c r="A427" s="108" t="n">
        <v>77235124133</v>
      </c>
      <c r="B427" s="108" t="n">
        <v>19</v>
      </c>
      <c r="C427" s="108" t="n">
        <v>1</v>
      </c>
      <c r="D427" s="108" t="s">
        <v>220</v>
      </c>
      <c r="E427" s="108" t="s">
        <v>626</v>
      </c>
      <c r="F427" s="108" t="s">
        <v>190</v>
      </c>
      <c r="G427" s="108" t="s">
        <v>190</v>
      </c>
      <c r="H427" s="108" t="s">
        <v>190</v>
      </c>
    </row>
    <row r="428" customFormat="false" ht="15" hidden="false" customHeight="false" outlineLevel="0" collapsed="false">
      <c r="A428" s="108" t="n">
        <v>77235124132</v>
      </c>
      <c r="B428" s="108" t="n">
        <v>19</v>
      </c>
      <c r="C428" s="108" t="n">
        <v>1</v>
      </c>
      <c r="D428" s="108" t="s">
        <v>220</v>
      </c>
      <c r="E428" s="108" t="s">
        <v>627</v>
      </c>
      <c r="F428" s="108" t="s">
        <v>190</v>
      </c>
      <c r="G428" s="108" t="s">
        <v>190</v>
      </c>
      <c r="H428" s="108" t="s">
        <v>190</v>
      </c>
    </row>
    <row r="429" customFormat="false" ht="15" hidden="false" customHeight="false" outlineLevel="0" collapsed="false">
      <c r="A429" s="108" t="n">
        <v>77235124130</v>
      </c>
      <c r="B429" s="108" t="n">
        <v>19</v>
      </c>
      <c r="C429" s="108" t="n">
        <v>1</v>
      </c>
      <c r="D429" s="108" t="s">
        <v>220</v>
      </c>
      <c r="E429" s="108" t="s">
        <v>628</v>
      </c>
      <c r="F429" s="108" t="s">
        <v>190</v>
      </c>
      <c r="G429" s="108" t="s">
        <v>190</v>
      </c>
      <c r="H429" s="108" t="s">
        <v>190</v>
      </c>
    </row>
    <row r="430" customFormat="false" ht="15" hidden="false" customHeight="false" outlineLevel="0" collapsed="false">
      <c r="A430" s="108" t="n">
        <v>77235124129</v>
      </c>
      <c r="B430" s="108" t="n">
        <v>19</v>
      </c>
      <c r="C430" s="108" t="n">
        <v>1</v>
      </c>
      <c r="D430" s="108" t="s">
        <v>220</v>
      </c>
      <c r="E430" s="108" t="s">
        <v>629</v>
      </c>
      <c r="F430" s="108" t="s">
        <v>190</v>
      </c>
      <c r="G430" s="108" t="s">
        <v>190</v>
      </c>
      <c r="H430" s="108" t="s">
        <v>190</v>
      </c>
    </row>
    <row r="431" customFormat="false" ht="15" hidden="false" customHeight="false" outlineLevel="0" collapsed="false">
      <c r="A431" s="108" t="n">
        <v>77235124123</v>
      </c>
      <c r="B431" s="108" t="n">
        <v>19</v>
      </c>
      <c r="C431" s="108" t="n">
        <v>1</v>
      </c>
      <c r="D431" s="108" t="s">
        <v>220</v>
      </c>
      <c r="E431" s="108" t="s">
        <v>630</v>
      </c>
      <c r="F431" s="108" t="s">
        <v>190</v>
      </c>
      <c r="G431" s="108" t="s">
        <v>190</v>
      </c>
      <c r="H431" s="108" t="s">
        <v>190</v>
      </c>
    </row>
    <row r="432" customFormat="false" ht="15" hidden="false" customHeight="false" outlineLevel="0" collapsed="false">
      <c r="A432" s="108" t="n">
        <v>77235124122</v>
      </c>
      <c r="B432" s="108" t="n">
        <v>19</v>
      </c>
      <c r="C432" s="108" t="n">
        <v>1</v>
      </c>
      <c r="D432" s="108" t="s">
        <v>220</v>
      </c>
      <c r="E432" s="108" t="s">
        <v>631</v>
      </c>
      <c r="F432" s="108" t="s">
        <v>190</v>
      </c>
      <c r="G432" s="108" t="s">
        <v>190</v>
      </c>
      <c r="H432" s="108" t="s">
        <v>190</v>
      </c>
    </row>
    <row r="433" customFormat="false" ht="15" hidden="false" customHeight="false" outlineLevel="0" collapsed="false">
      <c r="A433" s="108" t="n">
        <v>77235124121</v>
      </c>
      <c r="B433" s="108" t="n">
        <v>19</v>
      </c>
      <c r="C433" s="108" t="n">
        <v>1</v>
      </c>
      <c r="D433" s="108" t="s">
        <v>220</v>
      </c>
      <c r="E433" s="108" t="s">
        <v>632</v>
      </c>
      <c r="F433" s="108" t="s">
        <v>190</v>
      </c>
      <c r="G433" s="108" t="s">
        <v>190</v>
      </c>
      <c r="H433" s="108" t="s">
        <v>190</v>
      </c>
    </row>
    <row r="434" customFormat="false" ht="15" hidden="false" customHeight="false" outlineLevel="0" collapsed="false">
      <c r="A434" s="108" t="n">
        <v>77235124119</v>
      </c>
      <c r="B434" s="108" t="n">
        <v>19</v>
      </c>
      <c r="C434" s="108" t="n">
        <v>1</v>
      </c>
      <c r="D434" s="108" t="s">
        <v>220</v>
      </c>
      <c r="E434" s="108" t="s">
        <v>633</v>
      </c>
      <c r="F434" s="108" t="s">
        <v>190</v>
      </c>
      <c r="G434" s="108" t="s">
        <v>190</v>
      </c>
      <c r="H434" s="108" t="s">
        <v>190</v>
      </c>
    </row>
    <row r="435" customFormat="false" ht="15" hidden="false" customHeight="false" outlineLevel="0" collapsed="false">
      <c r="A435" s="108" t="n">
        <v>77235124118</v>
      </c>
      <c r="B435" s="108" t="n">
        <v>19</v>
      </c>
      <c r="C435" s="108" t="n">
        <v>1</v>
      </c>
      <c r="D435" s="108" t="s">
        <v>220</v>
      </c>
      <c r="E435" s="108" t="s">
        <v>634</v>
      </c>
      <c r="F435" s="108" t="s">
        <v>190</v>
      </c>
      <c r="G435" s="108" t="s">
        <v>190</v>
      </c>
      <c r="H435" s="108" t="s">
        <v>190</v>
      </c>
    </row>
    <row r="436" customFormat="false" ht="15" hidden="false" customHeight="false" outlineLevel="0" collapsed="false">
      <c r="A436" s="108" t="n">
        <v>77235124114</v>
      </c>
      <c r="B436" s="108" t="n">
        <v>19</v>
      </c>
      <c r="C436" s="108" t="n">
        <v>1</v>
      </c>
      <c r="D436" s="108" t="s">
        <v>220</v>
      </c>
      <c r="E436" s="108" t="s">
        <v>635</v>
      </c>
      <c r="F436" s="108" t="s">
        <v>190</v>
      </c>
      <c r="G436" s="108" t="s">
        <v>190</v>
      </c>
      <c r="H436" s="108" t="s">
        <v>190</v>
      </c>
    </row>
    <row r="437" customFormat="false" ht="15" hidden="false" customHeight="false" outlineLevel="0" collapsed="false">
      <c r="A437" s="108" t="n">
        <v>77235124112</v>
      </c>
      <c r="B437" s="108" t="n">
        <v>19</v>
      </c>
      <c r="C437" s="108" t="n">
        <v>1</v>
      </c>
      <c r="D437" s="108" t="s">
        <v>220</v>
      </c>
      <c r="E437" s="108" t="s">
        <v>636</v>
      </c>
      <c r="F437" s="108" t="s">
        <v>190</v>
      </c>
      <c r="G437" s="108" t="s">
        <v>190</v>
      </c>
      <c r="H437" s="108" t="s">
        <v>190</v>
      </c>
    </row>
    <row r="438" customFormat="false" ht="15" hidden="false" customHeight="false" outlineLevel="0" collapsed="false">
      <c r="A438" s="108" t="n">
        <v>77235124109</v>
      </c>
      <c r="B438" s="108" t="n">
        <v>19</v>
      </c>
      <c r="C438" s="108" t="n">
        <v>1</v>
      </c>
      <c r="D438" s="108" t="s">
        <v>220</v>
      </c>
      <c r="E438" s="108" t="s">
        <v>637</v>
      </c>
      <c r="F438" s="108" t="s">
        <v>190</v>
      </c>
      <c r="G438" s="108" t="s">
        <v>190</v>
      </c>
      <c r="H438" s="108" t="s">
        <v>192</v>
      </c>
    </row>
    <row r="439" customFormat="false" ht="15" hidden="false" customHeight="false" outlineLevel="0" collapsed="false">
      <c r="A439" s="108" t="n">
        <v>77235124102</v>
      </c>
      <c r="B439" s="108" t="n">
        <v>19</v>
      </c>
      <c r="C439" s="108" t="n">
        <v>1</v>
      </c>
      <c r="D439" s="108" t="s">
        <v>220</v>
      </c>
      <c r="E439" s="108" t="s">
        <v>638</v>
      </c>
      <c r="F439" s="108" t="s">
        <v>190</v>
      </c>
      <c r="G439" s="108" t="s">
        <v>190</v>
      </c>
      <c r="H439" s="108" t="s">
        <v>190</v>
      </c>
    </row>
    <row r="440" customFormat="false" ht="15" hidden="false" customHeight="false" outlineLevel="0" collapsed="false">
      <c r="A440" s="108" t="n">
        <v>77235124098</v>
      </c>
      <c r="B440" s="108" t="n">
        <v>19</v>
      </c>
      <c r="C440" s="108" t="n">
        <v>1</v>
      </c>
      <c r="D440" s="108" t="s">
        <v>220</v>
      </c>
      <c r="E440" s="108" t="s">
        <v>639</v>
      </c>
      <c r="F440" s="108" t="s">
        <v>190</v>
      </c>
      <c r="G440" s="108" t="s">
        <v>192</v>
      </c>
      <c r="H440" s="108" t="s">
        <v>192</v>
      </c>
    </row>
    <row r="441" customFormat="false" ht="15" hidden="false" customHeight="false" outlineLevel="0" collapsed="false">
      <c r="A441" s="108" t="n">
        <v>77235124095</v>
      </c>
      <c r="B441" s="108" t="n">
        <v>19</v>
      </c>
      <c r="C441" s="108" t="n">
        <v>1</v>
      </c>
      <c r="D441" s="108" t="s">
        <v>220</v>
      </c>
      <c r="E441" s="108" t="s">
        <v>640</v>
      </c>
      <c r="F441" s="108" t="s">
        <v>190</v>
      </c>
      <c r="G441" s="108" t="s">
        <v>190</v>
      </c>
      <c r="H441" s="108" t="s">
        <v>190</v>
      </c>
    </row>
    <row r="442" customFormat="false" ht="15" hidden="false" customHeight="false" outlineLevel="0" collapsed="false">
      <c r="A442" s="108" t="n">
        <v>77235124092</v>
      </c>
      <c r="B442" s="108" t="n">
        <v>19</v>
      </c>
      <c r="C442" s="108" t="n">
        <v>1</v>
      </c>
      <c r="D442" s="108" t="s">
        <v>220</v>
      </c>
      <c r="E442" s="108" t="s">
        <v>641</v>
      </c>
      <c r="F442" s="108" t="s">
        <v>190</v>
      </c>
      <c r="G442" s="108" t="s">
        <v>190</v>
      </c>
      <c r="H442" s="108" t="s">
        <v>190</v>
      </c>
    </row>
    <row r="443" customFormat="false" ht="15" hidden="false" customHeight="false" outlineLevel="0" collapsed="false">
      <c r="A443" s="108" t="n">
        <v>77235124091</v>
      </c>
      <c r="B443" s="108" t="n">
        <v>19</v>
      </c>
      <c r="C443" s="108" t="n">
        <v>1</v>
      </c>
      <c r="D443" s="108" t="s">
        <v>220</v>
      </c>
      <c r="E443" s="108" t="s">
        <v>642</v>
      </c>
      <c r="F443" s="108" t="s">
        <v>190</v>
      </c>
      <c r="G443" s="108" t="s">
        <v>190</v>
      </c>
      <c r="H443" s="108" t="s">
        <v>190</v>
      </c>
    </row>
    <row r="444" customFormat="false" ht="15" hidden="false" customHeight="false" outlineLevel="0" collapsed="false">
      <c r="A444" s="108" t="n">
        <v>77235124088</v>
      </c>
      <c r="B444" s="108" t="n">
        <v>19</v>
      </c>
      <c r="C444" s="108" t="n">
        <v>1</v>
      </c>
      <c r="D444" s="108" t="s">
        <v>220</v>
      </c>
      <c r="E444" s="108" t="s">
        <v>643</v>
      </c>
      <c r="F444" s="108" t="s">
        <v>190</v>
      </c>
      <c r="G444" s="108" t="s">
        <v>190</v>
      </c>
      <c r="H444" s="108" t="s">
        <v>190</v>
      </c>
    </row>
    <row r="445" customFormat="false" ht="15" hidden="false" customHeight="false" outlineLevel="0" collapsed="false">
      <c r="A445" s="108" t="n">
        <v>77235124086</v>
      </c>
      <c r="B445" s="108" t="n">
        <v>19</v>
      </c>
      <c r="C445" s="108" t="n">
        <v>2</v>
      </c>
      <c r="D445" s="108" t="s">
        <v>220</v>
      </c>
      <c r="E445" s="108" t="s">
        <v>644</v>
      </c>
      <c r="F445" s="108" t="s">
        <v>190</v>
      </c>
      <c r="G445" s="108" t="s">
        <v>192</v>
      </c>
      <c r="H445" s="108" t="s">
        <v>192</v>
      </c>
    </row>
    <row r="446" customFormat="false" ht="15" hidden="false" customHeight="false" outlineLevel="0" collapsed="false">
      <c r="A446" s="108" t="s">
        <v>219</v>
      </c>
      <c r="B446" s="108" t="n">
        <v>19</v>
      </c>
      <c r="C446" s="108" t="n">
        <v>1</v>
      </c>
      <c r="D446" s="108" t="s">
        <v>220</v>
      </c>
      <c r="E446" s="108" t="s">
        <v>645</v>
      </c>
      <c r="F446" s="108" t="s">
        <v>190</v>
      </c>
      <c r="G446" s="108" t="s">
        <v>190</v>
      </c>
      <c r="H446" s="108" t="s">
        <v>190</v>
      </c>
    </row>
    <row r="447" customFormat="false" ht="15" hidden="false" customHeight="false" outlineLevel="0" collapsed="false">
      <c r="A447" s="108" t="n">
        <v>77235124084</v>
      </c>
      <c r="B447" s="108" t="n">
        <v>19</v>
      </c>
      <c r="C447" s="108" t="n">
        <v>1</v>
      </c>
      <c r="D447" s="108" t="s">
        <v>220</v>
      </c>
      <c r="E447" s="108" t="s">
        <v>646</v>
      </c>
      <c r="F447" s="108" t="s">
        <v>192</v>
      </c>
      <c r="G447" s="108" t="s">
        <v>192</v>
      </c>
      <c r="H447" s="108" t="s">
        <v>192</v>
      </c>
    </row>
    <row r="448" customFormat="false" ht="15" hidden="false" customHeight="false" outlineLevel="0" collapsed="false">
      <c r="A448" s="108" t="n">
        <v>77235124083</v>
      </c>
      <c r="B448" s="108" t="n">
        <v>19</v>
      </c>
      <c r="C448" s="108" t="n">
        <v>0</v>
      </c>
      <c r="D448" s="108" t="s">
        <v>220</v>
      </c>
      <c r="E448" s="108" t="s">
        <v>647</v>
      </c>
      <c r="F448" s="108" t="s">
        <v>190</v>
      </c>
      <c r="G448" s="108" t="s">
        <v>192</v>
      </c>
      <c r="H448" s="108" t="s">
        <v>192</v>
      </c>
    </row>
    <row r="449" customFormat="false" ht="15" hidden="false" customHeight="false" outlineLevel="0" collapsed="false">
      <c r="A449" s="108" t="n">
        <v>77235124081</v>
      </c>
      <c r="B449" s="108" t="n">
        <v>19</v>
      </c>
      <c r="C449" s="108" t="n">
        <v>2</v>
      </c>
      <c r="D449" s="108" t="s">
        <v>220</v>
      </c>
      <c r="E449" s="108" t="s">
        <v>648</v>
      </c>
      <c r="F449" s="108" t="s">
        <v>190</v>
      </c>
      <c r="G449" s="108" t="s">
        <v>190</v>
      </c>
      <c r="H449" s="108" t="s">
        <v>190</v>
      </c>
    </row>
    <row r="450" customFormat="false" ht="15" hidden="false" customHeight="false" outlineLevel="0" collapsed="false">
      <c r="A450" s="108" t="n">
        <v>77235124077</v>
      </c>
      <c r="B450" s="108" t="n">
        <v>19</v>
      </c>
      <c r="C450" s="108" t="n">
        <v>0</v>
      </c>
      <c r="D450" s="108" t="s">
        <v>220</v>
      </c>
      <c r="E450" s="108" t="s">
        <v>649</v>
      </c>
      <c r="F450" s="108" t="s">
        <v>190</v>
      </c>
      <c r="G450" s="108" t="s">
        <v>190</v>
      </c>
      <c r="H450" s="108" t="s">
        <v>190</v>
      </c>
    </row>
    <row r="451" customFormat="false" ht="15" hidden="false" customHeight="false" outlineLevel="0" collapsed="false">
      <c r="A451" s="108" t="n">
        <v>77235124075</v>
      </c>
      <c r="B451" s="108" t="n">
        <v>19</v>
      </c>
      <c r="C451" s="108" t="n">
        <v>1</v>
      </c>
      <c r="D451" s="108" t="s">
        <v>220</v>
      </c>
      <c r="E451" s="108" t="s">
        <v>650</v>
      </c>
      <c r="F451" s="108" t="s">
        <v>190</v>
      </c>
      <c r="G451" s="108" t="s">
        <v>190</v>
      </c>
      <c r="H451" s="108" t="s">
        <v>190</v>
      </c>
    </row>
    <row r="452" customFormat="false" ht="15" hidden="false" customHeight="false" outlineLevel="0" collapsed="false">
      <c r="A452" s="108" t="n">
        <v>77235124069</v>
      </c>
      <c r="B452" s="108" t="n">
        <v>19</v>
      </c>
      <c r="C452" s="108" t="n">
        <v>0</v>
      </c>
      <c r="D452" s="108" t="s">
        <v>220</v>
      </c>
      <c r="E452" s="108" t="s">
        <v>651</v>
      </c>
      <c r="F452" s="108" t="s">
        <v>190</v>
      </c>
      <c r="G452" s="108" t="s">
        <v>192</v>
      </c>
      <c r="H452" s="108" t="s">
        <v>192</v>
      </c>
    </row>
    <row r="453" customFormat="false" ht="15" hidden="false" customHeight="false" outlineLevel="0" collapsed="false">
      <c r="A453" s="108" t="n">
        <v>77235124055</v>
      </c>
      <c r="B453" s="108" t="n">
        <v>19</v>
      </c>
      <c r="C453" s="108" t="n">
        <v>1</v>
      </c>
      <c r="D453" s="108" t="s">
        <v>220</v>
      </c>
      <c r="E453" s="108" t="s">
        <v>652</v>
      </c>
      <c r="F453" s="108" t="s">
        <v>190</v>
      </c>
      <c r="G453" s="108" t="s">
        <v>192</v>
      </c>
      <c r="H453" s="108" t="s">
        <v>192</v>
      </c>
    </row>
    <row r="454" customFormat="false" ht="15" hidden="false" customHeight="false" outlineLevel="0" collapsed="false">
      <c r="A454" s="108" t="n">
        <v>77235124054</v>
      </c>
      <c r="B454" s="108" t="n">
        <v>19</v>
      </c>
      <c r="C454" s="108" t="n">
        <v>2</v>
      </c>
      <c r="D454" s="108" t="s">
        <v>220</v>
      </c>
      <c r="E454" s="108" t="s">
        <v>653</v>
      </c>
      <c r="F454" s="108" t="s">
        <v>190</v>
      </c>
      <c r="G454" s="108" t="s">
        <v>190</v>
      </c>
      <c r="H454" s="108" t="s">
        <v>190</v>
      </c>
    </row>
    <row r="455" customFormat="false" ht="15" hidden="false" customHeight="false" outlineLevel="0" collapsed="false">
      <c r="A455" s="108" t="n">
        <v>77235124050</v>
      </c>
      <c r="B455" s="108" t="n">
        <v>19</v>
      </c>
      <c r="C455" s="108" t="n">
        <v>2</v>
      </c>
      <c r="D455" s="108" t="s">
        <v>220</v>
      </c>
      <c r="E455" s="108" t="s">
        <v>654</v>
      </c>
      <c r="F455" s="108" t="s">
        <v>190</v>
      </c>
      <c r="G455" s="108" t="s">
        <v>190</v>
      </c>
      <c r="H455" s="108" t="s">
        <v>190</v>
      </c>
    </row>
    <row r="456" customFormat="false" ht="15" hidden="false" customHeight="false" outlineLevel="0" collapsed="false">
      <c r="A456" s="108" t="n">
        <v>77235124047</v>
      </c>
      <c r="B456" s="108" t="n">
        <v>19</v>
      </c>
      <c r="C456" s="108" t="n">
        <v>1</v>
      </c>
      <c r="D456" s="108" t="s">
        <v>220</v>
      </c>
      <c r="E456" s="108" t="s">
        <v>655</v>
      </c>
      <c r="F456" s="108" t="s">
        <v>190</v>
      </c>
      <c r="G456" s="108" t="s">
        <v>192</v>
      </c>
      <c r="H456" s="108" t="s">
        <v>190</v>
      </c>
    </row>
    <row r="457" customFormat="false" ht="15" hidden="false" customHeight="false" outlineLevel="0" collapsed="false">
      <c r="A457" s="108" t="n">
        <v>77235124040</v>
      </c>
      <c r="B457" s="108" t="n">
        <v>19</v>
      </c>
      <c r="C457" s="108" t="n">
        <v>2</v>
      </c>
      <c r="D457" s="108" t="s">
        <v>220</v>
      </c>
      <c r="E457" s="108" t="s">
        <v>656</v>
      </c>
      <c r="F457" s="108" t="s">
        <v>190</v>
      </c>
      <c r="G457" s="108" t="s">
        <v>190</v>
      </c>
      <c r="H457" s="108" t="s">
        <v>190</v>
      </c>
    </row>
    <row r="458" customFormat="false" ht="15" hidden="false" customHeight="false" outlineLevel="0" collapsed="false">
      <c r="A458" s="108" t="n">
        <v>77235124037</v>
      </c>
      <c r="B458" s="108" t="n">
        <v>19</v>
      </c>
      <c r="C458" s="108" t="n">
        <v>2</v>
      </c>
      <c r="D458" s="108" t="s">
        <v>220</v>
      </c>
      <c r="E458" s="108" t="s">
        <v>657</v>
      </c>
      <c r="F458" s="108" t="s">
        <v>190</v>
      </c>
      <c r="G458" s="108" t="s">
        <v>192</v>
      </c>
      <c r="H458" s="108" t="s">
        <v>190</v>
      </c>
    </row>
    <row r="459" customFormat="false" ht="15" hidden="false" customHeight="false" outlineLevel="0" collapsed="false">
      <c r="A459" s="108" t="n">
        <v>77235124024</v>
      </c>
      <c r="B459" s="108" t="n">
        <v>37</v>
      </c>
      <c r="C459" s="108" t="n">
        <v>2</v>
      </c>
      <c r="D459" s="108" t="s">
        <v>222</v>
      </c>
      <c r="E459" s="108" t="s">
        <v>658</v>
      </c>
      <c r="F459" s="108" t="s">
        <v>190</v>
      </c>
      <c r="G459" s="108" t="s">
        <v>190</v>
      </c>
      <c r="H459" s="108" t="s">
        <v>190</v>
      </c>
    </row>
    <row r="460" customFormat="false" ht="15" hidden="false" customHeight="false" outlineLevel="0" collapsed="false">
      <c r="A460" s="108" t="s">
        <v>219</v>
      </c>
      <c r="B460" s="108" t="n">
        <v>37</v>
      </c>
      <c r="C460" s="108" t="n">
        <v>1</v>
      </c>
      <c r="D460" s="108" t="s">
        <v>222</v>
      </c>
      <c r="E460" s="108" t="s">
        <v>659</v>
      </c>
      <c r="F460" s="108" t="s">
        <v>190</v>
      </c>
      <c r="G460" s="108" t="s">
        <v>190</v>
      </c>
      <c r="H460" s="108" t="s">
        <v>190</v>
      </c>
    </row>
    <row r="461" customFormat="false" ht="15" hidden="false" customHeight="false" outlineLevel="0" collapsed="false">
      <c r="A461" s="108" t="n">
        <v>77235124016</v>
      </c>
      <c r="B461" s="108" t="n">
        <v>19</v>
      </c>
      <c r="C461" s="108" t="n">
        <v>1</v>
      </c>
      <c r="D461" s="108" t="s">
        <v>220</v>
      </c>
      <c r="E461" s="108" t="s">
        <v>660</v>
      </c>
      <c r="F461" s="108" t="s">
        <v>190</v>
      </c>
      <c r="G461" s="108" t="s">
        <v>190</v>
      </c>
      <c r="H461" s="108" t="s">
        <v>190</v>
      </c>
    </row>
    <row r="462" customFormat="false" ht="15" hidden="false" customHeight="false" outlineLevel="0" collapsed="false">
      <c r="A462" s="108" t="n">
        <v>77235124014</v>
      </c>
      <c r="B462" s="108" t="n">
        <v>19</v>
      </c>
      <c r="C462" s="108" t="n">
        <v>2</v>
      </c>
      <c r="D462" s="108" t="s">
        <v>220</v>
      </c>
      <c r="E462" s="108" t="s">
        <v>661</v>
      </c>
      <c r="F462" s="108" t="s">
        <v>190</v>
      </c>
      <c r="G462" s="108" t="s">
        <v>190</v>
      </c>
      <c r="H462" s="108" t="s">
        <v>190</v>
      </c>
    </row>
    <row r="463" customFormat="false" ht="15" hidden="false" customHeight="false" outlineLevel="0" collapsed="false">
      <c r="A463" s="108" t="n">
        <v>77235124010</v>
      </c>
      <c r="B463" s="108" t="n">
        <v>19</v>
      </c>
      <c r="C463" s="108" t="n">
        <v>1</v>
      </c>
      <c r="D463" s="108" t="s">
        <v>220</v>
      </c>
      <c r="E463" s="108" t="s">
        <v>662</v>
      </c>
      <c r="F463" s="108" t="s">
        <v>190</v>
      </c>
      <c r="G463" s="108" t="s">
        <v>190</v>
      </c>
      <c r="H463" s="108" t="s">
        <v>190</v>
      </c>
    </row>
    <row r="464" customFormat="false" ht="15" hidden="false" customHeight="false" outlineLevel="0" collapsed="false">
      <c r="A464" s="108" t="n">
        <v>77234850661</v>
      </c>
      <c r="B464" s="108" t="n">
        <v>84</v>
      </c>
      <c r="C464" s="108" t="n">
        <v>2</v>
      </c>
      <c r="D464" s="108" t="s">
        <v>663</v>
      </c>
      <c r="E464" s="108" t="s">
        <v>664</v>
      </c>
      <c r="F464" s="108" t="s">
        <v>190</v>
      </c>
      <c r="G464" s="108" t="s">
        <v>192</v>
      </c>
      <c r="H464" s="108" t="s">
        <v>190</v>
      </c>
    </row>
    <row r="465" customFormat="false" ht="15" hidden="false" customHeight="false" outlineLevel="0" collapsed="false">
      <c r="A465" s="108" t="n">
        <v>77234850605</v>
      </c>
      <c r="B465" s="108" t="n">
        <v>84</v>
      </c>
      <c r="C465" s="108" t="n">
        <v>1</v>
      </c>
      <c r="D465" s="108" t="s">
        <v>663</v>
      </c>
      <c r="E465" s="108" t="s">
        <v>665</v>
      </c>
      <c r="F465" s="108" t="s">
        <v>190</v>
      </c>
      <c r="G465" s="108" t="s">
        <v>192</v>
      </c>
      <c r="H465" s="108" t="s">
        <v>192</v>
      </c>
    </row>
    <row r="466" customFormat="false" ht="15" hidden="false" customHeight="false" outlineLevel="0" collapsed="false">
      <c r="A466" s="108" t="n">
        <v>77234850582</v>
      </c>
      <c r="B466" s="108" t="n">
        <v>75</v>
      </c>
      <c r="C466" s="108" t="n">
        <v>2</v>
      </c>
      <c r="D466" s="108" t="s">
        <v>666</v>
      </c>
      <c r="E466" s="108" t="s">
        <v>667</v>
      </c>
      <c r="F466" s="108" t="s">
        <v>190</v>
      </c>
      <c r="G466" s="108" t="s">
        <v>190</v>
      </c>
      <c r="H466" s="108" t="s">
        <v>190</v>
      </c>
    </row>
    <row r="467" customFormat="false" ht="15" hidden="false" customHeight="false" outlineLevel="0" collapsed="false">
      <c r="A467" s="108" t="n">
        <v>77234850521</v>
      </c>
      <c r="B467" s="108" t="n">
        <v>79</v>
      </c>
      <c r="C467" s="108" t="n">
        <v>2</v>
      </c>
      <c r="D467" s="108" t="s">
        <v>668</v>
      </c>
      <c r="E467" s="108" t="s">
        <v>669</v>
      </c>
      <c r="F467" s="108" t="s">
        <v>190</v>
      </c>
      <c r="G467" s="108" t="s">
        <v>190</v>
      </c>
      <c r="H467" s="108" t="s">
        <v>190</v>
      </c>
    </row>
    <row r="468" customFormat="false" ht="15" hidden="false" customHeight="false" outlineLevel="0" collapsed="false">
      <c r="A468" s="108" t="n">
        <v>77234850519</v>
      </c>
      <c r="B468" s="108" t="n">
        <v>79</v>
      </c>
      <c r="C468" s="108" t="n">
        <v>2</v>
      </c>
      <c r="D468" s="108" t="s">
        <v>668</v>
      </c>
      <c r="E468" s="108" t="s">
        <v>670</v>
      </c>
      <c r="F468" s="108" t="s">
        <v>190</v>
      </c>
      <c r="G468" s="108" t="s">
        <v>190</v>
      </c>
      <c r="H468" s="108" t="s">
        <v>190</v>
      </c>
    </row>
    <row r="469" customFormat="false" ht="15" hidden="false" customHeight="false" outlineLevel="0" collapsed="false">
      <c r="A469" s="108" t="n">
        <v>77234850503</v>
      </c>
      <c r="B469" s="108" t="n">
        <v>79</v>
      </c>
      <c r="C469" s="108" t="n">
        <v>2</v>
      </c>
      <c r="D469" s="108" t="s">
        <v>668</v>
      </c>
      <c r="E469" s="108" t="s">
        <v>671</v>
      </c>
      <c r="F469" s="108" t="s">
        <v>190</v>
      </c>
      <c r="G469" s="108" t="s">
        <v>190</v>
      </c>
      <c r="H469" s="108" t="s">
        <v>190</v>
      </c>
    </row>
    <row r="470" customFormat="false" ht="15" hidden="false" customHeight="false" outlineLevel="0" collapsed="false">
      <c r="A470" s="108" t="n">
        <v>77234850465</v>
      </c>
      <c r="B470" s="108" t="n">
        <v>75</v>
      </c>
      <c r="C470" s="108" t="n">
        <v>2</v>
      </c>
      <c r="D470" s="108" t="s">
        <v>666</v>
      </c>
      <c r="E470" s="108" t="s">
        <v>672</v>
      </c>
      <c r="F470" s="108" t="s">
        <v>190</v>
      </c>
      <c r="G470" s="108" t="s">
        <v>190</v>
      </c>
      <c r="H470" s="108" t="s">
        <v>190</v>
      </c>
    </row>
    <row r="471" customFormat="false" ht="15" hidden="false" customHeight="false" outlineLevel="0" collapsed="false">
      <c r="A471" s="108" t="s">
        <v>219</v>
      </c>
      <c r="B471" s="108" t="n">
        <v>81</v>
      </c>
      <c r="C471" s="108" t="n">
        <v>2</v>
      </c>
      <c r="D471" s="108" t="s">
        <v>673</v>
      </c>
      <c r="E471" s="108" t="s">
        <v>674</v>
      </c>
      <c r="F471" s="108" t="s">
        <v>190</v>
      </c>
      <c r="G471" s="108" t="s">
        <v>190</v>
      </c>
      <c r="H471" s="108" t="s">
        <v>190</v>
      </c>
    </row>
    <row r="472" customFormat="false" ht="15" hidden="false" customHeight="false" outlineLevel="0" collapsed="false">
      <c r="A472" s="108" t="n">
        <v>77234850312</v>
      </c>
      <c r="B472" s="108" t="n">
        <v>81</v>
      </c>
      <c r="C472" s="108" t="n">
        <v>2</v>
      </c>
      <c r="D472" s="108" t="s">
        <v>673</v>
      </c>
      <c r="E472" s="108" t="s">
        <v>675</v>
      </c>
      <c r="F472" s="108" t="s">
        <v>190</v>
      </c>
      <c r="G472" s="108" t="s">
        <v>190</v>
      </c>
      <c r="H472" s="108" t="s">
        <v>190</v>
      </c>
    </row>
    <row r="473" customFormat="false" ht="15" hidden="false" customHeight="false" outlineLevel="0" collapsed="false">
      <c r="A473" s="108" t="n">
        <v>77234850285</v>
      </c>
      <c r="B473" s="108" t="n">
        <v>79</v>
      </c>
      <c r="C473" s="108" t="n">
        <v>0</v>
      </c>
      <c r="D473" s="108" t="s">
        <v>668</v>
      </c>
      <c r="E473" s="108" t="s">
        <v>676</v>
      </c>
      <c r="F473" s="108" t="s">
        <v>190</v>
      </c>
      <c r="G473" s="108" t="s">
        <v>192</v>
      </c>
      <c r="H473" s="108" t="s">
        <v>192</v>
      </c>
    </row>
    <row r="474" customFormat="false" ht="15" hidden="false" customHeight="false" outlineLevel="0" collapsed="false">
      <c r="A474" s="108" t="n">
        <v>77234850263</v>
      </c>
      <c r="B474" s="108" t="n">
        <v>79</v>
      </c>
      <c r="C474" s="108" t="n">
        <v>2</v>
      </c>
      <c r="D474" s="108" t="s">
        <v>668</v>
      </c>
      <c r="E474" s="108" t="s">
        <v>677</v>
      </c>
      <c r="F474" s="108" t="s">
        <v>190</v>
      </c>
      <c r="G474" s="108" t="s">
        <v>192</v>
      </c>
      <c r="H474" s="108" t="s">
        <v>192</v>
      </c>
    </row>
    <row r="475" customFormat="false" ht="15" hidden="false" customHeight="false" outlineLevel="0" collapsed="false">
      <c r="A475" s="108" t="n">
        <v>77234850239</v>
      </c>
      <c r="B475" s="108" t="n">
        <v>84</v>
      </c>
      <c r="C475" s="108" t="n">
        <v>0</v>
      </c>
      <c r="D475" s="108" t="s">
        <v>663</v>
      </c>
      <c r="E475" s="108" t="s">
        <v>678</v>
      </c>
      <c r="F475" s="108" t="s">
        <v>190</v>
      </c>
      <c r="G475" s="108" t="s">
        <v>192</v>
      </c>
      <c r="H475" s="108" t="s">
        <v>192</v>
      </c>
    </row>
    <row r="476" customFormat="false" ht="15" hidden="false" customHeight="false" outlineLevel="0" collapsed="false">
      <c r="A476" s="108" t="n">
        <v>77234850226</v>
      </c>
      <c r="B476" s="108" t="n">
        <v>84</v>
      </c>
      <c r="C476" s="108" t="n">
        <v>0</v>
      </c>
      <c r="D476" s="108" t="s">
        <v>663</v>
      </c>
      <c r="E476" s="108" t="s">
        <v>679</v>
      </c>
      <c r="F476" s="108" t="s">
        <v>190</v>
      </c>
      <c r="G476" s="108" t="s">
        <v>190</v>
      </c>
      <c r="H476" s="108" t="s">
        <v>190</v>
      </c>
    </row>
    <row r="477" customFormat="false" ht="15" hidden="false" customHeight="false" outlineLevel="0" collapsed="false">
      <c r="A477" s="108" t="n">
        <v>77234850164</v>
      </c>
      <c r="B477" s="108" t="n">
        <v>84</v>
      </c>
      <c r="C477" s="108" t="n">
        <v>0</v>
      </c>
      <c r="D477" s="108" t="s">
        <v>663</v>
      </c>
      <c r="E477" s="108" t="s">
        <v>680</v>
      </c>
      <c r="F477" s="108" t="s">
        <v>190</v>
      </c>
      <c r="G477" s="108" t="s">
        <v>190</v>
      </c>
      <c r="H477" s="108" t="s">
        <v>190</v>
      </c>
    </row>
    <row r="478" customFormat="false" ht="15" hidden="false" customHeight="false" outlineLevel="0" collapsed="false">
      <c r="A478" s="108" t="s">
        <v>219</v>
      </c>
      <c r="B478" s="108" t="n">
        <v>79</v>
      </c>
      <c r="C478" s="108" t="n">
        <v>0</v>
      </c>
      <c r="D478" s="108" t="s">
        <v>668</v>
      </c>
      <c r="E478" s="108" t="s">
        <v>681</v>
      </c>
      <c r="F478" s="108" t="s">
        <v>190</v>
      </c>
      <c r="G478" s="108" t="s">
        <v>190</v>
      </c>
      <c r="H478" s="108" t="s">
        <v>190</v>
      </c>
    </row>
    <row r="479" customFormat="false" ht="15" hidden="false" customHeight="false" outlineLevel="0" collapsed="false">
      <c r="A479" s="108" t="n">
        <v>77234850056</v>
      </c>
      <c r="B479" s="108" t="n">
        <v>84</v>
      </c>
      <c r="C479" s="108" t="n">
        <v>1</v>
      </c>
      <c r="D479" s="108" t="s">
        <v>663</v>
      </c>
      <c r="E479" s="108" t="s">
        <v>682</v>
      </c>
      <c r="F479" s="108" t="s">
        <v>190</v>
      </c>
      <c r="G479" s="108" t="s">
        <v>190</v>
      </c>
      <c r="H479" s="108" t="s">
        <v>192</v>
      </c>
    </row>
    <row r="480" customFormat="false" ht="15" hidden="false" customHeight="false" outlineLevel="0" collapsed="false">
      <c r="A480" s="108" t="s">
        <v>219</v>
      </c>
      <c r="B480" s="108" t="n">
        <v>84</v>
      </c>
      <c r="C480" s="108" t="n">
        <v>1</v>
      </c>
      <c r="D480" s="108" t="s">
        <v>663</v>
      </c>
      <c r="E480" s="108" t="s">
        <v>683</v>
      </c>
      <c r="F480" s="108" t="s">
        <v>190</v>
      </c>
      <c r="G480" s="108" t="s">
        <v>190</v>
      </c>
      <c r="H480" s="108" t="s">
        <v>190</v>
      </c>
    </row>
    <row r="481" customFormat="false" ht="15" hidden="false" customHeight="false" outlineLevel="0" collapsed="false">
      <c r="A481" s="108" t="n">
        <v>77234820928</v>
      </c>
      <c r="B481" s="108" t="n">
        <v>79</v>
      </c>
      <c r="C481" s="108" t="n">
        <v>0</v>
      </c>
      <c r="D481" s="108" t="s">
        <v>668</v>
      </c>
      <c r="E481" s="108" t="s">
        <v>684</v>
      </c>
      <c r="F481" s="108" t="s">
        <v>190</v>
      </c>
      <c r="G481" s="108" t="s">
        <v>190</v>
      </c>
      <c r="H481" s="108" t="s">
        <v>190</v>
      </c>
    </row>
    <row r="482" customFormat="false" ht="15" hidden="false" customHeight="false" outlineLevel="0" collapsed="false">
      <c r="A482" s="108" t="n">
        <v>77234820924</v>
      </c>
      <c r="B482" s="108" t="n">
        <v>79</v>
      </c>
      <c r="C482" s="108" t="n">
        <v>0</v>
      </c>
      <c r="D482" s="108" t="s">
        <v>668</v>
      </c>
      <c r="E482" s="108" t="s">
        <v>685</v>
      </c>
      <c r="F482" s="108" t="s">
        <v>190</v>
      </c>
      <c r="G482" s="108" t="s">
        <v>190</v>
      </c>
      <c r="H482" s="108" t="s">
        <v>190</v>
      </c>
    </row>
    <row r="483" customFormat="false" ht="15" hidden="false" customHeight="false" outlineLevel="0" collapsed="false">
      <c r="A483" s="108" t="s">
        <v>219</v>
      </c>
      <c r="B483" s="108" t="n">
        <v>84</v>
      </c>
      <c r="C483" s="108" t="n">
        <v>0</v>
      </c>
      <c r="D483" s="108" t="s">
        <v>663</v>
      </c>
      <c r="E483" s="108" t="s">
        <v>686</v>
      </c>
      <c r="F483" s="108" t="s">
        <v>190</v>
      </c>
      <c r="G483" s="108" t="s">
        <v>190</v>
      </c>
      <c r="H483" s="108" t="s">
        <v>190</v>
      </c>
    </row>
    <row r="484" customFormat="false" ht="15" hidden="false" customHeight="false" outlineLevel="0" collapsed="false">
      <c r="A484" s="108" t="s">
        <v>219</v>
      </c>
      <c r="B484" s="108" t="n">
        <v>79</v>
      </c>
      <c r="C484" s="108" t="n">
        <v>1</v>
      </c>
      <c r="D484" s="108" t="s">
        <v>668</v>
      </c>
      <c r="E484" s="108" t="s">
        <v>687</v>
      </c>
      <c r="F484" s="108" t="s">
        <v>190</v>
      </c>
      <c r="G484" s="108" t="s">
        <v>190</v>
      </c>
      <c r="H484" s="108" t="s">
        <v>190</v>
      </c>
    </row>
    <row r="485" customFormat="false" ht="15" hidden="false" customHeight="false" outlineLevel="0" collapsed="false">
      <c r="A485" s="108" t="n">
        <v>77234820773</v>
      </c>
      <c r="B485" s="108" t="n">
        <v>79</v>
      </c>
      <c r="C485" s="108" t="n">
        <v>2</v>
      </c>
      <c r="D485" s="108" t="s">
        <v>668</v>
      </c>
      <c r="E485" s="108" t="s">
        <v>688</v>
      </c>
      <c r="F485" s="108" t="s">
        <v>190</v>
      </c>
      <c r="G485" s="108" t="s">
        <v>192</v>
      </c>
      <c r="H485" s="108" t="s">
        <v>190</v>
      </c>
    </row>
    <row r="486" customFormat="false" ht="15" hidden="false" customHeight="false" outlineLevel="0" collapsed="false">
      <c r="A486" s="108" t="s">
        <v>219</v>
      </c>
      <c r="B486" s="108" t="n">
        <v>75</v>
      </c>
      <c r="C486" s="108" t="n">
        <v>2</v>
      </c>
      <c r="D486" s="108" t="s">
        <v>666</v>
      </c>
      <c r="E486" s="108" t="s">
        <v>689</v>
      </c>
      <c r="F486" s="108" t="s">
        <v>190</v>
      </c>
      <c r="G486" s="108" t="s">
        <v>190</v>
      </c>
      <c r="H486" s="108" t="s">
        <v>190</v>
      </c>
    </row>
    <row r="487" customFormat="false" ht="15" hidden="false" customHeight="false" outlineLevel="0" collapsed="false">
      <c r="A487" s="108" t="s">
        <v>219</v>
      </c>
      <c r="B487" s="108" t="n">
        <v>79</v>
      </c>
      <c r="C487" s="108" t="n">
        <v>0</v>
      </c>
      <c r="D487" s="108" t="s">
        <v>668</v>
      </c>
      <c r="E487" s="108" t="s">
        <v>690</v>
      </c>
      <c r="F487" s="108" t="s">
        <v>190</v>
      </c>
      <c r="G487" s="108" t="s">
        <v>190</v>
      </c>
      <c r="H487" s="108" t="s">
        <v>190</v>
      </c>
    </row>
    <row r="488" customFormat="false" ht="15" hidden="false" customHeight="false" outlineLevel="0" collapsed="false">
      <c r="A488" s="108" t="n">
        <v>77234820659</v>
      </c>
      <c r="B488" s="108" t="n">
        <v>75</v>
      </c>
      <c r="C488" s="108" t="n">
        <v>1</v>
      </c>
      <c r="D488" s="108" t="s">
        <v>666</v>
      </c>
      <c r="E488" s="108" t="s">
        <v>691</v>
      </c>
      <c r="F488" s="108" t="s">
        <v>190</v>
      </c>
      <c r="G488" s="108" t="s">
        <v>192</v>
      </c>
      <c r="H488" s="108" t="s">
        <v>192</v>
      </c>
    </row>
    <row r="489" customFormat="false" ht="15" hidden="false" customHeight="false" outlineLevel="0" collapsed="false">
      <c r="A489" s="108" t="n">
        <v>77234820627</v>
      </c>
      <c r="B489" s="108" t="n">
        <v>82</v>
      </c>
      <c r="C489" s="108" t="n">
        <v>1</v>
      </c>
      <c r="D489" s="108" t="s">
        <v>692</v>
      </c>
      <c r="E489" s="108" t="s">
        <v>693</v>
      </c>
      <c r="F489" s="108" t="s">
        <v>190</v>
      </c>
      <c r="G489" s="108" t="s">
        <v>192</v>
      </c>
      <c r="H489" s="108" t="s">
        <v>192</v>
      </c>
    </row>
    <row r="490" customFormat="false" ht="15" hidden="false" customHeight="false" outlineLevel="0" collapsed="false">
      <c r="A490" s="108" t="n">
        <v>77234820618</v>
      </c>
      <c r="B490" s="108" t="n">
        <v>84</v>
      </c>
      <c r="C490" s="108" t="n">
        <v>0</v>
      </c>
      <c r="D490" s="108" t="s">
        <v>663</v>
      </c>
      <c r="E490" s="108" t="s">
        <v>694</v>
      </c>
      <c r="F490" s="108" t="s">
        <v>190</v>
      </c>
      <c r="G490" s="108" t="s">
        <v>192</v>
      </c>
      <c r="H490" s="108" t="s">
        <v>192</v>
      </c>
    </row>
    <row r="491" customFormat="false" ht="15" hidden="false" customHeight="false" outlineLevel="0" collapsed="false">
      <c r="A491" s="108" t="n">
        <v>77234820589</v>
      </c>
      <c r="B491" s="108" t="n">
        <v>84</v>
      </c>
      <c r="C491" s="108" t="n">
        <v>0</v>
      </c>
      <c r="D491" s="108" t="s">
        <v>663</v>
      </c>
      <c r="E491" s="108" t="s">
        <v>695</v>
      </c>
      <c r="F491" s="108" t="s">
        <v>190</v>
      </c>
      <c r="G491" s="108" t="s">
        <v>192</v>
      </c>
      <c r="H491" s="108" t="s">
        <v>190</v>
      </c>
    </row>
    <row r="492" customFormat="false" ht="15" hidden="false" customHeight="false" outlineLevel="0" collapsed="false">
      <c r="A492" s="108" t="n">
        <v>77234820582</v>
      </c>
      <c r="B492" s="108" t="n">
        <v>84</v>
      </c>
      <c r="C492" s="108" t="n">
        <v>0</v>
      </c>
      <c r="D492" s="108" t="s">
        <v>663</v>
      </c>
      <c r="E492" s="108" t="s">
        <v>696</v>
      </c>
      <c r="F492" s="108" t="s">
        <v>190</v>
      </c>
      <c r="G492" s="108" t="s">
        <v>190</v>
      </c>
      <c r="H492" s="108" t="s">
        <v>190</v>
      </c>
    </row>
    <row r="493" customFormat="false" ht="15" hidden="false" customHeight="false" outlineLevel="0" collapsed="false">
      <c r="A493" s="108" t="s">
        <v>219</v>
      </c>
      <c r="B493" s="108" t="n">
        <v>77</v>
      </c>
      <c r="C493" s="108" t="n">
        <v>2</v>
      </c>
      <c r="D493" s="108" t="s">
        <v>697</v>
      </c>
      <c r="E493" s="108" t="s">
        <v>698</v>
      </c>
      <c r="F493" s="108" t="s">
        <v>190</v>
      </c>
      <c r="G493" s="108" t="s">
        <v>190</v>
      </c>
      <c r="H493" s="108" t="s">
        <v>190</v>
      </c>
    </row>
    <row r="494" customFormat="false" ht="15" hidden="false" customHeight="false" outlineLevel="0" collapsed="false">
      <c r="A494" s="108" t="n">
        <v>77234820405</v>
      </c>
      <c r="B494" s="108" t="n">
        <v>75</v>
      </c>
      <c r="C494" s="108" t="n">
        <v>2</v>
      </c>
      <c r="D494" s="108" t="s">
        <v>666</v>
      </c>
      <c r="E494" s="108" t="s">
        <v>699</v>
      </c>
      <c r="F494" s="108" t="s">
        <v>190</v>
      </c>
      <c r="G494" s="108" t="s">
        <v>192</v>
      </c>
      <c r="H494" s="108" t="s">
        <v>190</v>
      </c>
    </row>
    <row r="495" customFormat="false" ht="15" hidden="false" customHeight="false" outlineLevel="0" collapsed="false">
      <c r="A495" s="108" t="n">
        <v>77234820350</v>
      </c>
      <c r="B495" s="108" t="n">
        <v>79</v>
      </c>
      <c r="C495" s="108" t="n">
        <v>2</v>
      </c>
      <c r="D495" s="108" t="s">
        <v>668</v>
      </c>
      <c r="E495" s="108" t="s">
        <v>700</v>
      </c>
      <c r="F495" s="108" t="s">
        <v>190</v>
      </c>
      <c r="G495" s="108" t="s">
        <v>192</v>
      </c>
      <c r="H495" s="108" t="s">
        <v>190</v>
      </c>
    </row>
    <row r="496" customFormat="false" ht="15" hidden="false" customHeight="false" outlineLevel="0" collapsed="false">
      <c r="A496" s="108" t="n">
        <v>77234820315</v>
      </c>
      <c r="B496" s="108" t="n">
        <v>84</v>
      </c>
      <c r="C496" s="108" t="n">
        <v>0</v>
      </c>
      <c r="D496" s="108" t="s">
        <v>663</v>
      </c>
      <c r="E496" s="108" t="s">
        <v>701</v>
      </c>
      <c r="F496" s="108" t="s">
        <v>190</v>
      </c>
      <c r="G496" s="108" t="s">
        <v>190</v>
      </c>
      <c r="H496" s="108" t="s">
        <v>190</v>
      </c>
    </row>
    <row r="497" customFormat="false" ht="15" hidden="false" customHeight="false" outlineLevel="0" collapsed="false">
      <c r="A497" s="108" t="n">
        <v>77234820308</v>
      </c>
      <c r="B497" s="108" t="n">
        <v>84</v>
      </c>
      <c r="C497" s="108" t="n">
        <v>0</v>
      </c>
      <c r="D497" s="108" t="s">
        <v>663</v>
      </c>
      <c r="E497" s="108" t="s">
        <v>702</v>
      </c>
      <c r="F497" s="108" t="s">
        <v>190</v>
      </c>
      <c r="G497" s="108" t="s">
        <v>192</v>
      </c>
      <c r="H497" s="108" t="s">
        <v>190</v>
      </c>
    </row>
    <row r="498" customFormat="false" ht="15" hidden="false" customHeight="false" outlineLevel="0" collapsed="false">
      <c r="A498" s="108" t="s">
        <v>219</v>
      </c>
      <c r="B498" s="108" t="n">
        <v>75</v>
      </c>
      <c r="C498" s="108" t="n">
        <v>2</v>
      </c>
      <c r="D498" s="108" t="s">
        <v>666</v>
      </c>
      <c r="E498" s="108" t="s">
        <v>703</v>
      </c>
      <c r="F498" s="108" t="s">
        <v>190</v>
      </c>
      <c r="G498" s="108" t="s">
        <v>190</v>
      </c>
      <c r="H498" s="108" t="s">
        <v>190</v>
      </c>
    </row>
    <row r="499" customFormat="false" ht="15" hidden="false" customHeight="false" outlineLevel="0" collapsed="false">
      <c r="A499" s="108" t="n">
        <v>77234820272</v>
      </c>
      <c r="B499" s="108" t="n">
        <v>75</v>
      </c>
      <c r="C499" s="108" t="n">
        <v>0</v>
      </c>
      <c r="D499" s="108" t="s">
        <v>666</v>
      </c>
      <c r="E499" s="108" t="s">
        <v>704</v>
      </c>
      <c r="F499" s="108" t="s">
        <v>190</v>
      </c>
      <c r="G499" s="108" t="s">
        <v>190</v>
      </c>
      <c r="H499" s="108" t="s">
        <v>190</v>
      </c>
    </row>
    <row r="500" customFormat="false" ht="15" hidden="false" customHeight="false" outlineLevel="0" collapsed="false">
      <c r="A500" s="108" t="n">
        <v>77234820262</v>
      </c>
      <c r="B500" s="108" t="n">
        <v>75</v>
      </c>
      <c r="C500" s="108" t="n">
        <v>1</v>
      </c>
      <c r="D500" s="108" t="s">
        <v>666</v>
      </c>
      <c r="E500" s="108" t="s">
        <v>705</v>
      </c>
      <c r="F500" s="108" t="s">
        <v>190</v>
      </c>
      <c r="G500" s="108" t="s">
        <v>190</v>
      </c>
      <c r="H500" s="108" t="s">
        <v>190</v>
      </c>
    </row>
    <row r="501" customFormat="false" ht="15" hidden="false" customHeight="false" outlineLevel="0" collapsed="false">
      <c r="A501" s="108" t="n">
        <v>77234820251</v>
      </c>
      <c r="B501" s="108" t="n">
        <v>75</v>
      </c>
      <c r="C501" s="108" t="n">
        <v>2</v>
      </c>
      <c r="D501" s="108" t="s">
        <v>666</v>
      </c>
      <c r="E501" s="108" t="s">
        <v>706</v>
      </c>
      <c r="F501" s="108" t="s">
        <v>190</v>
      </c>
      <c r="G501" s="108" t="s">
        <v>190</v>
      </c>
      <c r="H501" s="108" t="s">
        <v>190</v>
      </c>
    </row>
    <row r="502" customFormat="false" ht="15" hidden="false" customHeight="false" outlineLevel="0" collapsed="false">
      <c r="A502" s="108" t="n">
        <v>77234820234</v>
      </c>
      <c r="B502" s="108" t="n">
        <v>75</v>
      </c>
      <c r="C502" s="108" t="n">
        <v>1</v>
      </c>
      <c r="D502" s="108" t="s">
        <v>666</v>
      </c>
      <c r="E502" s="108" t="s">
        <v>707</v>
      </c>
      <c r="F502" s="108" t="s">
        <v>190</v>
      </c>
      <c r="G502" s="108" t="s">
        <v>190</v>
      </c>
      <c r="H502" s="108" t="s">
        <v>192</v>
      </c>
    </row>
    <row r="503" customFormat="false" ht="15" hidden="false" customHeight="false" outlineLevel="0" collapsed="false">
      <c r="A503" s="108" t="s">
        <v>219</v>
      </c>
      <c r="B503" s="108" t="n">
        <v>79</v>
      </c>
      <c r="C503" s="108" t="n">
        <v>2</v>
      </c>
      <c r="D503" s="108" t="s">
        <v>668</v>
      </c>
      <c r="E503" s="108" t="s">
        <v>708</v>
      </c>
      <c r="F503" s="108" t="s">
        <v>190</v>
      </c>
      <c r="G503" s="108" t="s">
        <v>190</v>
      </c>
      <c r="H503" s="108" t="s">
        <v>190</v>
      </c>
    </row>
    <row r="504" customFormat="false" ht="15" hidden="false" customHeight="false" outlineLevel="0" collapsed="false">
      <c r="A504" s="108" t="n">
        <v>77234820202</v>
      </c>
      <c r="B504" s="108" t="n">
        <v>84</v>
      </c>
      <c r="C504" s="108" t="n">
        <v>2</v>
      </c>
      <c r="D504" s="108" t="s">
        <v>663</v>
      </c>
      <c r="E504" s="108" t="s">
        <v>709</v>
      </c>
      <c r="F504" s="108" t="s">
        <v>190</v>
      </c>
      <c r="G504" s="108" t="s">
        <v>192</v>
      </c>
      <c r="H504" s="108" t="s">
        <v>192</v>
      </c>
    </row>
    <row r="505" customFormat="false" ht="15" hidden="false" customHeight="false" outlineLevel="0" collapsed="false">
      <c r="A505" s="108" t="n">
        <v>77234820170</v>
      </c>
      <c r="B505" s="108" t="n">
        <v>75</v>
      </c>
      <c r="C505" s="108" t="n">
        <v>2</v>
      </c>
      <c r="D505" s="108" t="s">
        <v>666</v>
      </c>
      <c r="E505" s="108" t="s">
        <v>710</v>
      </c>
      <c r="F505" s="108" t="s">
        <v>190</v>
      </c>
      <c r="G505" s="108" t="s">
        <v>190</v>
      </c>
      <c r="H505" s="108" t="s">
        <v>190</v>
      </c>
    </row>
    <row r="506" customFormat="false" ht="15" hidden="false" customHeight="false" outlineLevel="0" collapsed="false">
      <c r="A506" s="108" t="n">
        <v>77234820067</v>
      </c>
      <c r="B506" s="108" t="n">
        <v>75</v>
      </c>
      <c r="C506" s="108" t="n">
        <v>2</v>
      </c>
      <c r="D506" s="108" t="s">
        <v>666</v>
      </c>
      <c r="E506" s="108" t="s">
        <v>711</v>
      </c>
      <c r="F506" s="108" t="s">
        <v>190</v>
      </c>
      <c r="G506" s="108" t="s">
        <v>190</v>
      </c>
      <c r="H506" s="108" t="s">
        <v>190</v>
      </c>
    </row>
    <row r="507" customFormat="false" ht="15" hidden="false" customHeight="false" outlineLevel="0" collapsed="false">
      <c r="A507" s="108" t="n">
        <v>77234820023</v>
      </c>
      <c r="B507" s="108" t="n">
        <v>75</v>
      </c>
      <c r="C507" s="108" t="n">
        <v>2</v>
      </c>
      <c r="D507" s="108" t="s">
        <v>666</v>
      </c>
      <c r="E507" s="108" t="s">
        <v>712</v>
      </c>
      <c r="F507" s="108" t="s">
        <v>190</v>
      </c>
      <c r="G507" s="108" t="s">
        <v>192</v>
      </c>
      <c r="H507" s="108" t="s">
        <v>190</v>
      </c>
    </row>
    <row r="508" customFormat="false" ht="15" hidden="false" customHeight="false" outlineLevel="0" collapsed="false">
      <c r="A508" s="108" t="n">
        <v>77234820001</v>
      </c>
      <c r="B508" s="108" t="n">
        <v>84</v>
      </c>
      <c r="C508" s="108" t="n">
        <v>0</v>
      </c>
      <c r="D508" s="108" t="s">
        <v>663</v>
      </c>
      <c r="E508" s="108" t="s">
        <v>713</v>
      </c>
      <c r="F508" s="108" t="s">
        <v>190</v>
      </c>
      <c r="G508" s="108" t="s">
        <v>192</v>
      </c>
      <c r="H508" s="108" t="s">
        <v>190</v>
      </c>
    </row>
    <row r="509" customFormat="false" ht="15" hidden="false" customHeight="false" outlineLevel="0" collapsed="false">
      <c r="A509" s="108" t="s">
        <v>219</v>
      </c>
      <c r="B509" s="108" t="n">
        <v>81</v>
      </c>
      <c r="C509" s="108" t="n">
        <v>2</v>
      </c>
      <c r="D509" s="108" t="s">
        <v>673</v>
      </c>
      <c r="E509" s="108" t="s">
        <v>714</v>
      </c>
      <c r="F509" s="108" t="s">
        <v>190</v>
      </c>
      <c r="G509" s="108" t="s">
        <v>190</v>
      </c>
      <c r="H509" s="108" t="s">
        <v>190</v>
      </c>
    </row>
    <row r="510" customFormat="false" ht="15" hidden="false" customHeight="false" outlineLevel="0" collapsed="false">
      <c r="A510" s="108" t="n">
        <v>77234767991</v>
      </c>
      <c r="B510" s="108" t="n">
        <v>24</v>
      </c>
      <c r="C510" s="108" t="n">
        <v>2</v>
      </c>
      <c r="D510" s="108" t="s">
        <v>715</v>
      </c>
      <c r="E510" s="108" t="s">
        <v>716</v>
      </c>
      <c r="F510" s="108" t="s">
        <v>190</v>
      </c>
      <c r="G510" s="108" t="s">
        <v>190</v>
      </c>
      <c r="H510" s="108" t="s">
        <v>190</v>
      </c>
    </row>
    <row r="511" customFormat="false" ht="15" hidden="false" customHeight="false" outlineLevel="0" collapsed="false">
      <c r="A511" s="108" t="n">
        <v>77234767986</v>
      </c>
      <c r="B511" s="108" t="n">
        <v>22</v>
      </c>
      <c r="C511" s="108" t="n">
        <v>2</v>
      </c>
      <c r="D511" s="108" t="s">
        <v>717</v>
      </c>
      <c r="E511" s="108" t="s">
        <v>718</v>
      </c>
      <c r="F511" s="108" t="s">
        <v>190</v>
      </c>
      <c r="G511" s="108" t="s">
        <v>190</v>
      </c>
      <c r="H511" s="108" t="s">
        <v>190</v>
      </c>
    </row>
    <row r="512" customFormat="false" ht="15" hidden="false" customHeight="false" outlineLevel="0" collapsed="false">
      <c r="A512" s="108" t="n">
        <v>77234767974</v>
      </c>
      <c r="B512" s="108" t="n">
        <v>22</v>
      </c>
      <c r="C512" s="108" t="n">
        <v>0</v>
      </c>
      <c r="D512" s="108" t="s">
        <v>717</v>
      </c>
      <c r="E512" s="108" t="s">
        <v>719</v>
      </c>
      <c r="F512" s="108" t="s">
        <v>190</v>
      </c>
      <c r="G512" s="108" t="s">
        <v>190</v>
      </c>
      <c r="H512" s="108" t="s">
        <v>190</v>
      </c>
    </row>
    <row r="513" customFormat="false" ht="15" hidden="false" customHeight="false" outlineLevel="0" collapsed="false">
      <c r="A513" s="108" t="n">
        <v>77234767973</v>
      </c>
      <c r="B513" s="108" t="n">
        <v>32</v>
      </c>
      <c r="C513" s="108" t="n">
        <v>1</v>
      </c>
      <c r="D513" s="108" t="s">
        <v>720</v>
      </c>
      <c r="E513" s="108" t="s">
        <v>721</v>
      </c>
      <c r="F513" s="108" t="s">
        <v>190</v>
      </c>
      <c r="G513" s="108" t="s">
        <v>192</v>
      </c>
      <c r="H513" s="108" t="s">
        <v>190</v>
      </c>
    </row>
    <row r="514" customFormat="false" ht="15" hidden="false" customHeight="false" outlineLevel="0" collapsed="false">
      <c r="A514" s="108" t="n">
        <v>77234767957</v>
      </c>
      <c r="B514" s="108" t="n">
        <v>32</v>
      </c>
      <c r="C514" s="108" t="n">
        <v>2</v>
      </c>
      <c r="D514" s="108" t="s">
        <v>720</v>
      </c>
      <c r="E514" s="108" t="s">
        <v>722</v>
      </c>
      <c r="F514" s="108" t="s">
        <v>190</v>
      </c>
      <c r="G514" s="108" t="s">
        <v>190</v>
      </c>
      <c r="H514" s="108" t="s">
        <v>190</v>
      </c>
    </row>
    <row r="515" customFormat="false" ht="15" hidden="false" customHeight="false" outlineLevel="0" collapsed="false">
      <c r="A515" s="108" t="n">
        <v>77234767955</v>
      </c>
      <c r="B515" s="108" t="n">
        <v>23</v>
      </c>
      <c r="C515" s="108" t="n">
        <v>0</v>
      </c>
      <c r="D515" s="108" t="s">
        <v>723</v>
      </c>
      <c r="E515" s="108" t="s">
        <v>724</v>
      </c>
      <c r="F515" s="108" t="s">
        <v>190</v>
      </c>
      <c r="G515" s="108" t="s">
        <v>192</v>
      </c>
      <c r="H515" s="108" t="s">
        <v>190</v>
      </c>
    </row>
    <row r="516" customFormat="false" ht="15" hidden="false" customHeight="false" outlineLevel="0" collapsed="false">
      <c r="A516" s="108" t="n">
        <v>77234767948</v>
      </c>
      <c r="B516" s="108" t="n">
        <v>23</v>
      </c>
      <c r="C516" s="108" t="n">
        <v>2</v>
      </c>
      <c r="D516" s="108" t="s">
        <v>723</v>
      </c>
      <c r="E516" s="108" t="s">
        <v>725</v>
      </c>
      <c r="F516" s="108" t="s">
        <v>190</v>
      </c>
      <c r="G516" s="108" t="s">
        <v>190</v>
      </c>
      <c r="H516" s="108" t="s">
        <v>190</v>
      </c>
    </row>
    <row r="517" customFormat="false" ht="15" hidden="false" customHeight="false" outlineLevel="0" collapsed="false">
      <c r="A517" s="108" t="n">
        <v>77234767946</v>
      </c>
      <c r="B517" s="108" t="n">
        <v>23</v>
      </c>
      <c r="C517" s="108" t="n">
        <v>2</v>
      </c>
      <c r="D517" s="108" t="s">
        <v>723</v>
      </c>
      <c r="E517" s="108" t="s">
        <v>726</v>
      </c>
      <c r="F517" s="108" t="s">
        <v>190</v>
      </c>
      <c r="G517" s="108" t="s">
        <v>192</v>
      </c>
      <c r="H517" s="108" t="s">
        <v>190</v>
      </c>
    </row>
    <row r="518" customFormat="false" ht="15" hidden="false" customHeight="false" outlineLevel="0" collapsed="false">
      <c r="A518" s="108" t="n">
        <v>77234767945</v>
      </c>
      <c r="B518" s="108" t="n">
        <v>23</v>
      </c>
      <c r="C518" s="108" t="n">
        <v>2</v>
      </c>
      <c r="D518" s="108" t="s">
        <v>723</v>
      </c>
      <c r="E518" s="108" t="s">
        <v>727</v>
      </c>
      <c r="F518" s="108" t="s">
        <v>190</v>
      </c>
      <c r="G518" s="108" t="s">
        <v>192</v>
      </c>
      <c r="H518" s="108" t="s">
        <v>190</v>
      </c>
    </row>
    <row r="519" customFormat="false" ht="15" hidden="false" customHeight="false" outlineLevel="0" collapsed="false">
      <c r="A519" s="108" t="n">
        <v>77234767944</v>
      </c>
      <c r="B519" s="108" t="n">
        <v>23</v>
      </c>
      <c r="C519" s="108" t="n">
        <v>0</v>
      </c>
      <c r="D519" s="108" t="s">
        <v>723</v>
      </c>
      <c r="E519" s="108" t="s">
        <v>728</v>
      </c>
      <c r="F519" s="108" t="s">
        <v>190</v>
      </c>
      <c r="G519" s="108" t="s">
        <v>190</v>
      </c>
      <c r="H519" s="108" t="s">
        <v>190</v>
      </c>
    </row>
    <row r="520" customFormat="false" ht="15" hidden="false" customHeight="false" outlineLevel="0" collapsed="false">
      <c r="A520" s="108" t="n">
        <v>77234767933</v>
      </c>
      <c r="B520" s="108" t="n">
        <v>59</v>
      </c>
      <c r="C520" s="108" t="n">
        <v>0</v>
      </c>
      <c r="D520" s="108" t="s">
        <v>729</v>
      </c>
      <c r="E520" s="108" t="s">
        <v>730</v>
      </c>
      <c r="F520" s="108" t="s">
        <v>190</v>
      </c>
      <c r="G520" s="108" t="s">
        <v>190</v>
      </c>
      <c r="H520" s="108" t="s">
        <v>190</v>
      </c>
    </row>
    <row r="521" customFormat="false" ht="15" hidden="false" customHeight="false" outlineLevel="0" collapsed="false">
      <c r="A521" s="108" t="n">
        <v>77234767926</v>
      </c>
      <c r="B521" s="108" t="n">
        <v>59</v>
      </c>
      <c r="C521" s="108" t="n">
        <v>2</v>
      </c>
      <c r="D521" s="108" t="s">
        <v>729</v>
      </c>
      <c r="E521" s="108" t="s">
        <v>731</v>
      </c>
      <c r="F521" s="108" t="s">
        <v>190</v>
      </c>
      <c r="G521" s="108" t="s">
        <v>192</v>
      </c>
      <c r="H521" s="108" t="s">
        <v>192</v>
      </c>
    </row>
    <row r="522" customFormat="false" ht="15" hidden="false" customHeight="false" outlineLevel="0" collapsed="false">
      <c r="A522" s="108" t="n">
        <v>77234767921</v>
      </c>
      <c r="B522" s="108" t="n">
        <v>22</v>
      </c>
      <c r="C522" s="108" t="n">
        <v>1</v>
      </c>
      <c r="D522" s="108" t="s">
        <v>717</v>
      </c>
      <c r="E522" s="108" t="s">
        <v>732</v>
      </c>
      <c r="F522" s="108" t="s">
        <v>190</v>
      </c>
      <c r="G522" s="108" t="s">
        <v>190</v>
      </c>
      <c r="H522" s="108" t="s">
        <v>190</v>
      </c>
    </row>
    <row r="523" customFormat="false" ht="15" hidden="false" customHeight="false" outlineLevel="0" collapsed="false">
      <c r="A523" s="108" t="s">
        <v>219</v>
      </c>
      <c r="B523" s="108" t="n">
        <v>70</v>
      </c>
      <c r="C523" s="108" t="n">
        <v>2</v>
      </c>
      <c r="D523" s="108" t="s">
        <v>733</v>
      </c>
      <c r="E523" s="108" t="s">
        <v>734</v>
      </c>
      <c r="F523" s="108" t="s">
        <v>190</v>
      </c>
      <c r="G523" s="108" t="s">
        <v>190</v>
      </c>
      <c r="H523" s="108" t="s">
        <v>190</v>
      </c>
    </row>
    <row r="524" customFormat="false" ht="15" hidden="false" customHeight="false" outlineLevel="0" collapsed="false">
      <c r="A524" s="108" t="n">
        <v>77234767890</v>
      </c>
      <c r="B524" s="108" t="n">
        <v>59</v>
      </c>
      <c r="C524" s="108" t="n">
        <v>1</v>
      </c>
      <c r="D524" s="108" t="s">
        <v>729</v>
      </c>
      <c r="E524" s="108" t="s">
        <v>735</v>
      </c>
      <c r="F524" s="108" t="s">
        <v>190</v>
      </c>
      <c r="G524" s="108" t="s">
        <v>190</v>
      </c>
      <c r="H524" s="108" t="s">
        <v>190</v>
      </c>
    </row>
    <row r="525" customFormat="false" ht="15" hidden="false" customHeight="false" outlineLevel="0" collapsed="false">
      <c r="A525" s="108" t="n">
        <v>77234767885</v>
      </c>
      <c r="B525" s="108" t="n">
        <v>22</v>
      </c>
      <c r="C525" s="108" t="n">
        <v>1</v>
      </c>
      <c r="D525" s="108" t="s">
        <v>717</v>
      </c>
      <c r="E525" s="108" t="s">
        <v>736</v>
      </c>
      <c r="F525" s="108" t="s">
        <v>190</v>
      </c>
      <c r="G525" s="108" t="s">
        <v>190</v>
      </c>
      <c r="H525" s="108" t="s">
        <v>190</v>
      </c>
    </row>
    <row r="526" customFormat="false" ht="15" hidden="false" customHeight="false" outlineLevel="0" collapsed="false">
      <c r="A526" s="108" t="n">
        <v>77234767877</v>
      </c>
      <c r="B526" s="108" t="n">
        <v>59</v>
      </c>
      <c r="C526" s="108" t="n">
        <v>1</v>
      </c>
      <c r="D526" s="108" t="s">
        <v>729</v>
      </c>
      <c r="E526" s="108" t="s">
        <v>737</v>
      </c>
      <c r="F526" s="108" t="s">
        <v>190</v>
      </c>
      <c r="G526" s="108" t="s">
        <v>192</v>
      </c>
      <c r="H526" s="108" t="s">
        <v>192</v>
      </c>
    </row>
    <row r="527" customFormat="false" ht="15" hidden="false" customHeight="false" outlineLevel="0" collapsed="false">
      <c r="A527" s="108" t="n">
        <v>77234767872</v>
      </c>
      <c r="B527" s="108" t="n">
        <v>22</v>
      </c>
      <c r="C527" s="108" t="n">
        <v>0</v>
      </c>
      <c r="D527" s="108" t="s">
        <v>717</v>
      </c>
      <c r="E527" s="108" t="s">
        <v>738</v>
      </c>
      <c r="F527" s="108" t="s">
        <v>190</v>
      </c>
      <c r="G527" s="108" t="s">
        <v>190</v>
      </c>
      <c r="H527" s="108" t="s">
        <v>190</v>
      </c>
    </row>
    <row r="528" customFormat="false" ht="15" hidden="false" customHeight="false" outlineLevel="0" collapsed="false">
      <c r="A528" s="108" t="n">
        <v>77234767870</v>
      </c>
      <c r="B528" s="108" t="n">
        <v>32</v>
      </c>
      <c r="C528" s="108" t="n">
        <v>1</v>
      </c>
      <c r="D528" s="108" t="s">
        <v>720</v>
      </c>
      <c r="E528" s="108" t="s">
        <v>739</v>
      </c>
      <c r="F528" s="108" t="s">
        <v>190</v>
      </c>
      <c r="G528" s="108" t="s">
        <v>190</v>
      </c>
      <c r="H528" s="108" t="s">
        <v>190</v>
      </c>
    </row>
    <row r="529" customFormat="false" ht="15" hidden="false" customHeight="false" outlineLevel="0" collapsed="false">
      <c r="A529" s="108" t="n">
        <v>77234767854</v>
      </c>
      <c r="B529" s="108" t="n">
        <v>32</v>
      </c>
      <c r="C529" s="108" t="n">
        <v>1</v>
      </c>
      <c r="D529" s="108" t="s">
        <v>720</v>
      </c>
      <c r="E529" s="108" t="s">
        <v>740</v>
      </c>
      <c r="F529" s="108" t="s">
        <v>190</v>
      </c>
      <c r="G529" s="108" t="s">
        <v>192</v>
      </c>
      <c r="H529" s="108" t="s">
        <v>190</v>
      </c>
    </row>
    <row r="530" customFormat="false" ht="15" hidden="false" customHeight="false" outlineLevel="0" collapsed="false">
      <c r="A530" s="108" t="n">
        <v>77234767829</v>
      </c>
      <c r="B530" s="108" t="n">
        <v>22</v>
      </c>
      <c r="C530" s="108" t="n">
        <v>0</v>
      </c>
      <c r="D530" s="108" t="s">
        <v>717</v>
      </c>
      <c r="E530" s="108" t="s">
        <v>741</v>
      </c>
      <c r="F530" s="108" t="s">
        <v>190</v>
      </c>
      <c r="G530" s="108" t="s">
        <v>192</v>
      </c>
      <c r="H530" s="108" t="s">
        <v>192</v>
      </c>
    </row>
    <row r="531" customFormat="false" ht="15" hidden="false" customHeight="false" outlineLevel="0" collapsed="false">
      <c r="A531" s="108" t="n">
        <v>77234767825</v>
      </c>
      <c r="B531" s="108" t="n">
        <v>24</v>
      </c>
      <c r="C531" s="108" t="n">
        <v>2</v>
      </c>
      <c r="D531" s="108" t="s">
        <v>715</v>
      </c>
      <c r="E531" s="108" t="s">
        <v>742</v>
      </c>
      <c r="F531" s="108" t="s">
        <v>190</v>
      </c>
      <c r="G531" s="108" t="s">
        <v>190</v>
      </c>
      <c r="H531" s="108" t="s">
        <v>190</v>
      </c>
    </row>
    <row r="532" customFormat="false" ht="15" hidden="false" customHeight="false" outlineLevel="0" collapsed="false">
      <c r="A532" s="108" t="n">
        <v>77234767803</v>
      </c>
      <c r="B532" s="108" t="n">
        <v>23</v>
      </c>
      <c r="C532" s="108" t="n">
        <v>2</v>
      </c>
      <c r="D532" s="108" t="s">
        <v>723</v>
      </c>
      <c r="E532" s="108" t="s">
        <v>743</v>
      </c>
      <c r="F532" s="108" t="s">
        <v>190</v>
      </c>
      <c r="G532" s="108" t="s">
        <v>190</v>
      </c>
      <c r="H532" s="108" t="s">
        <v>192</v>
      </c>
    </row>
    <row r="533" customFormat="false" ht="15" hidden="false" customHeight="false" outlineLevel="0" collapsed="false">
      <c r="A533" s="108" t="s">
        <v>219</v>
      </c>
      <c r="B533" s="108" t="n">
        <v>59</v>
      </c>
      <c r="C533" s="108" t="n">
        <v>1</v>
      </c>
      <c r="D533" s="108" t="s">
        <v>729</v>
      </c>
      <c r="E533" s="108" t="s">
        <v>744</v>
      </c>
      <c r="F533" s="108" t="s">
        <v>190</v>
      </c>
      <c r="G533" s="108" t="s">
        <v>190</v>
      </c>
      <c r="H533" s="108" t="s">
        <v>190</v>
      </c>
    </row>
    <row r="534" customFormat="false" ht="15" hidden="false" customHeight="false" outlineLevel="0" collapsed="false">
      <c r="A534" s="108" t="n">
        <v>77234767744</v>
      </c>
      <c r="B534" s="108" t="n">
        <v>23</v>
      </c>
      <c r="C534" s="108" t="n">
        <v>2</v>
      </c>
      <c r="D534" s="108" t="s">
        <v>723</v>
      </c>
      <c r="E534" s="108" t="s">
        <v>745</v>
      </c>
      <c r="F534" s="108" t="s">
        <v>190</v>
      </c>
      <c r="G534" s="108" t="s">
        <v>190</v>
      </c>
      <c r="H534" s="108" t="s">
        <v>190</v>
      </c>
    </row>
    <row r="535" customFormat="false" ht="15" hidden="false" customHeight="false" outlineLevel="0" collapsed="false">
      <c r="A535" s="108" t="n">
        <v>77234767739</v>
      </c>
      <c r="B535" s="108" t="n">
        <v>23</v>
      </c>
      <c r="C535" s="108" t="n">
        <v>2</v>
      </c>
      <c r="D535" s="108" t="s">
        <v>723</v>
      </c>
      <c r="E535" s="108" t="s">
        <v>746</v>
      </c>
      <c r="F535" s="108" t="s">
        <v>190</v>
      </c>
      <c r="G535" s="108" t="s">
        <v>192</v>
      </c>
      <c r="H535" s="108" t="s">
        <v>192</v>
      </c>
    </row>
    <row r="536" customFormat="false" ht="15" hidden="false" customHeight="false" outlineLevel="0" collapsed="false">
      <c r="A536" s="108" t="n">
        <v>77234767738</v>
      </c>
      <c r="B536" s="108" t="n">
        <v>22</v>
      </c>
      <c r="C536" s="108" t="n">
        <v>1</v>
      </c>
      <c r="D536" s="108" t="s">
        <v>717</v>
      </c>
      <c r="E536" s="108" t="s">
        <v>747</v>
      </c>
      <c r="F536" s="108" t="s">
        <v>190</v>
      </c>
      <c r="G536" s="108" t="s">
        <v>190</v>
      </c>
      <c r="H536" s="108" t="s">
        <v>190</v>
      </c>
    </row>
    <row r="537" customFormat="false" ht="15" hidden="false" customHeight="false" outlineLevel="0" collapsed="false">
      <c r="A537" s="108" t="n">
        <v>77234767728</v>
      </c>
      <c r="B537" s="108" t="n">
        <v>23</v>
      </c>
      <c r="C537" s="108" t="n">
        <v>0</v>
      </c>
      <c r="D537" s="108" t="s">
        <v>723</v>
      </c>
      <c r="E537" s="108" t="s">
        <v>748</v>
      </c>
      <c r="F537" s="108" t="s">
        <v>190</v>
      </c>
      <c r="G537" s="108" t="s">
        <v>190</v>
      </c>
      <c r="H537" s="108" t="s">
        <v>190</v>
      </c>
    </row>
    <row r="538" customFormat="false" ht="15" hidden="false" customHeight="false" outlineLevel="0" collapsed="false">
      <c r="A538" s="108" t="n">
        <v>77234767726</v>
      </c>
      <c r="B538" s="108" t="n">
        <v>22</v>
      </c>
      <c r="C538" s="108" t="n">
        <v>0</v>
      </c>
      <c r="D538" s="108" t="s">
        <v>717</v>
      </c>
      <c r="E538" s="108" t="s">
        <v>749</v>
      </c>
      <c r="F538" s="108" t="s">
        <v>190</v>
      </c>
      <c r="G538" s="108" t="s">
        <v>192</v>
      </c>
      <c r="H538" s="108" t="s">
        <v>190</v>
      </c>
    </row>
    <row r="539" customFormat="false" ht="15" hidden="false" customHeight="false" outlineLevel="0" collapsed="false">
      <c r="A539" s="108" t="n">
        <v>77234767697</v>
      </c>
      <c r="B539" s="108" t="n">
        <v>23</v>
      </c>
      <c r="C539" s="108" t="n">
        <v>0</v>
      </c>
      <c r="D539" s="108" t="s">
        <v>723</v>
      </c>
      <c r="E539" s="108" t="s">
        <v>750</v>
      </c>
      <c r="F539" s="108" t="s">
        <v>190</v>
      </c>
      <c r="G539" s="108" t="s">
        <v>190</v>
      </c>
      <c r="H539" s="108" t="s">
        <v>190</v>
      </c>
    </row>
    <row r="540" customFormat="false" ht="15" hidden="false" customHeight="false" outlineLevel="0" collapsed="false">
      <c r="A540" s="108" t="n">
        <v>77234767695</v>
      </c>
      <c r="B540" s="108" t="n">
        <v>23</v>
      </c>
      <c r="C540" s="108" t="n">
        <v>0</v>
      </c>
      <c r="D540" s="108" t="s">
        <v>723</v>
      </c>
      <c r="E540" s="108" t="s">
        <v>751</v>
      </c>
      <c r="F540" s="108" t="s">
        <v>190</v>
      </c>
      <c r="G540" s="108" t="s">
        <v>190</v>
      </c>
      <c r="H540" s="108" t="s">
        <v>190</v>
      </c>
    </row>
    <row r="541" customFormat="false" ht="15" hidden="false" customHeight="false" outlineLevel="0" collapsed="false">
      <c r="A541" s="108" t="n">
        <v>77234767692</v>
      </c>
      <c r="B541" s="108" t="n">
        <v>23</v>
      </c>
      <c r="C541" s="108" t="n">
        <v>0</v>
      </c>
      <c r="D541" s="108" t="s">
        <v>723</v>
      </c>
      <c r="E541" s="108" t="s">
        <v>752</v>
      </c>
      <c r="F541" s="108" t="s">
        <v>190</v>
      </c>
      <c r="G541" s="108" t="s">
        <v>190</v>
      </c>
      <c r="H541" s="108" t="s">
        <v>190</v>
      </c>
    </row>
    <row r="542" customFormat="false" ht="15" hidden="false" customHeight="false" outlineLevel="0" collapsed="false">
      <c r="A542" s="108" t="n">
        <v>77234767676</v>
      </c>
      <c r="B542" s="108" t="n">
        <v>22</v>
      </c>
      <c r="C542" s="108" t="n">
        <v>1</v>
      </c>
      <c r="D542" s="108" t="s">
        <v>717</v>
      </c>
      <c r="E542" s="108" t="s">
        <v>753</v>
      </c>
      <c r="F542" s="108" t="s">
        <v>190</v>
      </c>
      <c r="G542" s="108" t="s">
        <v>192</v>
      </c>
      <c r="H542" s="108" t="s">
        <v>192</v>
      </c>
    </row>
    <row r="543" customFormat="false" ht="15" hidden="false" customHeight="false" outlineLevel="0" collapsed="false">
      <c r="A543" s="108" t="n">
        <v>77234767674</v>
      </c>
      <c r="B543" s="108" t="n">
        <v>23</v>
      </c>
      <c r="C543" s="108" t="n">
        <v>2</v>
      </c>
      <c r="D543" s="108" t="s">
        <v>723</v>
      </c>
      <c r="E543" s="108" t="s">
        <v>754</v>
      </c>
      <c r="F543" s="108" t="s">
        <v>190</v>
      </c>
      <c r="G543" s="108" t="s">
        <v>192</v>
      </c>
      <c r="H543" s="108" t="s">
        <v>190</v>
      </c>
    </row>
    <row r="544" customFormat="false" ht="15" hidden="false" customHeight="false" outlineLevel="0" collapsed="false">
      <c r="A544" s="108" t="n">
        <v>77234767665</v>
      </c>
      <c r="B544" s="108" t="n">
        <v>23</v>
      </c>
      <c r="C544" s="108" t="n">
        <v>0</v>
      </c>
      <c r="D544" s="108" t="s">
        <v>723</v>
      </c>
      <c r="E544" s="108" t="s">
        <v>755</v>
      </c>
      <c r="F544" s="108" t="s">
        <v>190</v>
      </c>
      <c r="G544" s="108" t="s">
        <v>190</v>
      </c>
      <c r="H544" s="108" t="s">
        <v>190</v>
      </c>
    </row>
    <row r="545" customFormat="false" ht="15" hidden="false" customHeight="false" outlineLevel="0" collapsed="false">
      <c r="A545" s="108" t="n">
        <v>77234767664</v>
      </c>
      <c r="B545" s="108" t="n">
        <v>22</v>
      </c>
      <c r="C545" s="108" t="n">
        <v>2</v>
      </c>
      <c r="D545" s="108" t="s">
        <v>717</v>
      </c>
      <c r="E545" s="108" t="s">
        <v>756</v>
      </c>
      <c r="F545" s="108" t="s">
        <v>190</v>
      </c>
      <c r="G545" s="108" t="s">
        <v>190</v>
      </c>
      <c r="H545" s="108" t="s">
        <v>190</v>
      </c>
    </row>
    <row r="546" customFormat="false" ht="15" hidden="false" customHeight="false" outlineLevel="0" collapsed="false">
      <c r="A546" s="108" t="n">
        <v>77234767631</v>
      </c>
      <c r="B546" s="108" t="n">
        <v>23</v>
      </c>
      <c r="C546" s="108" t="n">
        <v>2</v>
      </c>
      <c r="D546" s="108" t="s">
        <v>723</v>
      </c>
      <c r="E546" s="108" t="s">
        <v>757</v>
      </c>
      <c r="F546" s="108" t="s">
        <v>190</v>
      </c>
      <c r="G546" s="108" t="s">
        <v>190</v>
      </c>
      <c r="H546" s="108" t="s">
        <v>190</v>
      </c>
    </row>
    <row r="547" customFormat="false" ht="15" hidden="false" customHeight="false" outlineLevel="0" collapsed="false">
      <c r="A547" s="108" t="n">
        <v>77234767627</v>
      </c>
      <c r="B547" s="108" t="n">
        <v>59</v>
      </c>
      <c r="C547" s="108" t="n">
        <v>1</v>
      </c>
      <c r="D547" s="108" t="s">
        <v>729</v>
      </c>
      <c r="E547" s="108" t="s">
        <v>758</v>
      </c>
      <c r="F547" s="108" t="s">
        <v>190</v>
      </c>
      <c r="G547" s="108" t="s">
        <v>192</v>
      </c>
      <c r="H547" s="108" t="s">
        <v>190</v>
      </c>
    </row>
    <row r="548" customFormat="false" ht="15" hidden="false" customHeight="false" outlineLevel="0" collapsed="false">
      <c r="A548" s="108" t="n">
        <v>77234767579</v>
      </c>
      <c r="B548" s="108" t="n">
        <v>22</v>
      </c>
      <c r="C548" s="108" t="n">
        <v>2</v>
      </c>
      <c r="D548" s="108" t="s">
        <v>717</v>
      </c>
      <c r="E548" s="108" t="s">
        <v>759</v>
      </c>
      <c r="F548" s="108" t="s">
        <v>190</v>
      </c>
      <c r="G548" s="108" t="s">
        <v>192</v>
      </c>
      <c r="H548" s="108" t="s">
        <v>190</v>
      </c>
    </row>
    <row r="549" customFormat="false" ht="15" hidden="false" customHeight="false" outlineLevel="0" collapsed="false">
      <c r="A549" s="108" t="n">
        <v>77234767561</v>
      </c>
      <c r="B549" s="108" t="n">
        <v>23</v>
      </c>
      <c r="C549" s="108" t="n">
        <v>2</v>
      </c>
      <c r="D549" s="108" t="s">
        <v>723</v>
      </c>
      <c r="E549" s="108" t="s">
        <v>760</v>
      </c>
      <c r="F549" s="108" t="s">
        <v>190</v>
      </c>
      <c r="G549" s="108" t="s">
        <v>190</v>
      </c>
      <c r="H549" s="108" t="s">
        <v>190</v>
      </c>
    </row>
    <row r="550" customFormat="false" ht="15" hidden="false" customHeight="false" outlineLevel="0" collapsed="false">
      <c r="A550" s="108" t="n">
        <v>77234767560</v>
      </c>
      <c r="B550" s="108" t="n">
        <v>24</v>
      </c>
      <c r="C550" s="108" t="n">
        <v>2</v>
      </c>
      <c r="D550" s="108" t="s">
        <v>715</v>
      </c>
      <c r="E550" s="108" t="s">
        <v>761</v>
      </c>
      <c r="F550" s="108" t="s">
        <v>190</v>
      </c>
      <c r="G550" s="108" t="s">
        <v>192</v>
      </c>
      <c r="H550" s="108" t="s">
        <v>192</v>
      </c>
    </row>
    <row r="551" customFormat="false" ht="15" hidden="false" customHeight="false" outlineLevel="0" collapsed="false">
      <c r="A551" s="108" t="n">
        <v>77234767554</v>
      </c>
      <c r="B551" s="108" t="n">
        <v>22</v>
      </c>
      <c r="C551" s="108" t="n">
        <v>0</v>
      </c>
      <c r="D551" s="108" t="s">
        <v>717</v>
      </c>
      <c r="E551" s="108" t="s">
        <v>762</v>
      </c>
      <c r="F551" s="108" t="s">
        <v>190</v>
      </c>
      <c r="G551" s="108" t="s">
        <v>190</v>
      </c>
      <c r="H551" s="108" t="s">
        <v>190</v>
      </c>
    </row>
    <row r="552" customFormat="false" ht="15" hidden="false" customHeight="false" outlineLevel="0" collapsed="false">
      <c r="A552" s="108" t="n">
        <v>77234767538</v>
      </c>
      <c r="B552" s="108" t="n">
        <v>24</v>
      </c>
      <c r="C552" s="108" t="n">
        <v>2</v>
      </c>
      <c r="D552" s="108" t="s">
        <v>715</v>
      </c>
      <c r="E552" s="108" t="s">
        <v>763</v>
      </c>
      <c r="F552" s="108" t="s">
        <v>190</v>
      </c>
      <c r="G552" s="108" t="s">
        <v>192</v>
      </c>
      <c r="H552" s="108" t="s">
        <v>192</v>
      </c>
    </row>
    <row r="553" customFormat="false" ht="15" hidden="false" customHeight="false" outlineLevel="0" collapsed="false">
      <c r="A553" s="108" t="n">
        <v>77234767510</v>
      </c>
      <c r="B553" s="108" t="n">
        <v>22</v>
      </c>
      <c r="C553" s="108" t="n">
        <v>0</v>
      </c>
      <c r="D553" s="108" t="s">
        <v>717</v>
      </c>
      <c r="E553" s="108" t="s">
        <v>764</v>
      </c>
      <c r="F553" s="108" t="s">
        <v>190</v>
      </c>
      <c r="G553" s="108" t="s">
        <v>190</v>
      </c>
      <c r="H553" s="108" t="s">
        <v>190</v>
      </c>
    </row>
    <row r="554" customFormat="false" ht="15" hidden="false" customHeight="false" outlineLevel="0" collapsed="false">
      <c r="A554" s="108" t="n">
        <v>77234767490</v>
      </c>
      <c r="B554" s="108" t="n">
        <v>24</v>
      </c>
      <c r="C554" s="108" t="n">
        <v>2</v>
      </c>
      <c r="D554" s="108" t="s">
        <v>715</v>
      </c>
      <c r="E554" s="108" t="s">
        <v>765</v>
      </c>
      <c r="F554" s="108" t="s">
        <v>190</v>
      </c>
      <c r="G554" s="108" t="s">
        <v>192</v>
      </c>
      <c r="H554" s="108" t="s">
        <v>190</v>
      </c>
    </row>
    <row r="555" customFormat="false" ht="15" hidden="false" customHeight="false" outlineLevel="0" collapsed="false">
      <c r="A555" s="108" t="n">
        <v>77234767462</v>
      </c>
      <c r="B555" s="108" t="n">
        <v>23</v>
      </c>
      <c r="C555" s="108" t="n">
        <v>2</v>
      </c>
      <c r="D555" s="108" t="s">
        <v>723</v>
      </c>
      <c r="E555" s="108" t="s">
        <v>766</v>
      </c>
      <c r="F555" s="108" t="s">
        <v>190</v>
      </c>
      <c r="G555" s="108" t="s">
        <v>190</v>
      </c>
      <c r="H555" s="108" t="s">
        <v>190</v>
      </c>
    </row>
    <row r="556" customFormat="false" ht="15" hidden="false" customHeight="false" outlineLevel="0" collapsed="false">
      <c r="A556" s="108" t="n">
        <v>77234767450</v>
      </c>
      <c r="B556" s="108" t="n">
        <v>24</v>
      </c>
      <c r="C556" s="108" t="n">
        <v>2</v>
      </c>
      <c r="D556" s="108" t="s">
        <v>715</v>
      </c>
      <c r="E556" s="108" t="s">
        <v>767</v>
      </c>
      <c r="F556" s="108" t="s">
        <v>190</v>
      </c>
      <c r="G556" s="108" t="s">
        <v>190</v>
      </c>
      <c r="H556" s="108" t="s">
        <v>190</v>
      </c>
    </row>
    <row r="557" customFormat="false" ht="15" hidden="false" customHeight="false" outlineLevel="0" collapsed="false">
      <c r="A557" s="108" t="n">
        <v>77234767437</v>
      </c>
      <c r="B557" s="108" t="n">
        <v>24</v>
      </c>
      <c r="C557" s="108" t="n">
        <v>2</v>
      </c>
      <c r="D557" s="108" t="s">
        <v>715</v>
      </c>
      <c r="E557" s="108" t="s">
        <v>768</v>
      </c>
      <c r="F557" s="108" t="s">
        <v>190</v>
      </c>
      <c r="G557" s="108" t="s">
        <v>192</v>
      </c>
      <c r="H557" s="108" t="s">
        <v>190</v>
      </c>
    </row>
    <row r="558" customFormat="false" ht="15" hidden="false" customHeight="false" outlineLevel="0" collapsed="false">
      <c r="A558" s="108" t="n">
        <v>77234767421</v>
      </c>
      <c r="B558" s="108" t="n">
        <v>24</v>
      </c>
      <c r="C558" s="108" t="n">
        <v>2</v>
      </c>
      <c r="D558" s="108" t="s">
        <v>715</v>
      </c>
      <c r="E558" s="108" t="s">
        <v>769</v>
      </c>
      <c r="F558" s="108" t="s">
        <v>190</v>
      </c>
      <c r="G558" s="108" t="s">
        <v>190</v>
      </c>
      <c r="H558" s="108" t="s">
        <v>190</v>
      </c>
    </row>
    <row r="559" customFormat="false" ht="15" hidden="false" customHeight="false" outlineLevel="0" collapsed="false">
      <c r="A559" s="108" t="n">
        <v>77234767416</v>
      </c>
      <c r="B559" s="108" t="n">
        <v>23</v>
      </c>
      <c r="C559" s="108" t="n">
        <v>2</v>
      </c>
      <c r="D559" s="108" t="s">
        <v>723</v>
      </c>
      <c r="E559" s="108" t="s">
        <v>770</v>
      </c>
      <c r="F559" s="108" t="s">
        <v>190</v>
      </c>
      <c r="G559" s="108" t="s">
        <v>190</v>
      </c>
      <c r="H559" s="108" t="s">
        <v>190</v>
      </c>
    </row>
    <row r="560" customFormat="false" ht="15" hidden="false" customHeight="false" outlineLevel="0" collapsed="false">
      <c r="A560" s="108" t="n">
        <v>77234767415</v>
      </c>
      <c r="B560" s="108" t="n">
        <v>23</v>
      </c>
      <c r="C560" s="108" t="n">
        <v>0</v>
      </c>
      <c r="D560" s="108" t="s">
        <v>723</v>
      </c>
      <c r="E560" s="108" t="s">
        <v>771</v>
      </c>
      <c r="F560" s="108" t="s">
        <v>190</v>
      </c>
      <c r="G560" s="108" t="s">
        <v>190</v>
      </c>
      <c r="H560" s="108" t="s">
        <v>190</v>
      </c>
    </row>
    <row r="561" customFormat="false" ht="15" hidden="false" customHeight="false" outlineLevel="0" collapsed="false">
      <c r="A561" s="108" t="n">
        <v>77234767403</v>
      </c>
      <c r="B561" s="108" t="n">
        <v>23</v>
      </c>
      <c r="C561" s="108" t="n">
        <v>0</v>
      </c>
      <c r="D561" s="108" t="s">
        <v>723</v>
      </c>
      <c r="E561" s="108" t="s">
        <v>772</v>
      </c>
      <c r="F561" s="108" t="s">
        <v>190</v>
      </c>
      <c r="G561" s="108" t="s">
        <v>190</v>
      </c>
      <c r="H561" s="108" t="s">
        <v>190</v>
      </c>
    </row>
    <row r="562" customFormat="false" ht="15" hidden="false" customHeight="false" outlineLevel="0" collapsed="false">
      <c r="A562" s="108" t="n">
        <v>77234767394</v>
      </c>
      <c r="B562" s="108" t="n">
        <v>22</v>
      </c>
      <c r="C562" s="108" t="n">
        <v>0</v>
      </c>
      <c r="D562" s="108" t="s">
        <v>717</v>
      </c>
      <c r="E562" s="108" t="s">
        <v>773</v>
      </c>
      <c r="F562" s="108" t="s">
        <v>190</v>
      </c>
      <c r="G562" s="108" t="s">
        <v>192</v>
      </c>
      <c r="H562" s="108" t="s">
        <v>192</v>
      </c>
    </row>
    <row r="563" customFormat="false" ht="15" hidden="false" customHeight="false" outlineLevel="0" collapsed="false">
      <c r="A563" s="108" t="n">
        <v>77234767381</v>
      </c>
      <c r="B563" s="108" t="n">
        <v>22</v>
      </c>
      <c r="C563" s="108" t="n">
        <v>2</v>
      </c>
      <c r="D563" s="108" t="s">
        <v>717</v>
      </c>
      <c r="E563" s="108" t="s">
        <v>774</v>
      </c>
      <c r="F563" s="108" t="s">
        <v>190</v>
      </c>
      <c r="G563" s="108" t="s">
        <v>190</v>
      </c>
      <c r="H563" s="108" t="s">
        <v>190</v>
      </c>
    </row>
    <row r="564" customFormat="false" ht="15" hidden="false" customHeight="false" outlineLevel="0" collapsed="false">
      <c r="A564" s="108" t="n">
        <v>77234767374</v>
      </c>
      <c r="B564" s="108" t="n">
        <v>59</v>
      </c>
      <c r="C564" s="108" t="n">
        <v>2</v>
      </c>
      <c r="D564" s="108" t="s">
        <v>729</v>
      </c>
      <c r="E564" s="108" t="s">
        <v>775</v>
      </c>
      <c r="F564" s="108" t="s">
        <v>190</v>
      </c>
      <c r="G564" s="108" t="s">
        <v>190</v>
      </c>
      <c r="H564" s="108" t="s">
        <v>190</v>
      </c>
    </row>
    <row r="565" customFormat="false" ht="15" hidden="false" customHeight="false" outlineLevel="0" collapsed="false">
      <c r="A565" s="108" t="n">
        <v>77234767363</v>
      </c>
      <c r="B565" s="108" t="n">
        <v>22</v>
      </c>
      <c r="C565" s="108" t="n">
        <v>0</v>
      </c>
      <c r="D565" s="108" t="s">
        <v>717</v>
      </c>
      <c r="E565" s="108" t="s">
        <v>776</v>
      </c>
      <c r="F565" s="108" t="s">
        <v>190</v>
      </c>
      <c r="G565" s="108" t="s">
        <v>192</v>
      </c>
      <c r="H565" s="108" t="s">
        <v>192</v>
      </c>
    </row>
    <row r="566" customFormat="false" ht="15" hidden="false" customHeight="false" outlineLevel="0" collapsed="false">
      <c r="A566" s="108" t="n">
        <v>77234767362</v>
      </c>
      <c r="B566" s="108" t="n">
        <v>59</v>
      </c>
      <c r="C566" s="108" t="n">
        <v>1</v>
      </c>
      <c r="D566" s="108" t="s">
        <v>729</v>
      </c>
      <c r="E566" s="108" t="s">
        <v>777</v>
      </c>
      <c r="F566" s="108" t="s">
        <v>190</v>
      </c>
      <c r="G566" s="108" t="s">
        <v>192</v>
      </c>
      <c r="H566" s="108" t="s">
        <v>192</v>
      </c>
    </row>
    <row r="567" customFormat="false" ht="15" hidden="false" customHeight="false" outlineLevel="0" collapsed="false">
      <c r="A567" s="108" t="n">
        <v>77234767358</v>
      </c>
      <c r="B567" s="108" t="n">
        <v>23</v>
      </c>
      <c r="C567" s="108" t="n">
        <v>0</v>
      </c>
      <c r="D567" s="108" t="s">
        <v>723</v>
      </c>
      <c r="E567" s="108" t="s">
        <v>778</v>
      </c>
      <c r="F567" s="108" t="s">
        <v>190</v>
      </c>
      <c r="G567" s="108" t="s">
        <v>192</v>
      </c>
      <c r="H567" s="108" t="s">
        <v>192</v>
      </c>
    </row>
    <row r="568" customFormat="false" ht="15" hidden="false" customHeight="false" outlineLevel="0" collapsed="false">
      <c r="A568" s="108" t="n">
        <v>77234767356</v>
      </c>
      <c r="B568" s="108" t="n">
        <v>59</v>
      </c>
      <c r="C568" s="108" t="n">
        <v>2</v>
      </c>
      <c r="D568" s="108" t="s">
        <v>729</v>
      </c>
      <c r="E568" s="108" t="s">
        <v>779</v>
      </c>
      <c r="F568" s="108" t="s">
        <v>190</v>
      </c>
      <c r="G568" s="108" t="s">
        <v>192</v>
      </c>
      <c r="H568" s="108" t="s">
        <v>192</v>
      </c>
    </row>
    <row r="569" customFormat="false" ht="15" hidden="false" customHeight="false" outlineLevel="0" collapsed="false">
      <c r="A569" s="108" t="n">
        <v>77234767354</v>
      </c>
      <c r="B569" s="108" t="n">
        <v>32</v>
      </c>
      <c r="C569" s="108" t="n">
        <v>1</v>
      </c>
      <c r="D569" s="108" t="s">
        <v>720</v>
      </c>
      <c r="E569" s="108" t="s">
        <v>780</v>
      </c>
      <c r="F569" s="108" t="s">
        <v>190</v>
      </c>
      <c r="G569" s="108" t="s">
        <v>190</v>
      </c>
      <c r="H569" s="108" t="s">
        <v>190</v>
      </c>
    </row>
    <row r="570" customFormat="false" ht="15" hidden="false" customHeight="false" outlineLevel="0" collapsed="false">
      <c r="A570" s="108" t="s">
        <v>219</v>
      </c>
      <c r="B570" s="108" t="n">
        <v>23</v>
      </c>
      <c r="C570" s="108" t="n">
        <v>2</v>
      </c>
      <c r="D570" s="108" t="s">
        <v>723</v>
      </c>
      <c r="E570" s="108" t="s">
        <v>781</v>
      </c>
      <c r="F570" s="108" t="s">
        <v>190</v>
      </c>
      <c r="G570" s="108" t="s">
        <v>190</v>
      </c>
      <c r="H570" s="108" t="s">
        <v>190</v>
      </c>
    </row>
    <row r="571" customFormat="false" ht="15" hidden="false" customHeight="false" outlineLevel="0" collapsed="false">
      <c r="A571" s="108" t="n">
        <v>77234767344</v>
      </c>
      <c r="B571" s="108" t="n">
        <v>22</v>
      </c>
      <c r="C571" s="108" t="n">
        <v>0</v>
      </c>
      <c r="D571" s="108" t="s">
        <v>717</v>
      </c>
      <c r="E571" s="108" t="s">
        <v>782</v>
      </c>
      <c r="F571" s="108" t="s">
        <v>190</v>
      </c>
      <c r="G571" s="108" t="s">
        <v>192</v>
      </c>
      <c r="H571" s="108" t="s">
        <v>192</v>
      </c>
    </row>
    <row r="572" customFormat="false" ht="15" hidden="false" customHeight="false" outlineLevel="0" collapsed="false">
      <c r="A572" s="108" t="n">
        <v>77234767343</v>
      </c>
      <c r="B572" s="108" t="n">
        <v>22</v>
      </c>
      <c r="C572" s="108" t="n">
        <v>0</v>
      </c>
      <c r="D572" s="108" t="s">
        <v>717</v>
      </c>
      <c r="E572" s="108" t="s">
        <v>783</v>
      </c>
      <c r="F572" s="108" t="s">
        <v>190</v>
      </c>
      <c r="G572" s="108" t="s">
        <v>192</v>
      </c>
      <c r="H572" s="108" t="s">
        <v>192</v>
      </c>
    </row>
    <row r="573" customFormat="false" ht="15" hidden="false" customHeight="false" outlineLevel="0" collapsed="false">
      <c r="A573" s="108" t="n">
        <v>77234767341</v>
      </c>
      <c r="B573" s="108" t="n">
        <v>59</v>
      </c>
      <c r="C573" s="108" t="n">
        <v>0</v>
      </c>
      <c r="D573" s="108" t="s">
        <v>729</v>
      </c>
      <c r="E573" s="108" t="s">
        <v>784</v>
      </c>
      <c r="F573" s="108" t="s">
        <v>190</v>
      </c>
      <c r="G573" s="108" t="s">
        <v>192</v>
      </c>
      <c r="H573" s="108" t="s">
        <v>192</v>
      </c>
    </row>
    <row r="574" customFormat="false" ht="15" hidden="false" customHeight="false" outlineLevel="0" collapsed="false">
      <c r="A574" s="108" t="n">
        <v>77234767340</v>
      </c>
      <c r="B574" s="108" t="n">
        <v>59</v>
      </c>
      <c r="C574" s="108" t="n">
        <v>0</v>
      </c>
      <c r="D574" s="108" t="s">
        <v>729</v>
      </c>
      <c r="E574" s="108" t="s">
        <v>785</v>
      </c>
      <c r="F574" s="108" t="s">
        <v>190</v>
      </c>
      <c r="G574" s="108" t="s">
        <v>192</v>
      </c>
      <c r="H574" s="108" t="s">
        <v>192</v>
      </c>
    </row>
    <row r="575" customFormat="false" ht="15" hidden="false" customHeight="false" outlineLevel="0" collapsed="false">
      <c r="A575" s="108" t="n">
        <v>77234767335</v>
      </c>
      <c r="B575" s="108" t="n">
        <v>59</v>
      </c>
      <c r="C575" s="108" t="n">
        <v>1</v>
      </c>
      <c r="D575" s="108" t="s">
        <v>729</v>
      </c>
      <c r="E575" s="108" t="s">
        <v>786</v>
      </c>
      <c r="F575" s="108" t="s">
        <v>190</v>
      </c>
      <c r="G575" s="108" t="s">
        <v>192</v>
      </c>
      <c r="H575" s="108" t="s">
        <v>190</v>
      </c>
    </row>
    <row r="576" customFormat="false" ht="15" hidden="false" customHeight="false" outlineLevel="0" collapsed="false">
      <c r="A576" s="108" t="n">
        <v>77234767322</v>
      </c>
      <c r="B576" s="108" t="n">
        <v>22</v>
      </c>
      <c r="C576" s="108" t="n">
        <v>1</v>
      </c>
      <c r="D576" s="108" t="s">
        <v>717</v>
      </c>
      <c r="E576" s="108" t="s">
        <v>787</v>
      </c>
      <c r="F576" s="108" t="s">
        <v>190</v>
      </c>
      <c r="G576" s="108" t="s">
        <v>190</v>
      </c>
      <c r="H576" s="108" t="s">
        <v>190</v>
      </c>
    </row>
    <row r="577" customFormat="false" ht="15" hidden="false" customHeight="false" outlineLevel="0" collapsed="false">
      <c r="A577" s="108" t="n">
        <v>77234767319</v>
      </c>
      <c r="B577" s="108" t="n">
        <v>59</v>
      </c>
      <c r="C577" s="108" t="n">
        <v>1</v>
      </c>
      <c r="D577" s="108" t="s">
        <v>729</v>
      </c>
      <c r="E577" s="108" t="s">
        <v>788</v>
      </c>
      <c r="F577" s="108" t="s">
        <v>190</v>
      </c>
      <c r="G577" s="108" t="s">
        <v>192</v>
      </c>
      <c r="H577" s="108" t="s">
        <v>190</v>
      </c>
    </row>
    <row r="578" customFormat="false" ht="15" hidden="false" customHeight="false" outlineLevel="0" collapsed="false">
      <c r="A578" s="108" t="s">
        <v>219</v>
      </c>
      <c r="B578" s="108" t="n">
        <v>32</v>
      </c>
      <c r="C578" s="108" t="n">
        <v>1</v>
      </c>
      <c r="D578" s="108" t="s">
        <v>720</v>
      </c>
      <c r="E578" s="108" t="s">
        <v>789</v>
      </c>
      <c r="F578" s="108" t="s">
        <v>190</v>
      </c>
      <c r="G578" s="108" t="s">
        <v>190</v>
      </c>
      <c r="H578" s="108" t="s">
        <v>190</v>
      </c>
    </row>
    <row r="579" customFormat="false" ht="15" hidden="false" customHeight="false" outlineLevel="0" collapsed="false">
      <c r="A579" s="108" t="n">
        <v>77234767267</v>
      </c>
      <c r="B579" s="108" t="n">
        <v>22</v>
      </c>
      <c r="C579" s="108" t="n">
        <v>0</v>
      </c>
      <c r="D579" s="108" t="s">
        <v>717</v>
      </c>
      <c r="E579" s="108" t="s">
        <v>790</v>
      </c>
      <c r="F579" s="108" t="s">
        <v>190</v>
      </c>
      <c r="G579" s="108" t="s">
        <v>192</v>
      </c>
      <c r="H579" s="108" t="s">
        <v>192</v>
      </c>
    </row>
    <row r="580" customFormat="false" ht="15" hidden="false" customHeight="false" outlineLevel="0" collapsed="false">
      <c r="A580" s="108" t="n">
        <v>77234767266</v>
      </c>
      <c r="B580" s="108" t="n">
        <v>59</v>
      </c>
      <c r="C580" s="108" t="n">
        <v>2</v>
      </c>
      <c r="D580" s="108" t="s">
        <v>729</v>
      </c>
      <c r="E580" s="108" t="s">
        <v>791</v>
      </c>
      <c r="F580" s="108" t="s">
        <v>190</v>
      </c>
      <c r="G580" s="108" t="s">
        <v>190</v>
      </c>
      <c r="H580" s="108" t="s">
        <v>190</v>
      </c>
    </row>
    <row r="581" customFormat="false" ht="15" hidden="false" customHeight="false" outlineLevel="0" collapsed="false">
      <c r="A581" s="108" t="n">
        <v>77234767260</v>
      </c>
      <c r="B581" s="108" t="n">
        <v>32</v>
      </c>
      <c r="C581" s="108" t="n">
        <v>1</v>
      </c>
      <c r="D581" s="108" t="s">
        <v>720</v>
      </c>
      <c r="E581" s="108" t="s">
        <v>792</v>
      </c>
      <c r="F581" s="108" t="s">
        <v>190</v>
      </c>
      <c r="G581" s="108" t="s">
        <v>190</v>
      </c>
      <c r="H581" s="108" t="s">
        <v>190</v>
      </c>
    </row>
    <row r="582" customFormat="false" ht="15" hidden="false" customHeight="false" outlineLevel="0" collapsed="false">
      <c r="A582" s="108" t="n">
        <v>77234767255</v>
      </c>
      <c r="B582" s="108" t="n">
        <v>24</v>
      </c>
      <c r="C582" s="108" t="n">
        <v>2</v>
      </c>
      <c r="D582" s="108" t="s">
        <v>715</v>
      </c>
      <c r="E582" s="108" t="s">
        <v>793</v>
      </c>
      <c r="F582" s="108" t="s">
        <v>190</v>
      </c>
      <c r="G582" s="108" t="s">
        <v>190</v>
      </c>
      <c r="H582" s="108" t="s">
        <v>190</v>
      </c>
    </row>
    <row r="583" customFormat="false" ht="15" hidden="false" customHeight="false" outlineLevel="0" collapsed="false">
      <c r="A583" s="108" t="n">
        <v>77234767238</v>
      </c>
      <c r="B583" s="108" t="n">
        <v>32</v>
      </c>
      <c r="C583" s="108" t="n">
        <v>0</v>
      </c>
      <c r="D583" s="108" t="s">
        <v>720</v>
      </c>
      <c r="E583" s="108" t="s">
        <v>794</v>
      </c>
      <c r="F583" s="108" t="s">
        <v>190</v>
      </c>
      <c r="G583" s="108" t="s">
        <v>190</v>
      </c>
      <c r="H583" s="108" t="s">
        <v>190</v>
      </c>
    </row>
    <row r="584" customFormat="false" ht="15" hidden="false" customHeight="false" outlineLevel="0" collapsed="false">
      <c r="A584" s="108" t="n">
        <v>77234767222</v>
      </c>
      <c r="B584" s="108" t="n">
        <v>32</v>
      </c>
      <c r="C584" s="108" t="n">
        <v>1</v>
      </c>
      <c r="D584" s="108" t="s">
        <v>720</v>
      </c>
      <c r="E584" s="108" t="s">
        <v>795</v>
      </c>
      <c r="F584" s="108" t="s">
        <v>190</v>
      </c>
      <c r="G584" s="108" t="s">
        <v>192</v>
      </c>
      <c r="H584" s="108" t="s">
        <v>190</v>
      </c>
    </row>
    <row r="585" customFormat="false" ht="15" hidden="false" customHeight="false" outlineLevel="0" collapsed="false">
      <c r="A585" s="108" t="n">
        <v>77234767221</v>
      </c>
      <c r="B585" s="108" t="n">
        <v>59</v>
      </c>
      <c r="C585" s="108" t="n">
        <v>1</v>
      </c>
      <c r="D585" s="108" t="s">
        <v>729</v>
      </c>
      <c r="E585" s="108" t="s">
        <v>796</v>
      </c>
      <c r="F585" s="108" t="s">
        <v>190</v>
      </c>
      <c r="G585" s="108" t="s">
        <v>192</v>
      </c>
      <c r="H585" s="108" t="s">
        <v>190</v>
      </c>
    </row>
    <row r="586" customFormat="false" ht="15" hidden="false" customHeight="false" outlineLevel="0" collapsed="false">
      <c r="A586" s="108" t="n">
        <v>77234767214</v>
      </c>
      <c r="B586" s="108" t="n">
        <v>24</v>
      </c>
      <c r="C586" s="108" t="n">
        <v>2</v>
      </c>
      <c r="D586" s="108" t="s">
        <v>715</v>
      </c>
      <c r="E586" s="108" t="s">
        <v>797</v>
      </c>
      <c r="F586" s="108" t="s">
        <v>190</v>
      </c>
      <c r="G586" s="108" t="s">
        <v>192</v>
      </c>
      <c r="H586" s="108" t="s">
        <v>192</v>
      </c>
    </row>
    <row r="587" customFormat="false" ht="15" hidden="false" customHeight="false" outlineLevel="0" collapsed="false">
      <c r="A587" s="108" t="n">
        <v>77234767213</v>
      </c>
      <c r="B587" s="108" t="n">
        <v>59</v>
      </c>
      <c r="C587" s="108" t="n">
        <v>1</v>
      </c>
      <c r="D587" s="108" t="s">
        <v>729</v>
      </c>
      <c r="E587" s="108" t="s">
        <v>798</v>
      </c>
      <c r="F587" s="108" t="s">
        <v>190</v>
      </c>
      <c r="G587" s="108" t="s">
        <v>192</v>
      </c>
      <c r="H587" s="108" t="s">
        <v>192</v>
      </c>
    </row>
    <row r="588" customFormat="false" ht="15" hidden="false" customHeight="false" outlineLevel="0" collapsed="false">
      <c r="A588" s="108" t="n">
        <v>77234767208</v>
      </c>
      <c r="B588" s="108" t="n">
        <v>59</v>
      </c>
      <c r="C588" s="108" t="n">
        <v>2</v>
      </c>
      <c r="D588" s="108" t="s">
        <v>729</v>
      </c>
      <c r="E588" s="108" t="s">
        <v>799</v>
      </c>
      <c r="F588" s="108" t="s">
        <v>190</v>
      </c>
      <c r="G588" s="108" t="s">
        <v>190</v>
      </c>
      <c r="H588" s="108" t="s">
        <v>190</v>
      </c>
    </row>
    <row r="589" customFormat="false" ht="15" hidden="false" customHeight="false" outlineLevel="0" collapsed="false">
      <c r="A589" s="108" t="n">
        <v>77234767201</v>
      </c>
      <c r="B589" s="108" t="n">
        <v>23</v>
      </c>
      <c r="C589" s="108" t="n">
        <v>0</v>
      </c>
      <c r="D589" s="108" t="s">
        <v>723</v>
      </c>
      <c r="E589" s="108" t="s">
        <v>800</v>
      </c>
      <c r="F589" s="108" t="s">
        <v>190</v>
      </c>
      <c r="G589" s="108" t="s">
        <v>190</v>
      </c>
      <c r="H589" s="108" t="s">
        <v>190</v>
      </c>
    </row>
    <row r="590" customFormat="false" ht="15" hidden="false" customHeight="false" outlineLevel="0" collapsed="false">
      <c r="A590" s="108" t="n">
        <v>77234767196</v>
      </c>
      <c r="B590" s="108" t="n">
        <v>23</v>
      </c>
      <c r="C590" s="108" t="n">
        <v>0</v>
      </c>
      <c r="D590" s="108" t="s">
        <v>723</v>
      </c>
      <c r="E590" s="108" t="s">
        <v>801</v>
      </c>
      <c r="F590" s="108" t="s">
        <v>190</v>
      </c>
      <c r="G590" s="108" t="s">
        <v>190</v>
      </c>
      <c r="H590" s="108" t="s">
        <v>190</v>
      </c>
    </row>
    <row r="591" customFormat="false" ht="15" hidden="false" customHeight="false" outlineLevel="0" collapsed="false">
      <c r="A591" s="108" t="n">
        <v>77234767189</v>
      </c>
      <c r="B591" s="108" t="n">
        <v>32</v>
      </c>
      <c r="C591" s="108" t="n">
        <v>1</v>
      </c>
      <c r="D591" s="108" t="s">
        <v>720</v>
      </c>
      <c r="E591" s="108" t="s">
        <v>802</v>
      </c>
      <c r="F591" s="108" t="s">
        <v>190</v>
      </c>
      <c r="G591" s="108" t="s">
        <v>192</v>
      </c>
      <c r="H591" s="108" t="s">
        <v>190</v>
      </c>
    </row>
    <row r="592" customFormat="false" ht="15" hidden="false" customHeight="false" outlineLevel="0" collapsed="false">
      <c r="A592" s="108" t="n">
        <v>77234767179</v>
      </c>
      <c r="B592" s="108" t="n">
        <v>22</v>
      </c>
      <c r="C592" s="108" t="n">
        <v>2</v>
      </c>
      <c r="D592" s="108" t="s">
        <v>717</v>
      </c>
      <c r="E592" s="108" t="s">
        <v>803</v>
      </c>
      <c r="F592" s="108" t="s">
        <v>190</v>
      </c>
      <c r="G592" s="108" t="s">
        <v>190</v>
      </c>
      <c r="H592" s="108" t="s">
        <v>190</v>
      </c>
    </row>
    <row r="593" customFormat="false" ht="15" hidden="false" customHeight="false" outlineLevel="0" collapsed="false">
      <c r="A593" s="108" t="n">
        <v>77234767150</v>
      </c>
      <c r="B593" s="108" t="n">
        <v>23</v>
      </c>
      <c r="C593" s="108" t="n">
        <v>0</v>
      </c>
      <c r="D593" s="108" t="s">
        <v>723</v>
      </c>
      <c r="E593" s="108" t="s">
        <v>804</v>
      </c>
      <c r="F593" s="108" t="s">
        <v>190</v>
      </c>
      <c r="G593" s="108" t="s">
        <v>190</v>
      </c>
      <c r="H593" s="108" t="s">
        <v>190</v>
      </c>
    </row>
    <row r="594" customFormat="false" ht="15" hidden="false" customHeight="false" outlineLevel="0" collapsed="false">
      <c r="A594" s="108" t="n">
        <v>77234767147</v>
      </c>
      <c r="B594" s="108" t="n">
        <v>22</v>
      </c>
      <c r="C594" s="108" t="n">
        <v>0</v>
      </c>
      <c r="D594" s="108" t="s">
        <v>717</v>
      </c>
      <c r="E594" s="108" t="s">
        <v>805</v>
      </c>
      <c r="F594" s="108" t="s">
        <v>190</v>
      </c>
      <c r="G594" s="108" t="s">
        <v>192</v>
      </c>
      <c r="H594" s="108" t="s">
        <v>192</v>
      </c>
    </row>
    <row r="595" customFormat="false" ht="15" hidden="false" customHeight="false" outlineLevel="0" collapsed="false">
      <c r="A595" s="108" t="n">
        <v>77234767145</v>
      </c>
      <c r="B595" s="108" t="n">
        <v>22</v>
      </c>
      <c r="C595" s="108" t="n">
        <v>0</v>
      </c>
      <c r="D595" s="108" t="s">
        <v>717</v>
      </c>
      <c r="E595" s="108" t="s">
        <v>806</v>
      </c>
      <c r="F595" s="108" t="s">
        <v>190</v>
      </c>
      <c r="G595" s="108" t="s">
        <v>190</v>
      </c>
      <c r="H595" s="108" t="s">
        <v>190</v>
      </c>
    </row>
    <row r="596" customFormat="false" ht="15" hidden="false" customHeight="false" outlineLevel="0" collapsed="false">
      <c r="A596" s="108" t="n">
        <v>77234767141</v>
      </c>
      <c r="B596" s="108" t="n">
        <v>59</v>
      </c>
      <c r="C596" s="108" t="n">
        <v>2</v>
      </c>
      <c r="D596" s="108" t="s">
        <v>729</v>
      </c>
      <c r="E596" s="108" t="s">
        <v>807</v>
      </c>
      <c r="F596" s="108" t="s">
        <v>190</v>
      </c>
      <c r="G596" s="108" t="s">
        <v>190</v>
      </c>
      <c r="H596" s="108" t="s">
        <v>192</v>
      </c>
    </row>
    <row r="597" customFormat="false" ht="15" hidden="false" customHeight="false" outlineLevel="0" collapsed="false">
      <c r="A597" s="108" t="n">
        <v>77234767101</v>
      </c>
      <c r="B597" s="108" t="n">
        <v>22</v>
      </c>
      <c r="C597" s="108" t="n">
        <v>0</v>
      </c>
      <c r="D597" s="108" t="s">
        <v>717</v>
      </c>
      <c r="E597" s="108" t="s">
        <v>808</v>
      </c>
      <c r="F597" s="108" t="s">
        <v>190</v>
      </c>
      <c r="G597" s="108" t="s">
        <v>192</v>
      </c>
      <c r="H597" s="108" t="s">
        <v>190</v>
      </c>
    </row>
    <row r="598" customFormat="false" ht="15" hidden="false" customHeight="false" outlineLevel="0" collapsed="false">
      <c r="A598" s="108" t="n">
        <v>77234767078</v>
      </c>
      <c r="B598" s="108" t="n">
        <v>22</v>
      </c>
      <c r="C598" s="108" t="n">
        <v>0</v>
      </c>
      <c r="D598" s="108" t="s">
        <v>717</v>
      </c>
      <c r="E598" s="108" t="s">
        <v>809</v>
      </c>
      <c r="F598" s="108" t="s">
        <v>190</v>
      </c>
      <c r="G598" s="108" t="s">
        <v>190</v>
      </c>
      <c r="H598" s="108" t="s">
        <v>190</v>
      </c>
    </row>
    <row r="599" customFormat="false" ht="15" hidden="false" customHeight="false" outlineLevel="0" collapsed="false">
      <c r="A599" s="108" t="n">
        <v>77234767075</v>
      </c>
      <c r="B599" s="108" t="n">
        <v>23</v>
      </c>
      <c r="C599" s="108" t="n">
        <v>1</v>
      </c>
      <c r="D599" s="108" t="s">
        <v>723</v>
      </c>
      <c r="E599" s="108" t="s">
        <v>810</v>
      </c>
      <c r="F599" s="108" t="s">
        <v>190</v>
      </c>
      <c r="G599" s="108" t="s">
        <v>190</v>
      </c>
      <c r="H599" s="108" t="s">
        <v>190</v>
      </c>
    </row>
    <row r="600" customFormat="false" ht="15" hidden="false" customHeight="false" outlineLevel="0" collapsed="false">
      <c r="A600" s="108" t="s">
        <v>219</v>
      </c>
      <c r="B600" s="108" t="n">
        <v>32</v>
      </c>
      <c r="C600" s="108" t="n">
        <v>0</v>
      </c>
      <c r="D600" s="108" t="s">
        <v>720</v>
      </c>
      <c r="E600" s="108" t="s">
        <v>811</v>
      </c>
      <c r="F600" s="108" t="s">
        <v>190</v>
      </c>
      <c r="G600" s="108" t="s">
        <v>190</v>
      </c>
      <c r="H600" s="108" t="s">
        <v>190</v>
      </c>
    </row>
    <row r="601" customFormat="false" ht="15" hidden="false" customHeight="false" outlineLevel="0" collapsed="false">
      <c r="A601" s="108" t="n">
        <v>77234767051</v>
      </c>
      <c r="B601" s="108" t="n">
        <v>22</v>
      </c>
      <c r="C601" s="108" t="n">
        <v>0</v>
      </c>
      <c r="D601" s="108" t="s">
        <v>717</v>
      </c>
      <c r="E601" s="108" t="s">
        <v>812</v>
      </c>
      <c r="F601" s="108" t="s">
        <v>190</v>
      </c>
      <c r="G601" s="108" t="s">
        <v>190</v>
      </c>
      <c r="H601" s="108" t="s">
        <v>190</v>
      </c>
    </row>
    <row r="602" customFormat="false" ht="15" hidden="false" customHeight="false" outlineLevel="0" collapsed="false">
      <c r="A602" s="108" t="n">
        <v>77234767050</v>
      </c>
      <c r="B602" s="108" t="n">
        <v>22</v>
      </c>
      <c r="C602" s="108" t="n">
        <v>1</v>
      </c>
      <c r="D602" s="108" t="s">
        <v>717</v>
      </c>
      <c r="E602" s="108" t="s">
        <v>813</v>
      </c>
      <c r="F602" s="108" t="s">
        <v>190</v>
      </c>
      <c r="G602" s="108" t="s">
        <v>192</v>
      </c>
      <c r="H602" s="108" t="s">
        <v>190</v>
      </c>
    </row>
    <row r="603" customFormat="false" ht="15" hidden="false" customHeight="false" outlineLevel="0" collapsed="false">
      <c r="A603" s="108" t="n">
        <v>77234767020</v>
      </c>
      <c r="B603" s="108" t="n">
        <v>32</v>
      </c>
      <c r="C603" s="108" t="n">
        <v>1</v>
      </c>
      <c r="D603" s="108" t="s">
        <v>720</v>
      </c>
      <c r="E603" s="108" t="s">
        <v>814</v>
      </c>
      <c r="F603" s="108" t="s">
        <v>190</v>
      </c>
      <c r="G603" s="108" t="s">
        <v>192</v>
      </c>
      <c r="H603" s="108" t="s">
        <v>192</v>
      </c>
    </row>
    <row r="604" customFormat="false" ht="15" hidden="false" customHeight="false" outlineLevel="0" collapsed="false">
      <c r="A604" s="108" t="s">
        <v>219</v>
      </c>
      <c r="B604" s="108" t="n">
        <v>22</v>
      </c>
      <c r="C604" s="108" t="n">
        <v>1</v>
      </c>
      <c r="D604" s="108" t="s">
        <v>717</v>
      </c>
      <c r="E604" s="108" t="s">
        <v>815</v>
      </c>
      <c r="F604" s="108" t="s">
        <v>190</v>
      </c>
      <c r="G604" s="108" t="s">
        <v>190</v>
      </c>
      <c r="H604" s="108" t="s">
        <v>190</v>
      </c>
    </row>
    <row r="605" customFormat="false" ht="15" hidden="false" customHeight="false" outlineLevel="0" collapsed="false">
      <c r="A605" s="108" t="n">
        <v>77234767008</v>
      </c>
      <c r="B605" s="108" t="n">
        <v>22</v>
      </c>
      <c r="C605" s="108" t="n">
        <v>0</v>
      </c>
      <c r="D605" s="108" t="s">
        <v>717</v>
      </c>
      <c r="E605" s="108" t="s">
        <v>816</v>
      </c>
      <c r="F605" s="108" t="s">
        <v>190</v>
      </c>
      <c r="G605" s="108" t="s">
        <v>190</v>
      </c>
      <c r="H605" s="108" t="s">
        <v>190</v>
      </c>
    </row>
    <row r="606" customFormat="false" ht="15" hidden="false" customHeight="false" outlineLevel="0" collapsed="false">
      <c r="A606" s="108" t="n">
        <v>77234767005</v>
      </c>
      <c r="B606" s="108" t="n">
        <v>22</v>
      </c>
      <c r="C606" s="108" t="n">
        <v>2</v>
      </c>
      <c r="D606" s="108" t="s">
        <v>717</v>
      </c>
      <c r="E606" s="108" t="s">
        <v>817</v>
      </c>
      <c r="F606" s="108" t="s">
        <v>190</v>
      </c>
      <c r="G606" s="108" t="s">
        <v>190</v>
      </c>
      <c r="H606" s="108" t="s">
        <v>190</v>
      </c>
    </row>
    <row r="607" customFormat="false" ht="15" hidden="false" customHeight="false" outlineLevel="0" collapsed="false">
      <c r="A607" s="108" t="n">
        <v>77234742996</v>
      </c>
      <c r="B607" s="108" t="n">
        <v>59</v>
      </c>
      <c r="C607" s="108" t="n">
        <v>2</v>
      </c>
      <c r="D607" s="108" t="s">
        <v>729</v>
      </c>
      <c r="E607" s="108" t="s">
        <v>818</v>
      </c>
      <c r="F607" s="108" t="s">
        <v>190</v>
      </c>
      <c r="G607" s="108" t="s">
        <v>192</v>
      </c>
      <c r="H607" s="108" t="s">
        <v>190</v>
      </c>
    </row>
    <row r="608" customFormat="false" ht="15" hidden="false" customHeight="false" outlineLevel="0" collapsed="false">
      <c r="A608" s="108" t="n">
        <v>77234742977</v>
      </c>
      <c r="B608" s="108" t="n">
        <v>22</v>
      </c>
      <c r="C608" s="108" t="n">
        <v>0</v>
      </c>
      <c r="D608" s="108" t="s">
        <v>717</v>
      </c>
      <c r="E608" s="108" t="s">
        <v>819</v>
      </c>
      <c r="F608" s="108" t="s">
        <v>190</v>
      </c>
      <c r="G608" s="108" t="s">
        <v>190</v>
      </c>
      <c r="H608" s="108" t="s">
        <v>190</v>
      </c>
    </row>
    <row r="609" customFormat="false" ht="15" hidden="false" customHeight="false" outlineLevel="0" collapsed="false">
      <c r="A609" s="108" t="n">
        <v>77234742975</v>
      </c>
      <c r="B609" s="108" t="n">
        <v>22</v>
      </c>
      <c r="C609" s="108" t="n">
        <v>0</v>
      </c>
      <c r="D609" s="108" t="s">
        <v>717</v>
      </c>
      <c r="E609" s="108" t="s">
        <v>820</v>
      </c>
      <c r="F609" s="108" t="s">
        <v>190</v>
      </c>
      <c r="G609" s="108" t="s">
        <v>190</v>
      </c>
      <c r="H609" s="108" t="s">
        <v>190</v>
      </c>
    </row>
    <row r="610" customFormat="false" ht="15" hidden="false" customHeight="false" outlineLevel="0" collapsed="false">
      <c r="A610" s="108" t="n">
        <v>77234742972</v>
      </c>
      <c r="B610" s="108" t="n">
        <v>23</v>
      </c>
      <c r="C610" s="108" t="n">
        <v>0</v>
      </c>
      <c r="D610" s="108" t="s">
        <v>723</v>
      </c>
      <c r="E610" s="108" t="s">
        <v>821</v>
      </c>
      <c r="F610" s="108" t="s">
        <v>190</v>
      </c>
      <c r="G610" s="108" t="s">
        <v>190</v>
      </c>
      <c r="H610" s="108" t="s">
        <v>190</v>
      </c>
    </row>
    <row r="611" customFormat="false" ht="15" hidden="false" customHeight="false" outlineLevel="0" collapsed="false">
      <c r="A611" s="108" t="n">
        <v>77234742942</v>
      </c>
      <c r="B611" s="108" t="n">
        <v>70</v>
      </c>
      <c r="C611" s="108" t="n">
        <v>2</v>
      </c>
      <c r="D611" s="108" t="s">
        <v>733</v>
      </c>
      <c r="E611" s="108" t="s">
        <v>822</v>
      </c>
      <c r="F611" s="108" t="s">
        <v>190</v>
      </c>
      <c r="G611" s="108" t="s">
        <v>190</v>
      </c>
      <c r="H611" s="108" t="s">
        <v>190</v>
      </c>
    </row>
    <row r="612" customFormat="false" ht="15" hidden="false" customHeight="false" outlineLevel="0" collapsed="false">
      <c r="A612" s="108" t="s">
        <v>219</v>
      </c>
      <c r="B612" s="108" t="n">
        <v>22</v>
      </c>
      <c r="C612" s="108" t="n">
        <v>1</v>
      </c>
      <c r="D612" s="108" t="s">
        <v>717</v>
      </c>
      <c r="E612" s="108" t="s">
        <v>823</v>
      </c>
      <c r="F612" s="108" t="s">
        <v>190</v>
      </c>
      <c r="G612" s="108" t="s">
        <v>190</v>
      </c>
      <c r="H612" s="108" t="s">
        <v>190</v>
      </c>
    </row>
    <row r="613" customFormat="false" ht="15" hidden="false" customHeight="false" outlineLevel="0" collapsed="false">
      <c r="A613" s="108" t="s">
        <v>219</v>
      </c>
      <c r="B613" s="108" t="n">
        <v>32</v>
      </c>
      <c r="C613" s="108" t="n">
        <v>2</v>
      </c>
      <c r="D613" s="108" t="s">
        <v>720</v>
      </c>
      <c r="E613" s="108" t="s">
        <v>824</v>
      </c>
      <c r="F613" s="108" t="s">
        <v>190</v>
      </c>
      <c r="G613" s="108" t="s">
        <v>190</v>
      </c>
      <c r="H613" s="108" t="s">
        <v>190</v>
      </c>
    </row>
    <row r="614" customFormat="false" ht="15" hidden="false" customHeight="false" outlineLevel="0" collapsed="false">
      <c r="A614" s="108" t="s">
        <v>219</v>
      </c>
      <c r="B614" s="108" t="n">
        <v>24</v>
      </c>
      <c r="C614" s="108" t="n">
        <v>2</v>
      </c>
      <c r="D614" s="108" t="s">
        <v>715</v>
      </c>
      <c r="E614" s="108" t="s">
        <v>825</v>
      </c>
      <c r="F614" s="108" t="s">
        <v>190</v>
      </c>
      <c r="G614" s="108" t="s">
        <v>190</v>
      </c>
      <c r="H614" s="108" t="s">
        <v>190</v>
      </c>
    </row>
    <row r="615" customFormat="false" ht="15" hidden="false" customHeight="false" outlineLevel="0" collapsed="false">
      <c r="A615" s="108" t="n">
        <v>77234742853</v>
      </c>
      <c r="B615" s="108" t="n">
        <v>32</v>
      </c>
      <c r="C615" s="108" t="n">
        <v>1</v>
      </c>
      <c r="D615" s="108" t="s">
        <v>720</v>
      </c>
      <c r="E615" s="108" t="s">
        <v>826</v>
      </c>
      <c r="F615" s="108" t="s">
        <v>190</v>
      </c>
      <c r="G615" s="108" t="s">
        <v>192</v>
      </c>
      <c r="H615" s="108" t="s">
        <v>190</v>
      </c>
    </row>
    <row r="616" customFormat="false" ht="15" hidden="false" customHeight="false" outlineLevel="0" collapsed="false">
      <c r="A616" s="108" t="n">
        <v>77234742833</v>
      </c>
      <c r="B616" s="108" t="n">
        <v>32</v>
      </c>
      <c r="C616" s="108" t="n">
        <v>1</v>
      </c>
      <c r="D616" s="108" t="s">
        <v>720</v>
      </c>
      <c r="E616" s="108" t="s">
        <v>827</v>
      </c>
      <c r="F616" s="108" t="s">
        <v>190</v>
      </c>
      <c r="G616" s="108" t="s">
        <v>192</v>
      </c>
      <c r="H616" s="108" t="s">
        <v>190</v>
      </c>
    </row>
    <row r="617" customFormat="false" ht="15" hidden="false" customHeight="false" outlineLevel="0" collapsed="false">
      <c r="A617" s="108" t="n">
        <v>77234742778</v>
      </c>
      <c r="B617" s="108" t="n">
        <v>32</v>
      </c>
      <c r="C617" s="108" t="n">
        <v>1</v>
      </c>
      <c r="D617" s="108" t="s">
        <v>720</v>
      </c>
      <c r="E617" s="108" t="s">
        <v>828</v>
      </c>
      <c r="F617" s="108" t="s">
        <v>190</v>
      </c>
      <c r="G617" s="108" t="s">
        <v>192</v>
      </c>
      <c r="H617" s="108" t="s">
        <v>192</v>
      </c>
    </row>
    <row r="618" customFormat="false" ht="15" hidden="false" customHeight="false" outlineLevel="0" collapsed="false">
      <c r="A618" s="108" t="n">
        <v>77234742757</v>
      </c>
      <c r="B618" s="108" t="n">
        <v>22</v>
      </c>
      <c r="C618" s="108" t="n">
        <v>0</v>
      </c>
      <c r="D618" s="108" t="s">
        <v>717</v>
      </c>
      <c r="E618" s="108" t="s">
        <v>829</v>
      </c>
      <c r="F618" s="108" t="s">
        <v>190</v>
      </c>
      <c r="G618" s="108" t="s">
        <v>192</v>
      </c>
      <c r="H618" s="108" t="s">
        <v>190</v>
      </c>
    </row>
    <row r="619" customFormat="false" ht="15" hidden="false" customHeight="false" outlineLevel="0" collapsed="false">
      <c r="A619" s="108" t="n">
        <v>77234742710</v>
      </c>
      <c r="B619" s="108" t="n">
        <v>32</v>
      </c>
      <c r="C619" s="108" t="n">
        <v>1</v>
      </c>
      <c r="D619" s="108" t="s">
        <v>720</v>
      </c>
      <c r="E619" s="108" t="s">
        <v>830</v>
      </c>
      <c r="F619" s="108" t="s">
        <v>190</v>
      </c>
      <c r="G619" s="108" t="s">
        <v>190</v>
      </c>
      <c r="H619" s="108" t="s">
        <v>190</v>
      </c>
    </row>
    <row r="620" customFormat="false" ht="15" hidden="false" customHeight="false" outlineLevel="0" collapsed="false">
      <c r="A620" s="108" t="n">
        <v>77234742704</v>
      </c>
      <c r="B620" s="108" t="n">
        <v>22</v>
      </c>
      <c r="C620" s="108" t="n">
        <v>0</v>
      </c>
      <c r="D620" s="108" t="s">
        <v>717</v>
      </c>
      <c r="E620" s="108" t="s">
        <v>831</v>
      </c>
      <c r="F620" s="108" t="s">
        <v>190</v>
      </c>
      <c r="G620" s="108" t="s">
        <v>190</v>
      </c>
      <c r="H620" s="108" t="s">
        <v>190</v>
      </c>
    </row>
    <row r="621" customFormat="false" ht="15" hidden="false" customHeight="false" outlineLevel="0" collapsed="false">
      <c r="A621" s="108" t="n">
        <v>77234742695</v>
      </c>
      <c r="B621" s="108" t="n">
        <v>59</v>
      </c>
      <c r="C621" s="108" t="n">
        <v>2</v>
      </c>
      <c r="D621" s="108" t="s">
        <v>729</v>
      </c>
      <c r="E621" s="108" t="s">
        <v>832</v>
      </c>
      <c r="F621" s="108" t="s">
        <v>190</v>
      </c>
      <c r="G621" s="108" t="s">
        <v>190</v>
      </c>
      <c r="H621" s="108" t="s">
        <v>190</v>
      </c>
    </row>
    <row r="622" customFormat="false" ht="15" hidden="false" customHeight="false" outlineLevel="0" collapsed="false">
      <c r="A622" s="108" t="s">
        <v>219</v>
      </c>
      <c r="B622" s="108" t="n">
        <v>32</v>
      </c>
      <c r="C622" s="108" t="n">
        <v>2</v>
      </c>
      <c r="D622" s="108" t="s">
        <v>720</v>
      </c>
      <c r="E622" s="108" t="s">
        <v>833</v>
      </c>
      <c r="F622" s="108" t="s">
        <v>190</v>
      </c>
      <c r="G622" s="108" t="s">
        <v>190</v>
      </c>
      <c r="H622" s="108" t="s">
        <v>190</v>
      </c>
    </row>
    <row r="623" customFormat="false" ht="15" hidden="false" customHeight="false" outlineLevel="0" collapsed="false">
      <c r="A623" s="108" t="s">
        <v>219</v>
      </c>
      <c r="B623" s="108" t="n">
        <v>32</v>
      </c>
      <c r="C623" s="108" t="n">
        <v>2</v>
      </c>
      <c r="D623" s="108" t="s">
        <v>720</v>
      </c>
      <c r="E623" s="108" t="s">
        <v>834</v>
      </c>
      <c r="F623" s="108" t="s">
        <v>190</v>
      </c>
      <c r="G623" s="108" t="s">
        <v>190</v>
      </c>
      <c r="H623" s="108" t="s">
        <v>190</v>
      </c>
    </row>
    <row r="624" customFormat="false" ht="15" hidden="false" customHeight="false" outlineLevel="0" collapsed="false">
      <c r="A624" s="108" t="s">
        <v>219</v>
      </c>
      <c r="B624" s="108" t="n">
        <v>24</v>
      </c>
      <c r="C624" s="108" t="n">
        <v>1</v>
      </c>
      <c r="D624" s="108" t="s">
        <v>715</v>
      </c>
      <c r="E624" s="108" t="s">
        <v>835</v>
      </c>
      <c r="F624" s="108" t="s">
        <v>190</v>
      </c>
      <c r="G624" s="108" t="s">
        <v>190</v>
      </c>
      <c r="H624" s="108" t="s">
        <v>190</v>
      </c>
    </row>
    <row r="625" customFormat="false" ht="15" hidden="false" customHeight="false" outlineLevel="0" collapsed="false">
      <c r="A625" s="108" t="n">
        <v>77234742645</v>
      </c>
      <c r="B625" s="108" t="n">
        <v>30</v>
      </c>
      <c r="C625" s="108" t="n">
        <v>0</v>
      </c>
      <c r="D625" s="108" t="s">
        <v>836</v>
      </c>
      <c r="E625" s="108" t="s">
        <v>837</v>
      </c>
      <c r="F625" s="108" t="s">
        <v>190</v>
      </c>
      <c r="G625" s="108" t="s">
        <v>190</v>
      </c>
      <c r="H625" s="108" t="s">
        <v>190</v>
      </c>
    </row>
    <row r="626" customFormat="false" ht="15" hidden="false" customHeight="false" outlineLevel="0" collapsed="false">
      <c r="A626" s="108" t="n">
        <v>77234742643</v>
      </c>
      <c r="B626" s="108" t="n">
        <v>32</v>
      </c>
      <c r="C626" s="108" t="n">
        <v>2</v>
      </c>
      <c r="D626" s="108" t="s">
        <v>720</v>
      </c>
      <c r="E626" s="108" t="s">
        <v>838</v>
      </c>
      <c r="F626" s="108" t="s">
        <v>190</v>
      </c>
      <c r="G626" s="108" t="s">
        <v>192</v>
      </c>
      <c r="H626" s="108" t="s">
        <v>190</v>
      </c>
    </row>
    <row r="627" customFormat="false" ht="15" hidden="false" customHeight="false" outlineLevel="0" collapsed="false">
      <c r="A627" s="108" t="n">
        <v>77234742641</v>
      </c>
      <c r="B627" s="108" t="n">
        <v>32</v>
      </c>
      <c r="C627" s="108" t="n">
        <v>2</v>
      </c>
      <c r="D627" s="108" t="s">
        <v>720</v>
      </c>
      <c r="E627" s="108" t="s">
        <v>839</v>
      </c>
      <c r="F627" s="108" t="s">
        <v>190</v>
      </c>
      <c r="G627" s="108" t="s">
        <v>190</v>
      </c>
      <c r="H627" s="108" t="s">
        <v>190</v>
      </c>
    </row>
    <row r="628" customFormat="false" ht="15" hidden="false" customHeight="false" outlineLevel="0" collapsed="false">
      <c r="A628" s="108" t="n">
        <v>77234742635</v>
      </c>
      <c r="B628" s="108" t="n">
        <v>32</v>
      </c>
      <c r="C628" s="108" t="n">
        <v>2</v>
      </c>
      <c r="D628" s="108" t="s">
        <v>720</v>
      </c>
      <c r="E628" s="108" t="s">
        <v>840</v>
      </c>
      <c r="F628" s="108" t="s">
        <v>190</v>
      </c>
      <c r="G628" s="108" t="s">
        <v>190</v>
      </c>
      <c r="H628" s="108" t="s">
        <v>190</v>
      </c>
    </row>
    <row r="629" customFormat="false" ht="15" hidden="false" customHeight="false" outlineLevel="0" collapsed="false">
      <c r="A629" s="108" t="n">
        <v>77234742621</v>
      </c>
      <c r="B629" s="108" t="n">
        <v>32</v>
      </c>
      <c r="C629" s="108" t="n">
        <v>1</v>
      </c>
      <c r="D629" s="108" t="s">
        <v>720</v>
      </c>
      <c r="E629" s="108" t="s">
        <v>841</v>
      </c>
      <c r="F629" s="108" t="s">
        <v>190</v>
      </c>
      <c r="G629" s="108" t="s">
        <v>190</v>
      </c>
      <c r="H629" s="108" t="s">
        <v>190</v>
      </c>
    </row>
    <row r="630" customFormat="false" ht="15" hidden="false" customHeight="false" outlineLevel="0" collapsed="false">
      <c r="A630" s="108" t="s">
        <v>219</v>
      </c>
      <c r="B630" s="108" t="n">
        <v>24</v>
      </c>
      <c r="C630" s="108" t="n">
        <v>1</v>
      </c>
      <c r="D630" s="108" t="s">
        <v>715</v>
      </c>
      <c r="E630" s="108" t="s">
        <v>842</v>
      </c>
      <c r="F630" s="108" t="s">
        <v>190</v>
      </c>
      <c r="G630" s="108" t="s">
        <v>190</v>
      </c>
      <c r="H630" s="108" t="s">
        <v>190</v>
      </c>
    </row>
    <row r="631" customFormat="false" ht="15" hidden="false" customHeight="false" outlineLevel="0" collapsed="false">
      <c r="A631" s="108" t="n">
        <v>77234742610</v>
      </c>
      <c r="B631" s="108" t="n">
        <v>32</v>
      </c>
      <c r="C631" s="108" t="n">
        <v>2</v>
      </c>
      <c r="D631" s="108" t="s">
        <v>720</v>
      </c>
      <c r="E631" s="108" t="s">
        <v>843</v>
      </c>
      <c r="F631" s="108" t="s">
        <v>190</v>
      </c>
      <c r="G631" s="108" t="s">
        <v>190</v>
      </c>
      <c r="H631" s="108" t="s">
        <v>190</v>
      </c>
    </row>
    <row r="632" customFormat="false" ht="15" hidden="false" customHeight="false" outlineLevel="0" collapsed="false">
      <c r="A632" s="108" t="n">
        <v>77234742609</v>
      </c>
      <c r="B632" s="108" t="n">
        <v>32</v>
      </c>
      <c r="C632" s="108" t="n">
        <v>2</v>
      </c>
      <c r="D632" s="108" t="s">
        <v>720</v>
      </c>
      <c r="E632" s="108" t="s">
        <v>844</v>
      </c>
      <c r="F632" s="108" t="s">
        <v>190</v>
      </c>
      <c r="G632" s="108" t="s">
        <v>190</v>
      </c>
      <c r="H632" s="108" t="s">
        <v>190</v>
      </c>
    </row>
    <row r="633" customFormat="false" ht="15" hidden="false" customHeight="false" outlineLevel="0" collapsed="false">
      <c r="A633" s="108" t="n">
        <v>77234742600</v>
      </c>
      <c r="B633" s="108" t="n">
        <v>32</v>
      </c>
      <c r="C633" s="108" t="n">
        <v>2</v>
      </c>
      <c r="D633" s="108" t="s">
        <v>720</v>
      </c>
      <c r="E633" s="108" t="s">
        <v>845</v>
      </c>
      <c r="F633" s="108" t="s">
        <v>190</v>
      </c>
      <c r="G633" s="108" t="s">
        <v>190</v>
      </c>
      <c r="H633" s="108" t="s">
        <v>190</v>
      </c>
    </row>
    <row r="634" customFormat="false" ht="15" hidden="false" customHeight="false" outlineLevel="0" collapsed="false">
      <c r="A634" s="108" t="n">
        <v>77234742595</v>
      </c>
      <c r="B634" s="108" t="n">
        <v>59</v>
      </c>
      <c r="C634" s="108" t="n">
        <v>0</v>
      </c>
      <c r="D634" s="108" t="s">
        <v>729</v>
      </c>
      <c r="E634" s="108" t="s">
        <v>846</v>
      </c>
      <c r="F634" s="108" t="s">
        <v>190</v>
      </c>
      <c r="G634" s="108" t="s">
        <v>192</v>
      </c>
      <c r="H634" s="108" t="s">
        <v>190</v>
      </c>
    </row>
    <row r="635" customFormat="false" ht="15" hidden="false" customHeight="false" outlineLevel="0" collapsed="false">
      <c r="A635" s="108" t="n">
        <v>77234742569</v>
      </c>
      <c r="B635" s="108" t="n">
        <v>24</v>
      </c>
      <c r="C635" s="108" t="n">
        <v>2</v>
      </c>
      <c r="D635" s="108" t="s">
        <v>715</v>
      </c>
      <c r="E635" s="108" t="s">
        <v>847</v>
      </c>
      <c r="F635" s="108" t="s">
        <v>190</v>
      </c>
      <c r="G635" s="108" t="s">
        <v>190</v>
      </c>
      <c r="H635" s="108" t="s">
        <v>190</v>
      </c>
    </row>
    <row r="636" customFormat="false" ht="15" hidden="false" customHeight="false" outlineLevel="0" collapsed="false">
      <c r="A636" s="108" t="n">
        <v>77234742567</v>
      </c>
      <c r="B636" s="108" t="n">
        <v>22</v>
      </c>
      <c r="C636" s="108" t="n">
        <v>0</v>
      </c>
      <c r="D636" s="108" t="s">
        <v>717</v>
      </c>
      <c r="E636" s="108" t="s">
        <v>848</v>
      </c>
      <c r="F636" s="108" t="s">
        <v>190</v>
      </c>
      <c r="G636" s="108" t="s">
        <v>190</v>
      </c>
      <c r="H636" s="108" t="s">
        <v>190</v>
      </c>
    </row>
    <row r="637" customFormat="false" ht="15" hidden="false" customHeight="false" outlineLevel="0" collapsed="false">
      <c r="A637" s="108" t="n">
        <v>77234742561</v>
      </c>
      <c r="B637" s="108" t="n">
        <v>23</v>
      </c>
      <c r="C637" s="108" t="n">
        <v>0</v>
      </c>
      <c r="D637" s="108" t="s">
        <v>723</v>
      </c>
      <c r="E637" s="108" t="s">
        <v>849</v>
      </c>
      <c r="F637" s="108" t="s">
        <v>190</v>
      </c>
      <c r="G637" s="108" t="s">
        <v>190</v>
      </c>
      <c r="H637" s="108" t="s">
        <v>190</v>
      </c>
    </row>
    <row r="638" customFormat="false" ht="15" hidden="false" customHeight="false" outlineLevel="0" collapsed="false">
      <c r="A638" s="108" t="n">
        <v>77234742560</v>
      </c>
      <c r="B638" s="108" t="n">
        <v>22</v>
      </c>
      <c r="C638" s="108" t="n">
        <v>0</v>
      </c>
      <c r="D638" s="108" t="s">
        <v>717</v>
      </c>
      <c r="E638" s="108" t="s">
        <v>850</v>
      </c>
      <c r="F638" s="108" t="s">
        <v>190</v>
      </c>
      <c r="G638" s="108" t="s">
        <v>192</v>
      </c>
      <c r="H638" s="108" t="s">
        <v>192</v>
      </c>
    </row>
    <row r="639" customFormat="false" ht="15" hidden="false" customHeight="false" outlineLevel="0" collapsed="false">
      <c r="A639" s="108" t="n">
        <v>77234742545</v>
      </c>
      <c r="B639" s="108" t="n">
        <v>23</v>
      </c>
      <c r="C639" s="108" t="n">
        <v>0</v>
      </c>
      <c r="D639" s="108" t="s">
        <v>723</v>
      </c>
      <c r="E639" s="108" t="s">
        <v>851</v>
      </c>
      <c r="F639" s="108" t="s">
        <v>190</v>
      </c>
      <c r="G639" s="108" t="s">
        <v>190</v>
      </c>
      <c r="H639" s="108" t="s">
        <v>190</v>
      </c>
    </row>
    <row r="640" customFormat="false" ht="15" hidden="false" customHeight="false" outlineLevel="0" collapsed="false">
      <c r="A640" s="108" t="n">
        <v>77234742536</v>
      </c>
      <c r="B640" s="108" t="n">
        <v>22</v>
      </c>
      <c r="C640" s="108" t="n">
        <v>0</v>
      </c>
      <c r="D640" s="108" t="s">
        <v>717</v>
      </c>
      <c r="E640" s="108" t="s">
        <v>852</v>
      </c>
      <c r="F640" s="108" t="s">
        <v>190</v>
      </c>
      <c r="G640" s="108" t="s">
        <v>192</v>
      </c>
      <c r="H640" s="108" t="s">
        <v>192</v>
      </c>
    </row>
    <row r="641" customFormat="false" ht="15" hidden="false" customHeight="false" outlineLevel="0" collapsed="false">
      <c r="A641" s="108" t="n">
        <v>77234742510</v>
      </c>
      <c r="B641" s="108" t="n">
        <v>22</v>
      </c>
      <c r="C641" s="108" t="n">
        <v>1</v>
      </c>
      <c r="D641" s="108" t="s">
        <v>717</v>
      </c>
      <c r="E641" s="108" t="s">
        <v>853</v>
      </c>
      <c r="F641" s="108" t="s">
        <v>190</v>
      </c>
      <c r="G641" s="108" t="s">
        <v>190</v>
      </c>
      <c r="H641" s="108" t="s">
        <v>190</v>
      </c>
    </row>
    <row r="642" customFormat="false" ht="15" hidden="false" customHeight="false" outlineLevel="0" collapsed="false">
      <c r="A642" s="108" t="n">
        <v>77234742462</v>
      </c>
      <c r="B642" s="108" t="n">
        <v>22</v>
      </c>
      <c r="C642" s="108" t="n">
        <v>0</v>
      </c>
      <c r="D642" s="108" t="s">
        <v>717</v>
      </c>
      <c r="E642" s="108" t="s">
        <v>854</v>
      </c>
      <c r="F642" s="108" t="s">
        <v>190</v>
      </c>
      <c r="G642" s="108" t="s">
        <v>192</v>
      </c>
      <c r="H642" s="108" t="s">
        <v>190</v>
      </c>
    </row>
    <row r="643" customFormat="false" ht="15" hidden="false" customHeight="false" outlineLevel="0" collapsed="false">
      <c r="A643" s="108" t="n">
        <v>77234742454</v>
      </c>
      <c r="B643" s="108" t="n">
        <v>23</v>
      </c>
      <c r="C643" s="108" t="n">
        <v>0</v>
      </c>
      <c r="D643" s="108" t="s">
        <v>723</v>
      </c>
      <c r="E643" s="108" t="s">
        <v>855</v>
      </c>
      <c r="F643" s="108" t="s">
        <v>190</v>
      </c>
      <c r="G643" s="108" t="s">
        <v>190</v>
      </c>
      <c r="H643" s="108" t="s">
        <v>190</v>
      </c>
    </row>
    <row r="644" customFormat="false" ht="15" hidden="false" customHeight="false" outlineLevel="0" collapsed="false">
      <c r="A644" s="108" t="n">
        <v>77234742447</v>
      </c>
      <c r="B644" s="108" t="n">
        <v>22</v>
      </c>
      <c r="C644" s="108" t="n">
        <v>2</v>
      </c>
      <c r="D644" s="108" t="s">
        <v>717</v>
      </c>
      <c r="E644" s="108" t="s">
        <v>856</v>
      </c>
      <c r="F644" s="108" t="s">
        <v>190</v>
      </c>
      <c r="G644" s="108" t="s">
        <v>192</v>
      </c>
      <c r="H644" s="108" t="s">
        <v>190</v>
      </c>
    </row>
    <row r="645" customFormat="false" ht="15" hidden="false" customHeight="false" outlineLevel="0" collapsed="false">
      <c r="A645" s="108" t="n">
        <v>77234742443</v>
      </c>
      <c r="B645" s="108" t="n">
        <v>22</v>
      </c>
      <c r="C645" s="108" t="n">
        <v>0</v>
      </c>
      <c r="D645" s="108" t="s">
        <v>717</v>
      </c>
      <c r="E645" s="108" t="s">
        <v>857</v>
      </c>
      <c r="F645" s="108" t="s">
        <v>190</v>
      </c>
      <c r="G645" s="108" t="s">
        <v>190</v>
      </c>
      <c r="H645" s="108" t="s">
        <v>190</v>
      </c>
    </row>
    <row r="646" customFormat="false" ht="15" hidden="false" customHeight="false" outlineLevel="0" collapsed="false">
      <c r="A646" s="108" t="n">
        <v>77234742442</v>
      </c>
      <c r="B646" s="108" t="n">
        <v>22</v>
      </c>
      <c r="C646" s="108" t="n">
        <v>0</v>
      </c>
      <c r="D646" s="108" t="s">
        <v>717</v>
      </c>
      <c r="E646" s="108" t="s">
        <v>858</v>
      </c>
      <c r="F646" s="108" t="s">
        <v>190</v>
      </c>
      <c r="G646" s="108" t="s">
        <v>190</v>
      </c>
      <c r="H646" s="108" t="s">
        <v>190</v>
      </c>
    </row>
    <row r="647" customFormat="false" ht="15" hidden="false" customHeight="false" outlineLevel="0" collapsed="false">
      <c r="A647" s="108" t="n">
        <v>77234742441</v>
      </c>
      <c r="B647" s="108" t="n">
        <v>22</v>
      </c>
      <c r="C647" s="108" t="n">
        <v>0</v>
      </c>
      <c r="D647" s="108" t="s">
        <v>717</v>
      </c>
      <c r="E647" s="108" t="s">
        <v>859</v>
      </c>
      <c r="F647" s="108" t="s">
        <v>190</v>
      </c>
      <c r="G647" s="108" t="s">
        <v>192</v>
      </c>
      <c r="H647" s="108" t="s">
        <v>192</v>
      </c>
    </row>
    <row r="648" customFormat="false" ht="15" hidden="false" customHeight="false" outlineLevel="0" collapsed="false">
      <c r="A648" s="108" t="n">
        <v>77234742440</v>
      </c>
      <c r="B648" s="108" t="n">
        <v>22</v>
      </c>
      <c r="C648" s="108" t="n">
        <v>0</v>
      </c>
      <c r="D648" s="108" t="s">
        <v>717</v>
      </c>
      <c r="E648" s="108" t="s">
        <v>860</v>
      </c>
      <c r="F648" s="108" t="s">
        <v>190</v>
      </c>
      <c r="G648" s="108" t="s">
        <v>192</v>
      </c>
      <c r="H648" s="108" t="s">
        <v>192</v>
      </c>
    </row>
    <row r="649" customFormat="false" ht="15" hidden="false" customHeight="false" outlineLevel="0" collapsed="false">
      <c r="A649" s="108" t="n">
        <v>77234742389</v>
      </c>
      <c r="B649" s="108" t="n">
        <v>23</v>
      </c>
      <c r="C649" s="108" t="n">
        <v>0</v>
      </c>
      <c r="D649" s="108" t="s">
        <v>723</v>
      </c>
      <c r="E649" s="108" t="s">
        <v>861</v>
      </c>
      <c r="F649" s="108" t="s">
        <v>190</v>
      </c>
      <c r="G649" s="108" t="s">
        <v>190</v>
      </c>
      <c r="H649" s="108" t="s">
        <v>190</v>
      </c>
    </row>
    <row r="650" customFormat="false" ht="15" hidden="false" customHeight="false" outlineLevel="0" collapsed="false">
      <c r="A650" s="108" t="n">
        <v>77234742386</v>
      </c>
      <c r="B650" s="108" t="n">
        <v>22</v>
      </c>
      <c r="C650" s="108" t="n">
        <v>0</v>
      </c>
      <c r="D650" s="108" t="s">
        <v>717</v>
      </c>
      <c r="E650" s="108" t="s">
        <v>862</v>
      </c>
      <c r="F650" s="108" t="s">
        <v>190</v>
      </c>
      <c r="G650" s="108" t="s">
        <v>190</v>
      </c>
      <c r="H650" s="108" t="s">
        <v>190</v>
      </c>
    </row>
    <row r="651" customFormat="false" ht="15" hidden="false" customHeight="false" outlineLevel="0" collapsed="false">
      <c r="A651" s="108" t="n">
        <v>77234742385</v>
      </c>
      <c r="B651" s="108" t="n">
        <v>23</v>
      </c>
      <c r="C651" s="108" t="n">
        <v>1</v>
      </c>
      <c r="D651" s="108" t="s">
        <v>723</v>
      </c>
      <c r="E651" s="108" t="s">
        <v>863</v>
      </c>
      <c r="F651" s="108" t="s">
        <v>190</v>
      </c>
      <c r="G651" s="108" t="s">
        <v>190</v>
      </c>
      <c r="H651" s="108" t="s">
        <v>190</v>
      </c>
    </row>
    <row r="652" customFormat="false" ht="15" hidden="false" customHeight="false" outlineLevel="0" collapsed="false">
      <c r="A652" s="108" t="n">
        <v>77234742377</v>
      </c>
      <c r="B652" s="108" t="n">
        <v>22</v>
      </c>
      <c r="C652" s="108" t="n">
        <v>1</v>
      </c>
      <c r="D652" s="108" t="s">
        <v>717</v>
      </c>
      <c r="E652" s="108" t="s">
        <v>864</v>
      </c>
      <c r="F652" s="108" t="s">
        <v>190</v>
      </c>
      <c r="G652" s="108" t="s">
        <v>190</v>
      </c>
      <c r="H652" s="108" t="s">
        <v>190</v>
      </c>
    </row>
    <row r="653" customFormat="false" ht="15" hidden="false" customHeight="false" outlineLevel="0" collapsed="false">
      <c r="A653" s="108" t="n">
        <v>77234742372</v>
      </c>
      <c r="B653" s="108" t="n">
        <v>59</v>
      </c>
      <c r="C653" s="108" t="n">
        <v>2</v>
      </c>
      <c r="D653" s="108" t="s">
        <v>729</v>
      </c>
      <c r="E653" s="108" t="s">
        <v>865</v>
      </c>
      <c r="F653" s="108" t="s">
        <v>190</v>
      </c>
      <c r="G653" s="108" t="s">
        <v>192</v>
      </c>
      <c r="H653" s="108" t="s">
        <v>190</v>
      </c>
    </row>
    <row r="654" customFormat="false" ht="15" hidden="false" customHeight="false" outlineLevel="0" collapsed="false">
      <c r="A654" s="108" t="n">
        <v>77234742343</v>
      </c>
      <c r="B654" s="108" t="n">
        <v>22</v>
      </c>
      <c r="C654" s="108" t="n">
        <v>0</v>
      </c>
      <c r="D654" s="108" t="s">
        <v>717</v>
      </c>
      <c r="E654" s="108" t="s">
        <v>866</v>
      </c>
      <c r="F654" s="108" t="s">
        <v>190</v>
      </c>
      <c r="G654" s="108" t="s">
        <v>192</v>
      </c>
      <c r="H654" s="108" t="s">
        <v>192</v>
      </c>
    </row>
    <row r="655" customFormat="false" ht="15" hidden="false" customHeight="false" outlineLevel="0" collapsed="false">
      <c r="A655" s="108" t="n">
        <v>77234742339</v>
      </c>
      <c r="B655" s="108" t="n">
        <v>23</v>
      </c>
      <c r="C655" s="108" t="n">
        <v>0</v>
      </c>
      <c r="D655" s="108" t="s">
        <v>723</v>
      </c>
      <c r="E655" s="108" t="s">
        <v>867</v>
      </c>
      <c r="F655" s="108" t="s">
        <v>190</v>
      </c>
      <c r="G655" s="108" t="s">
        <v>190</v>
      </c>
      <c r="H655" s="108" t="s">
        <v>190</v>
      </c>
    </row>
    <row r="656" customFormat="false" ht="15" hidden="false" customHeight="false" outlineLevel="0" collapsed="false">
      <c r="A656" s="108" t="n">
        <v>77234742334</v>
      </c>
      <c r="B656" s="108" t="n">
        <v>59</v>
      </c>
      <c r="C656" s="108" t="n">
        <v>0</v>
      </c>
      <c r="D656" s="108" t="s">
        <v>729</v>
      </c>
      <c r="E656" s="108" t="s">
        <v>868</v>
      </c>
      <c r="F656" s="108" t="s">
        <v>190</v>
      </c>
      <c r="G656" s="108" t="s">
        <v>192</v>
      </c>
      <c r="H656" s="108" t="s">
        <v>192</v>
      </c>
    </row>
    <row r="657" customFormat="false" ht="15" hidden="false" customHeight="false" outlineLevel="0" collapsed="false">
      <c r="A657" s="108" t="n">
        <v>77234742333</v>
      </c>
      <c r="B657" s="108" t="n">
        <v>22</v>
      </c>
      <c r="C657" s="108" t="n">
        <v>0</v>
      </c>
      <c r="D657" s="108" t="s">
        <v>717</v>
      </c>
      <c r="E657" s="108" t="s">
        <v>869</v>
      </c>
      <c r="F657" s="108" t="s">
        <v>190</v>
      </c>
      <c r="G657" s="108" t="s">
        <v>190</v>
      </c>
      <c r="H657" s="108" t="s">
        <v>190</v>
      </c>
    </row>
    <row r="658" customFormat="false" ht="15" hidden="false" customHeight="false" outlineLevel="0" collapsed="false">
      <c r="A658" s="108" t="n">
        <v>77234742331</v>
      </c>
      <c r="B658" s="108" t="n">
        <v>59</v>
      </c>
      <c r="C658" s="108" t="n">
        <v>1</v>
      </c>
      <c r="D658" s="108" t="s">
        <v>729</v>
      </c>
      <c r="E658" s="108" t="s">
        <v>870</v>
      </c>
      <c r="F658" s="108" t="s">
        <v>190</v>
      </c>
      <c r="G658" s="108" t="s">
        <v>190</v>
      </c>
      <c r="H658" s="108" t="s">
        <v>190</v>
      </c>
    </row>
    <row r="659" customFormat="false" ht="15" hidden="false" customHeight="false" outlineLevel="0" collapsed="false">
      <c r="A659" s="108" t="n">
        <v>77234742326</v>
      </c>
      <c r="B659" s="108" t="n">
        <v>23</v>
      </c>
      <c r="C659" s="108" t="n">
        <v>0</v>
      </c>
      <c r="D659" s="108" t="s">
        <v>723</v>
      </c>
      <c r="E659" s="108" t="s">
        <v>871</v>
      </c>
      <c r="F659" s="108" t="s">
        <v>190</v>
      </c>
      <c r="G659" s="108" t="s">
        <v>190</v>
      </c>
      <c r="H659" s="108" t="s">
        <v>190</v>
      </c>
    </row>
    <row r="660" customFormat="false" ht="15" hidden="false" customHeight="false" outlineLevel="0" collapsed="false">
      <c r="A660" s="108" t="n">
        <v>77234742302</v>
      </c>
      <c r="B660" s="108" t="n">
        <v>70</v>
      </c>
      <c r="C660" s="108" t="n">
        <v>2</v>
      </c>
      <c r="D660" s="108" t="s">
        <v>733</v>
      </c>
      <c r="E660" s="108" t="s">
        <v>872</v>
      </c>
      <c r="F660" s="108" t="s">
        <v>190</v>
      </c>
      <c r="G660" s="108" t="s">
        <v>190</v>
      </c>
      <c r="H660" s="108" t="s">
        <v>192</v>
      </c>
    </row>
    <row r="661" customFormat="false" ht="15" hidden="false" customHeight="false" outlineLevel="0" collapsed="false">
      <c r="A661" s="108" t="n">
        <v>77234742275</v>
      </c>
      <c r="B661" s="108" t="n">
        <v>30</v>
      </c>
      <c r="C661" s="108" t="n">
        <v>2</v>
      </c>
      <c r="D661" s="108" t="s">
        <v>836</v>
      </c>
      <c r="E661" s="108" t="s">
        <v>873</v>
      </c>
      <c r="F661" s="108" t="s">
        <v>190</v>
      </c>
      <c r="G661" s="108" t="s">
        <v>192</v>
      </c>
      <c r="H661" s="108" t="s">
        <v>190</v>
      </c>
    </row>
    <row r="662" customFormat="false" ht="15" hidden="false" customHeight="false" outlineLevel="0" collapsed="false">
      <c r="A662" s="108" t="n">
        <v>77234742258</v>
      </c>
      <c r="B662" s="108" t="n">
        <v>30</v>
      </c>
      <c r="C662" s="108" t="n">
        <v>0</v>
      </c>
      <c r="D662" s="108" t="s">
        <v>836</v>
      </c>
      <c r="E662" s="108" t="s">
        <v>874</v>
      </c>
      <c r="F662" s="108" t="s">
        <v>190</v>
      </c>
      <c r="G662" s="108" t="s">
        <v>190</v>
      </c>
      <c r="H662" s="108" t="s">
        <v>190</v>
      </c>
    </row>
    <row r="663" customFormat="false" ht="15" hidden="false" customHeight="false" outlineLevel="0" collapsed="false">
      <c r="A663" s="108" t="s">
        <v>219</v>
      </c>
      <c r="B663" s="108" t="n">
        <v>32</v>
      </c>
      <c r="C663" s="108" t="n">
        <v>2</v>
      </c>
      <c r="D663" s="108" t="s">
        <v>720</v>
      </c>
      <c r="E663" s="108" t="s">
        <v>875</v>
      </c>
      <c r="F663" s="108" t="s">
        <v>190</v>
      </c>
      <c r="G663" s="108" t="s">
        <v>190</v>
      </c>
      <c r="H663" s="108" t="s">
        <v>190</v>
      </c>
    </row>
    <row r="664" customFormat="false" ht="15" hidden="false" customHeight="false" outlineLevel="0" collapsed="false">
      <c r="A664" s="108" t="n">
        <v>77234742212</v>
      </c>
      <c r="B664" s="108" t="n">
        <v>59</v>
      </c>
      <c r="C664" s="108" t="n">
        <v>1</v>
      </c>
      <c r="D664" s="108" t="s">
        <v>729</v>
      </c>
      <c r="E664" s="108" t="s">
        <v>876</v>
      </c>
      <c r="F664" s="108" t="s">
        <v>190</v>
      </c>
      <c r="G664" s="108" t="s">
        <v>190</v>
      </c>
      <c r="H664" s="108" t="s">
        <v>190</v>
      </c>
    </row>
    <row r="665" customFormat="false" ht="15" hidden="false" customHeight="false" outlineLevel="0" collapsed="false">
      <c r="A665" s="108" t="n">
        <v>77234742183</v>
      </c>
      <c r="B665" s="108" t="n">
        <v>22</v>
      </c>
      <c r="C665" s="108" t="n">
        <v>1</v>
      </c>
      <c r="D665" s="108" t="s">
        <v>717</v>
      </c>
      <c r="E665" s="108" t="s">
        <v>877</v>
      </c>
      <c r="F665" s="108" t="s">
        <v>190</v>
      </c>
      <c r="G665" s="108" t="s">
        <v>190</v>
      </c>
      <c r="H665" s="108" t="s">
        <v>190</v>
      </c>
    </row>
    <row r="666" customFormat="false" ht="15" hidden="false" customHeight="false" outlineLevel="0" collapsed="false">
      <c r="A666" s="108" t="n">
        <v>77234742182</v>
      </c>
      <c r="B666" s="108" t="n">
        <v>23</v>
      </c>
      <c r="C666" s="108" t="n">
        <v>1</v>
      </c>
      <c r="D666" s="108" t="s">
        <v>723</v>
      </c>
      <c r="E666" s="108" t="s">
        <v>878</v>
      </c>
      <c r="F666" s="108" t="s">
        <v>190</v>
      </c>
      <c r="G666" s="108" t="s">
        <v>190</v>
      </c>
      <c r="H666" s="108" t="s">
        <v>190</v>
      </c>
    </row>
    <row r="667" customFormat="false" ht="15" hidden="false" customHeight="false" outlineLevel="0" collapsed="false">
      <c r="A667" s="108" t="n">
        <v>77234742170</v>
      </c>
      <c r="B667" s="108" t="n">
        <v>30</v>
      </c>
      <c r="C667" s="108" t="n">
        <v>2</v>
      </c>
      <c r="D667" s="108" t="s">
        <v>836</v>
      </c>
      <c r="E667" s="108" t="s">
        <v>879</v>
      </c>
      <c r="F667" s="108" t="s">
        <v>190</v>
      </c>
      <c r="G667" s="108" t="s">
        <v>192</v>
      </c>
      <c r="H667" s="108" t="s">
        <v>192</v>
      </c>
    </row>
    <row r="668" customFormat="false" ht="15" hidden="false" customHeight="false" outlineLevel="0" collapsed="false">
      <c r="A668" s="108" t="n">
        <v>77234742154</v>
      </c>
      <c r="B668" s="108" t="n">
        <v>22</v>
      </c>
      <c r="C668" s="108" t="n">
        <v>1</v>
      </c>
      <c r="D668" s="108" t="s">
        <v>717</v>
      </c>
      <c r="E668" s="108" t="s">
        <v>880</v>
      </c>
      <c r="F668" s="108" t="s">
        <v>190</v>
      </c>
      <c r="G668" s="108" t="s">
        <v>190</v>
      </c>
      <c r="H668" s="108" t="s">
        <v>190</v>
      </c>
    </row>
    <row r="669" customFormat="false" ht="15" hidden="false" customHeight="false" outlineLevel="0" collapsed="false">
      <c r="A669" s="108" t="n">
        <v>77234742130</v>
      </c>
      <c r="B669" s="108" t="n">
        <v>22</v>
      </c>
      <c r="C669" s="108" t="n">
        <v>1</v>
      </c>
      <c r="D669" s="108" t="s">
        <v>717</v>
      </c>
      <c r="E669" s="108" t="s">
        <v>881</v>
      </c>
      <c r="F669" s="108" t="s">
        <v>190</v>
      </c>
      <c r="G669" s="108" t="s">
        <v>190</v>
      </c>
      <c r="H669" s="108" t="s">
        <v>190</v>
      </c>
    </row>
    <row r="670" customFormat="false" ht="15" hidden="false" customHeight="false" outlineLevel="0" collapsed="false">
      <c r="A670" s="108" t="n">
        <v>77234742119</v>
      </c>
      <c r="B670" s="108" t="n">
        <v>30</v>
      </c>
      <c r="C670" s="108" t="n">
        <v>2</v>
      </c>
      <c r="D670" s="108" t="s">
        <v>836</v>
      </c>
      <c r="E670" s="108" t="s">
        <v>882</v>
      </c>
      <c r="F670" s="108" t="s">
        <v>190</v>
      </c>
      <c r="G670" s="108" t="s">
        <v>190</v>
      </c>
      <c r="H670" s="108" t="s">
        <v>190</v>
      </c>
    </row>
    <row r="671" customFormat="false" ht="15" hidden="false" customHeight="false" outlineLevel="0" collapsed="false">
      <c r="A671" s="108" t="n">
        <v>77234742114</v>
      </c>
      <c r="B671" s="108" t="n">
        <v>30</v>
      </c>
      <c r="C671" s="108" t="n">
        <v>2</v>
      </c>
      <c r="D671" s="108" t="s">
        <v>836</v>
      </c>
      <c r="E671" s="108" t="s">
        <v>883</v>
      </c>
      <c r="F671" s="108" t="s">
        <v>190</v>
      </c>
      <c r="G671" s="108" t="s">
        <v>192</v>
      </c>
      <c r="H671" s="108" t="s">
        <v>190</v>
      </c>
    </row>
    <row r="672" customFormat="false" ht="15" hidden="false" customHeight="false" outlineLevel="0" collapsed="false">
      <c r="A672" s="108" t="n">
        <v>77234742110</v>
      </c>
      <c r="B672" s="108" t="n">
        <v>30</v>
      </c>
      <c r="C672" s="108" t="n">
        <v>2</v>
      </c>
      <c r="D672" s="108" t="s">
        <v>836</v>
      </c>
      <c r="E672" s="108" t="s">
        <v>884</v>
      </c>
      <c r="F672" s="108" t="s">
        <v>190</v>
      </c>
      <c r="G672" s="108" t="s">
        <v>192</v>
      </c>
      <c r="H672" s="108" t="s">
        <v>190</v>
      </c>
    </row>
    <row r="673" customFormat="false" ht="15" hidden="false" customHeight="false" outlineLevel="0" collapsed="false">
      <c r="A673" s="108" t="n">
        <v>77234742002</v>
      </c>
      <c r="B673" s="108" t="n">
        <v>30</v>
      </c>
      <c r="C673" s="108" t="n">
        <v>2</v>
      </c>
      <c r="D673" s="108" t="s">
        <v>836</v>
      </c>
      <c r="E673" s="108" t="s">
        <v>885</v>
      </c>
      <c r="F673" s="108" t="s">
        <v>190</v>
      </c>
      <c r="G673" s="108" t="s">
        <v>192</v>
      </c>
      <c r="H673" s="108" t="s">
        <v>190</v>
      </c>
    </row>
    <row r="674" customFormat="false" ht="15" hidden="false" customHeight="false" outlineLevel="0" collapsed="false">
      <c r="A674" s="108" t="n">
        <v>77234741765</v>
      </c>
      <c r="B674" s="108" t="n">
        <v>23</v>
      </c>
      <c r="C674" s="108" t="n">
        <v>1</v>
      </c>
      <c r="D674" s="108" t="s">
        <v>723</v>
      </c>
      <c r="E674" s="108" t="s">
        <v>886</v>
      </c>
      <c r="F674" s="108" t="s">
        <v>190</v>
      </c>
      <c r="G674" s="108" t="s">
        <v>190</v>
      </c>
      <c r="H674" s="108" t="s">
        <v>190</v>
      </c>
    </row>
    <row r="675" customFormat="false" ht="15" hidden="false" customHeight="false" outlineLevel="0" collapsed="false">
      <c r="A675" s="108" t="n">
        <v>77234741748</v>
      </c>
      <c r="B675" s="108" t="n">
        <v>24</v>
      </c>
      <c r="C675" s="108" t="n">
        <v>2</v>
      </c>
      <c r="D675" s="108" t="s">
        <v>715</v>
      </c>
      <c r="E675" s="108" t="s">
        <v>887</v>
      </c>
      <c r="F675" s="108" t="s">
        <v>190</v>
      </c>
      <c r="G675" s="108" t="s">
        <v>190</v>
      </c>
      <c r="H675" s="108" t="s">
        <v>190</v>
      </c>
    </row>
    <row r="676" customFormat="false" ht="15" hidden="false" customHeight="false" outlineLevel="0" collapsed="false">
      <c r="A676" s="108" t="n">
        <v>77234741715</v>
      </c>
      <c r="B676" s="108" t="n">
        <v>22</v>
      </c>
      <c r="C676" s="108" t="n">
        <v>1</v>
      </c>
      <c r="D676" s="108" t="s">
        <v>717</v>
      </c>
      <c r="E676" s="108" t="s">
        <v>888</v>
      </c>
      <c r="F676" s="108" t="s">
        <v>190</v>
      </c>
      <c r="G676" s="108" t="s">
        <v>190</v>
      </c>
      <c r="H676" s="108" t="s">
        <v>190</v>
      </c>
    </row>
    <row r="677" customFormat="false" ht="15" hidden="false" customHeight="false" outlineLevel="0" collapsed="false">
      <c r="A677" s="108" t="n">
        <v>77234741714</v>
      </c>
      <c r="B677" s="108" t="n">
        <v>70</v>
      </c>
      <c r="C677" s="108" t="n">
        <v>2</v>
      </c>
      <c r="D677" s="108" t="s">
        <v>733</v>
      </c>
      <c r="E677" s="108" t="s">
        <v>889</v>
      </c>
      <c r="F677" s="108" t="s">
        <v>190</v>
      </c>
      <c r="G677" s="108" t="s">
        <v>190</v>
      </c>
      <c r="H677" s="108" t="s">
        <v>190</v>
      </c>
    </row>
    <row r="678" customFormat="false" ht="15" hidden="false" customHeight="false" outlineLevel="0" collapsed="false">
      <c r="A678" s="108" t="s">
        <v>219</v>
      </c>
      <c r="B678" s="108" t="n">
        <v>32</v>
      </c>
      <c r="C678" s="108" t="n">
        <v>2</v>
      </c>
      <c r="D678" s="108" t="s">
        <v>720</v>
      </c>
      <c r="E678" s="108" t="s">
        <v>890</v>
      </c>
      <c r="F678" s="108" t="s">
        <v>190</v>
      </c>
      <c r="G678" s="108" t="s">
        <v>190</v>
      </c>
      <c r="H678" s="108" t="s">
        <v>190</v>
      </c>
    </row>
    <row r="679" customFormat="false" ht="15" hidden="false" customHeight="false" outlineLevel="0" collapsed="false">
      <c r="A679" s="108" t="n">
        <v>77234741706</v>
      </c>
      <c r="B679" s="108" t="n">
        <v>22</v>
      </c>
      <c r="C679" s="108" t="n">
        <v>1</v>
      </c>
      <c r="D679" s="108" t="s">
        <v>717</v>
      </c>
      <c r="E679" s="108" t="s">
        <v>891</v>
      </c>
      <c r="F679" s="108" t="s">
        <v>190</v>
      </c>
      <c r="G679" s="108" t="s">
        <v>190</v>
      </c>
      <c r="H679" s="108" t="s">
        <v>190</v>
      </c>
    </row>
    <row r="680" customFormat="false" ht="15" hidden="false" customHeight="false" outlineLevel="0" collapsed="false">
      <c r="A680" s="108" t="n">
        <v>77234741704</v>
      </c>
      <c r="B680" s="108" t="n">
        <v>22</v>
      </c>
      <c r="C680" s="108" t="n">
        <v>1</v>
      </c>
      <c r="D680" s="108" t="s">
        <v>717</v>
      </c>
      <c r="E680" s="108" t="s">
        <v>892</v>
      </c>
      <c r="F680" s="108" t="s">
        <v>190</v>
      </c>
      <c r="G680" s="108" t="s">
        <v>190</v>
      </c>
      <c r="H680" s="108" t="s">
        <v>192</v>
      </c>
    </row>
    <row r="681" customFormat="false" ht="15" hidden="false" customHeight="false" outlineLevel="0" collapsed="false">
      <c r="A681" s="108" t="n">
        <v>77234741280</v>
      </c>
      <c r="B681" s="108" t="n">
        <v>22</v>
      </c>
      <c r="C681" s="108" t="n">
        <v>0</v>
      </c>
      <c r="D681" s="108" t="s">
        <v>717</v>
      </c>
      <c r="E681" s="108" t="s">
        <v>893</v>
      </c>
      <c r="F681" s="108" t="s">
        <v>190</v>
      </c>
      <c r="G681" s="108" t="s">
        <v>190</v>
      </c>
      <c r="H681" s="108" t="s">
        <v>190</v>
      </c>
    </row>
    <row r="682" customFormat="false" ht="15" hidden="false" customHeight="false" outlineLevel="0" collapsed="false">
      <c r="A682" s="108" t="n">
        <v>77234741275</v>
      </c>
      <c r="B682" s="108" t="n">
        <v>23</v>
      </c>
      <c r="C682" s="108" t="n">
        <v>2</v>
      </c>
      <c r="D682" s="108" t="s">
        <v>723</v>
      </c>
      <c r="E682" s="108" t="s">
        <v>894</v>
      </c>
      <c r="F682" s="108" t="s">
        <v>190</v>
      </c>
      <c r="G682" s="108" t="s">
        <v>190</v>
      </c>
      <c r="H682" s="108" t="s">
        <v>190</v>
      </c>
    </row>
    <row r="683" customFormat="false" ht="15" hidden="false" customHeight="false" outlineLevel="0" collapsed="false">
      <c r="A683" s="108" t="n">
        <v>77234741269</v>
      </c>
      <c r="B683" s="108" t="n">
        <v>23</v>
      </c>
      <c r="C683" s="108" t="n">
        <v>0</v>
      </c>
      <c r="D683" s="108" t="s">
        <v>723</v>
      </c>
      <c r="E683" s="108" t="s">
        <v>895</v>
      </c>
      <c r="F683" s="108" t="s">
        <v>190</v>
      </c>
      <c r="G683" s="108" t="s">
        <v>190</v>
      </c>
      <c r="H683" s="108" t="s">
        <v>190</v>
      </c>
    </row>
    <row r="684" customFormat="false" ht="15" hidden="false" customHeight="false" outlineLevel="0" collapsed="false">
      <c r="A684" s="108" t="n">
        <v>77234741261</v>
      </c>
      <c r="B684" s="108" t="n">
        <v>23</v>
      </c>
      <c r="C684" s="108" t="n">
        <v>1</v>
      </c>
      <c r="D684" s="108" t="s">
        <v>723</v>
      </c>
      <c r="E684" s="108" t="s">
        <v>896</v>
      </c>
      <c r="F684" s="108" t="s">
        <v>190</v>
      </c>
      <c r="G684" s="108" t="s">
        <v>190</v>
      </c>
      <c r="H684" s="108" t="s">
        <v>190</v>
      </c>
    </row>
    <row r="685" customFormat="false" ht="15" hidden="false" customHeight="false" outlineLevel="0" collapsed="false">
      <c r="A685" s="108" t="n">
        <v>77234741250</v>
      </c>
      <c r="B685" s="108" t="n">
        <v>32</v>
      </c>
      <c r="C685" s="108" t="n">
        <v>1</v>
      </c>
      <c r="D685" s="108" t="s">
        <v>720</v>
      </c>
      <c r="E685" s="108" t="s">
        <v>897</v>
      </c>
      <c r="F685" s="108" t="s">
        <v>190</v>
      </c>
      <c r="G685" s="108" t="s">
        <v>190</v>
      </c>
      <c r="H685" s="108" t="s">
        <v>190</v>
      </c>
    </row>
    <row r="686" customFormat="false" ht="15" hidden="false" customHeight="false" outlineLevel="0" collapsed="false">
      <c r="A686" s="108" t="n">
        <v>77234741245</v>
      </c>
      <c r="B686" s="108" t="n">
        <v>22</v>
      </c>
      <c r="C686" s="108" t="n">
        <v>2</v>
      </c>
      <c r="D686" s="108" t="s">
        <v>717</v>
      </c>
      <c r="E686" s="108" t="s">
        <v>898</v>
      </c>
      <c r="F686" s="108" t="s">
        <v>190</v>
      </c>
      <c r="G686" s="108" t="s">
        <v>190</v>
      </c>
      <c r="H686" s="108" t="s">
        <v>190</v>
      </c>
    </row>
    <row r="687" customFormat="false" ht="15" hidden="false" customHeight="false" outlineLevel="0" collapsed="false">
      <c r="A687" s="108" t="n">
        <v>77234741213</v>
      </c>
      <c r="B687" s="108" t="n">
        <v>22</v>
      </c>
      <c r="C687" s="108" t="n">
        <v>0</v>
      </c>
      <c r="D687" s="108" t="s">
        <v>717</v>
      </c>
      <c r="E687" s="108" t="s">
        <v>899</v>
      </c>
      <c r="F687" s="108" t="s">
        <v>190</v>
      </c>
      <c r="G687" s="108" t="s">
        <v>190</v>
      </c>
      <c r="H687" s="108" t="s">
        <v>190</v>
      </c>
    </row>
    <row r="688" customFormat="false" ht="15" hidden="false" customHeight="false" outlineLevel="0" collapsed="false">
      <c r="A688" s="108" t="n">
        <v>77234741201</v>
      </c>
      <c r="B688" s="108" t="n">
        <v>22</v>
      </c>
      <c r="C688" s="108" t="n">
        <v>0</v>
      </c>
      <c r="D688" s="108" t="s">
        <v>717</v>
      </c>
      <c r="E688" s="108" t="s">
        <v>900</v>
      </c>
      <c r="F688" s="108" t="s">
        <v>190</v>
      </c>
      <c r="G688" s="108" t="s">
        <v>190</v>
      </c>
      <c r="H688" s="108" t="s">
        <v>190</v>
      </c>
    </row>
    <row r="689" customFormat="false" ht="15" hidden="false" customHeight="false" outlineLevel="0" collapsed="false">
      <c r="A689" s="108" t="n">
        <v>77234741176</v>
      </c>
      <c r="B689" s="108" t="n">
        <v>23</v>
      </c>
      <c r="C689" s="108" t="n">
        <v>0</v>
      </c>
      <c r="D689" s="108" t="s">
        <v>723</v>
      </c>
      <c r="E689" s="108" t="s">
        <v>901</v>
      </c>
      <c r="F689" s="108" t="s">
        <v>190</v>
      </c>
      <c r="G689" s="108" t="s">
        <v>190</v>
      </c>
      <c r="H689" s="108" t="s">
        <v>190</v>
      </c>
    </row>
    <row r="690" customFormat="false" ht="15" hidden="false" customHeight="false" outlineLevel="0" collapsed="false">
      <c r="A690" s="108" t="n">
        <v>77234741171</v>
      </c>
      <c r="B690" s="108" t="n">
        <v>32</v>
      </c>
      <c r="C690" s="108" t="n">
        <v>1</v>
      </c>
      <c r="D690" s="108" t="s">
        <v>720</v>
      </c>
      <c r="E690" s="108" t="s">
        <v>902</v>
      </c>
      <c r="F690" s="108" t="s">
        <v>190</v>
      </c>
      <c r="G690" s="108" t="s">
        <v>190</v>
      </c>
      <c r="H690" s="108" t="s">
        <v>190</v>
      </c>
    </row>
    <row r="691" customFormat="false" ht="15" hidden="false" customHeight="false" outlineLevel="0" collapsed="false">
      <c r="A691" s="108" t="n">
        <v>77234741166</v>
      </c>
      <c r="B691" s="108" t="n">
        <v>59</v>
      </c>
      <c r="C691" s="108" t="n">
        <v>1</v>
      </c>
      <c r="D691" s="108" t="s">
        <v>729</v>
      </c>
      <c r="E691" s="108" t="s">
        <v>903</v>
      </c>
      <c r="F691" s="108" t="s">
        <v>190</v>
      </c>
      <c r="G691" s="108" t="s">
        <v>190</v>
      </c>
      <c r="H691" s="108" t="s">
        <v>190</v>
      </c>
    </row>
    <row r="692" customFormat="false" ht="15" hidden="false" customHeight="false" outlineLevel="0" collapsed="false">
      <c r="A692" s="108" t="n">
        <v>77234741143</v>
      </c>
      <c r="B692" s="108" t="n">
        <v>24</v>
      </c>
      <c r="C692" s="108" t="n">
        <v>1</v>
      </c>
      <c r="D692" s="108" t="s">
        <v>715</v>
      </c>
      <c r="E692" s="108" t="s">
        <v>904</v>
      </c>
      <c r="F692" s="108" t="s">
        <v>190</v>
      </c>
      <c r="G692" s="108" t="s">
        <v>190</v>
      </c>
      <c r="H692" s="108" t="s">
        <v>190</v>
      </c>
    </row>
    <row r="693" customFormat="false" ht="15" hidden="false" customHeight="false" outlineLevel="0" collapsed="false">
      <c r="A693" s="108" t="n">
        <v>77234741141</v>
      </c>
      <c r="B693" s="108" t="n">
        <v>32</v>
      </c>
      <c r="C693" s="108" t="n">
        <v>1</v>
      </c>
      <c r="D693" s="108" t="s">
        <v>720</v>
      </c>
      <c r="E693" s="108" t="s">
        <v>905</v>
      </c>
      <c r="F693" s="108" t="s">
        <v>190</v>
      </c>
      <c r="G693" s="108" t="s">
        <v>190</v>
      </c>
      <c r="H693" s="108" t="s">
        <v>190</v>
      </c>
    </row>
    <row r="694" customFormat="false" ht="15" hidden="false" customHeight="false" outlineLevel="0" collapsed="false">
      <c r="A694" s="108" t="n">
        <v>77234741109</v>
      </c>
      <c r="B694" s="108" t="n">
        <v>23</v>
      </c>
      <c r="C694" s="108" t="n">
        <v>0</v>
      </c>
      <c r="D694" s="108" t="s">
        <v>723</v>
      </c>
      <c r="E694" s="108" t="s">
        <v>906</v>
      </c>
      <c r="F694" s="108" t="s">
        <v>190</v>
      </c>
      <c r="G694" s="108" t="s">
        <v>190</v>
      </c>
      <c r="H694" s="108" t="s">
        <v>190</v>
      </c>
    </row>
    <row r="695" customFormat="false" ht="15" hidden="false" customHeight="false" outlineLevel="0" collapsed="false">
      <c r="A695" s="108" t="n">
        <v>77234741102</v>
      </c>
      <c r="B695" s="108" t="n">
        <v>22</v>
      </c>
      <c r="C695" s="108" t="n">
        <v>2</v>
      </c>
      <c r="D695" s="108" t="s">
        <v>717</v>
      </c>
      <c r="E695" s="108" t="s">
        <v>907</v>
      </c>
      <c r="F695" s="108" t="s">
        <v>190</v>
      </c>
      <c r="G695" s="108" t="s">
        <v>190</v>
      </c>
      <c r="H695" s="108" t="s">
        <v>190</v>
      </c>
    </row>
    <row r="696" customFormat="false" ht="15" hidden="false" customHeight="false" outlineLevel="0" collapsed="false">
      <c r="A696" s="108" t="n">
        <v>77234741092</v>
      </c>
      <c r="B696" s="108" t="n">
        <v>23</v>
      </c>
      <c r="C696" s="108" t="n">
        <v>1</v>
      </c>
      <c r="D696" s="108" t="s">
        <v>723</v>
      </c>
      <c r="E696" s="108" t="s">
        <v>908</v>
      </c>
      <c r="F696" s="108" t="s">
        <v>190</v>
      </c>
      <c r="G696" s="108" t="s">
        <v>190</v>
      </c>
      <c r="H696" s="108" t="s">
        <v>190</v>
      </c>
    </row>
    <row r="697" customFormat="false" ht="15" hidden="false" customHeight="false" outlineLevel="0" collapsed="false">
      <c r="A697" s="108" t="n">
        <v>77234741085</v>
      </c>
      <c r="B697" s="108" t="n">
        <v>22</v>
      </c>
      <c r="C697" s="108" t="n">
        <v>1</v>
      </c>
      <c r="D697" s="108" t="s">
        <v>717</v>
      </c>
      <c r="E697" s="108" t="s">
        <v>909</v>
      </c>
      <c r="F697" s="108" t="s">
        <v>190</v>
      </c>
      <c r="G697" s="108" t="s">
        <v>190</v>
      </c>
      <c r="H697" s="108" t="s">
        <v>190</v>
      </c>
    </row>
    <row r="698" customFormat="false" ht="15" hidden="false" customHeight="false" outlineLevel="0" collapsed="false">
      <c r="A698" s="108" t="n">
        <v>77234741084</v>
      </c>
      <c r="B698" s="108" t="n">
        <v>22</v>
      </c>
      <c r="C698" s="108" t="n">
        <v>0</v>
      </c>
      <c r="D698" s="108" t="s">
        <v>717</v>
      </c>
      <c r="E698" s="108" t="s">
        <v>910</v>
      </c>
      <c r="F698" s="108" t="s">
        <v>190</v>
      </c>
      <c r="G698" s="108" t="s">
        <v>190</v>
      </c>
      <c r="H698" s="108" t="s">
        <v>190</v>
      </c>
    </row>
    <row r="699" customFormat="false" ht="15" hidden="false" customHeight="false" outlineLevel="0" collapsed="false">
      <c r="A699" s="108" t="n">
        <v>77234741078</v>
      </c>
      <c r="B699" s="108" t="n">
        <v>22</v>
      </c>
      <c r="C699" s="108" t="n">
        <v>0</v>
      </c>
      <c r="D699" s="108" t="s">
        <v>717</v>
      </c>
      <c r="E699" s="108" t="s">
        <v>911</v>
      </c>
      <c r="F699" s="108" t="s">
        <v>190</v>
      </c>
      <c r="G699" s="108" t="s">
        <v>192</v>
      </c>
      <c r="H699" s="108" t="s">
        <v>192</v>
      </c>
    </row>
    <row r="700" customFormat="false" ht="15" hidden="false" customHeight="false" outlineLevel="0" collapsed="false">
      <c r="A700" s="108" t="n">
        <v>77234741072</v>
      </c>
      <c r="B700" s="108" t="n">
        <v>22</v>
      </c>
      <c r="C700" s="108" t="n">
        <v>2</v>
      </c>
      <c r="D700" s="108" t="s">
        <v>717</v>
      </c>
      <c r="E700" s="108" t="s">
        <v>912</v>
      </c>
      <c r="F700" s="108" t="s">
        <v>190</v>
      </c>
      <c r="G700" s="108" t="s">
        <v>192</v>
      </c>
      <c r="H700" s="108" t="s">
        <v>190</v>
      </c>
    </row>
    <row r="701" customFormat="false" ht="15" hidden="false" customHeight="false" outlineLevel="0" collapsed="false">
      <c r="A701" s="108" t="s">
        <v>219</v>
      </c>
      <c r="B701" s="108" t="n">
        <v>22</v>
      </c>
      <c r="C701" s="108" t="n">
        <v>1</v>
      </c>
      <c r="D701" s="108" t="s">
        <v>717</v>
      </c>
      <c r="E701" s="108" t="s">
        <v>913</v>
      </c>
      <c r="F701" s="108" t="s">
        <v>190</v>
      </c>
      <c r="G701" s="108" t="s">
        <v>190</v>
      </c>
      <c r="H701" s="108" t="s">
        <v>190</v>
      </c>
    </row>
    <row r="702" customFormat="false" ht="15" hidden="false" customHeight="false" outlineLevel="0" collapsed="false">
      <c r="A702" s="108" t="n">
        <v>77234741061</v>
      </c>
      <c r="B702" s="108" t="n">
        <v>32</v>
      </c>
      <c r="C702" s="108" t="n">
        <v>1</v>
      </c>
      <c r="D702" s="108" t="s">
        <v>720</v>
      </c>
      <c r="E702" s="108" t="s">
        <v>914</v>
      </c>
      <c r="F702" s="108" t="s">
        <v>190</v>
      </c>
      <c r="G702" s="108" t="s">
        <v>192</v>
      </c>
      <c r="H702" s="108" t="s">
        <v>190</v>
      </c>
    </row>
    <row r="703" customFormat="false" ht="15" hidden="false" customHeight="false" outlineLevel="0" collapsed="false">
      <c r="A703" s="108" t="n">
        <v>77234741060</v>
      </c>
      <c r="B703" s="108" t="n">
        <v>22</v>
      </c>
      <c r="C703" s="108" t="n">
        <v>1</v>
      </c>
      <c r="D703" s="108" t="s">
        <v>717</v>
      </c>
      <c r="E703" s="108" t="s">
        <v>915</v>
      </c>
      <c r="F703" s="108" t="s">
        <v>190</v>
      </c>
      <c r="G703" s="108" t="s">
        <v>192</v>
      </c>
      <c r="H703" s="108" t="s">
        <v>192</v>
      </c>
    </row>
    <row r="704" customFormat="false" ht="15" hidden="false" customHeight="false" outlineLevel="0" collapsed="false">
      <c r="A704" s="108" t="n">
        <v>77234741055</v>
      </c>
      <c r="B704" s="108" t="n">
        <v>22</v>
      </c>
      <c r="C704" s="108" t="n">
        <v>2</v>
      </c>
      <c r="D704" s="108" t="s">
        <v>717</v>
      </c>
      <c r="E704" s="108" t="s">
        <v>916</v>
      </c>
      <c r="F704" s="108" t="s">
        <v>190</v>
      </c>
      <c r="G704" s="108" t="s">
        <v>192</v>
      </c>
      <c r="H704" s="108" t="s">
        <v>190</v>
      </c>
    </row>
    <row r="705" customFormat="false" ht="15" hidden="false" customHeight="false" outlineLevel="0" collapsed="false">
      <c r="A705" s="108" t="n">
        <v>77234741054</v>
      </c>
      <c r="B705" s="108" t="n">
        <v>22</v>
      </c>
      <c r="C705" s="108" t="n">
        <v>1</v>
      </c>
      <c r="D705" s="108" t="s">
        <v>717</v>
      </c>
      <c r="E705" s="108" t="s">
        <v>917</v>
      </c>
      <c r="F705" s="108" t="s">
        <v>190</v>
      </c>
      <c r="G705" s="108" t="s">
        <v>190</v>
      </c>
      <c r="H705" s="108" t="s">
        <v>190</v>
      </c>
    </row>
    <row r="706" customFormat="false" ht="15" hidden="false" customHeight="false" outlineLevel="0" collapsed="false">
      <c r="A706" s="108" t="n">
        <v>77234741026</v>
      </c>
      <c r="B706" s="108" t="n">
        <v>22</v>
      </c>
      <c r="C706" s="108" t="n">
        <v>2</v>
      </c>
      <c r="D706" s="108" t="s">
        <v>717</v>
      </c>
      <c r="E706" s="108" t="s">
        <v>918</v>
      </c>
      <c r="F706" s="108" t="s">
        <v>190</v>
      </c>
      <c r="G706" s="108" t="s">
        <v>190</v>
      </c>
      <c r="H706" s="108" t="s">
        <v>190</v>
      </c>
    </row>
    <row r="707" customFormat="false" ht="15" hidden="false" customHeight="false" outlineLevel="0" collapsed="false">
      <c r="A707" s="108" t="s">
        <v>219</v>
      </c>
      <c r="B707" s="108" t="n">
        <v>70</v>
      </c>
      <c r="C707" s="108" t="n">
        <v>2</v>
      </c>
      <c r="D707" s="108" t="s">
        <v>733</v>
      </c>
      <c r="E707" s="108" t="s">
        <v>919</v>
      </c>
      <c r="F707" s="108" t="s">
        <v>190</v>
      </c>
      <c r="G707" s="108" t="s">
        <v>190</v>
      </c>
      <c r="H707" s="108" t="s">
        <v>190</v>
      </c>
    </row>
    <row r="708" customFormat="false" ht="15" hidden="false" customHeight="false" outlineLevel="0" collapsed="false">
      <c r="A708" s="108" t="n">
        <v>77234740993</v>
      </c>
      <c r="B708" s="108" t="n">
        <v>22</v>
      </c>
      <c r="C708" s="108" t="n">
        <v>0</v>
      </c>
      <c r="D708" s="108" t="s">
        <v>717</v>
      </c>
      <c r="E708" s="108" t="s">
        <v>920</v>
      </c>
      <c r="F708" s="108" t="s">
        <v>190</v>
      </c>
      <c r="G708" s="108" t="s">
        <v>190</v>
      </c>
      <c r="H708" s="108" t="s">
        <v>190</v>
      </c>
    </row>
    <row r="709" customFormat="false" ht="15" hidden="false" customHeight="false" outlineLevel="0" collapsed="false">
      <c r="A709" s="108" t="n">
        <v>77234740991</v>
      </c>
      <c r="B709" s="108" t="n">
        <v>23</v>
      </c>
      <c r="C709" s="108" t="n">
        <v>1</v>
      </c>
      <c r="D709" s="108" t="s">
        <v>723</v>
      </c>
      <c r="E709" s="108" t="s">
        <v>921</v>
      </c>
      <c r="F709" s="108" t="s">
        <v>190</v>
      </c>
      <c r="G709" s="108" t="s">
        <v>192</v>
      </c>
      <c r="H709" s="108" t="s">
        <v>192</v>
      </c>
    </row>
    <row r="710" customFormat="false" ht="15" hidden="false" customHeight="false" outlineLevel="0" collapsed="false">
      <c r="A710" s="108" t="n">
        <v>77234740965</v>
      </c>
      <c r="B710" s="108" t="n">
        <v>24</v>
      </c>
      <c r="C710" s="108" t="n">
        <v>2</v>
      </c>
      <c r="D710" s="108" t="s">
        <v>715</v>
      </c>
      <c r="E710" s="108" t="s">
        <v>922</v>
      </c>
      <c r="F710" s="108" t="s">
        <v>190</v>
      </c>
      <c r="G710" s="108" t="s">
        <v>190</v>
      </c>
      <c r="H710" s="108" t="s">
        <v>190</v>
      </c>
    </row>
    <row r="711" customFormat="false" ht="15" hidden="false" customHeight="false" outlineLevel="0" collapsed="false">
      <c r="A711" s="108" t="s">
        <v>219</v>
      </c>
      <c r="B711" s="108" t="n">
        <v>59</v>
      </c>
      <c r="C711" s="108" t="n">
        <v>2</v>
      </c>
      <c r="D711" s="108" t="s">
        <v>729</v>
      </c>
      <c r="E711" s="108" t="s">
        <v>923</v>
      </c>
      <c r="F711" s="108" t="s">
        <v>190</v>
      </c>
      <c r="G711" s="108" t="s">
        <v>190</v>
      </c>
      <c r="H711" s="108" t="s">
        <v>190</v>
      </c>
    </row>
    <row r="712" customFormat="false" ht="15" hidden="false" customHeight="false" outlineLevel="0" collapsed="false">
      <c r="A712" s="108" t="n">
        <v>77234740947</v>
      </c>
      <c r="B712" s="108" t="n">
        <v>22</v>
      </c>
      <c r="C712" s="108" t="n">
        <v>0</v>
      </c>
      <c r="D712" s="108" t="s">
        <v>717</v>
      </c>
      <c r="E712" s="108" t="s">
        <v>924</v>
      </c>
      <c r="F712" s="108" t="s">
        <v>190</v>
      </c>
      <c r="G712" s="108" t="s">
        <v>190</v>
      </c>
      <c r="H712" s="108" t="s">
        <v>190</v>
      </c>
    </row>
    <row r="713" customFormat="false" ht="15" hidden="false" customHeight="false" outlineLevel="0" collapsed="false">
      <c r="A713" s="108" t="n">
        <v>77234740944</v>
      </c>
      <c r="B713" s="108" t="n">
        <v>24</v>
      </c>
      <c r="C713" s="108" t="n">
        <v>2</v>
      </c>
      <c r="D713" s="108" t="s">
        <v>715</v>
      </c>
      <c r="E713" s="108" t="s">
        <v>925</v>
      </c>
      <c r="F713" s="108" t="s">
        <v>190</v>
      </c>
      <c r="G713" s="108" t="s">
        <v>190</v>
      </c>
      <c r="H713" s="108" t="s">
        <v>190</v>
      </c>
    </row>
    <row r="714" customFormat="false" ht="15" hidden="false" customHeight="false" outlineLevel="0" collapsed="false">
      <c r="A714" s="108" t="n">
        <v>77234740927</v>
      </c>
      <c r="B714" s="108" t="n">
        <v>23</v>
      </c>
      <c r="C714" s="108" t="n">
        <v>1</v>
      </c>
      <c r="D714" s="108" t="s">
        <v>723</v>
      </c>
      <c r="E714" s="108" t="s">
        <v>926</v>
      </c>
      <c r="F714" s="108" t="s">
        <v>190</v>
      </c>
      <c r="G714" s="108" t="s">
        <v>190</v>
      </c>
      <c r="H714" s="108" t="s">
        <v>190</v>
      </c>
    </row>
    <row r="715" customFormat="false" ht="15" hidden="false" customHeight="false" outlineLevel="0" collapsed="false">
      <c r="A715" s="108" t="n">
        <v>77234740917</v>
      </c>
      <c r="B715" s="108" t="n">
        <v>32</v>
      </c>
      <c r="C715" s="108" t="n">
        <v>1</v>
      </c>
      <c r="D715" s="108" t="s">
        <v>720</v>
      </c>
      <c r="E715" s="108" t="s">
        <v>927</v>
      </c>
      <c r="F715" s="108" t="s">
        <v>190</v>
      </c>
      <c r="G715" s="108" t="s">
        <v>190</v>
      </c>
      <c r="H715" s="108" t="s">
        <v>190</v>
      </c>
    </row>
    <row r="716" customFormat="false" ht="15" hidden="false" customHeight="false" outlineLevel="0" collapsed="false">
      <c r="A716" s="108" t="n">
        <v>77234740841</v>
      </c>
      <c r="B716" s="108" t="n">
        <v>22</v>
      </c>
      <c r="C716" s="108" t="n">
        <v>2</v>
      </c>
      <c r="D716" s="108" t="s">
        <v>717</v>
      </c>
      <c r="E716" s="108" t="s">
        <v>928</v>
      </c>
      <c r="F716" s="108" t="s">
        <v>190</v>
      </c>
      <c r="G716" s="108" t="s">
        <v>192</v>
      </c>
      <c r="H716" s="108" t="s">
        <v>190</v>
      </c>
    </row>
    <row r="717" customFormat="false" ht="15" hidden="false" customHeight="false" outlineLevel="0" collapsed="false">
      <c r="A717" s="108" t="n">
        <v>77234740814</v>
      </c>
      <c r="B717" s="108" t="n">
        <v>30</v>
      </c>
      <c r="C717" s="108" t="n">
        <v>2</v>
      </c>
      <c r="D717" s="108" t="s">
        <v>836</v>
      </c>
      <c r="E717" s="108" t="s">
        <v>929</v>
      </c>
      <c r="F717" s="108" t="s">
        <v>190</v>
      </c>
      <c r="G717" s="108" t="s">
        <v>192</v>
      </c>
      <c r="H717" s="108" t="s">
        <v>192</v>
      </c>
    </row>
    <row r="718" customFormat="false" ht="15" hidden="false" customHeight="false" outlineLevel="0" collapsed="false">
      <c r="A718" s="108" t="n">
        <v>77234740806</v>
      </c>
      <c r="B718" s="108" t="n">
        <v>59</v>
      </c>
      <c r="C718" s="108" t="n">
        <v>2</v>
      </c>
      <c r="D718" s="108" t="s">
        <v>729</v>
      </c>
      <c r="E718" s="108" t="s">
        <v>930</v>
      </c>
      <c r="F718" s="108" t="s">
        <v>190</v>
      </c>
      <c r="G718" s="108" t="s">
        <v>192</v>
      </c>
      <c r="H718" s="108" t="s">
        <v>190</v>
      </c>
    </row>
    <row r="719" customFormat="false" ht="15" hidden="false" customHeight="false" outlineLevel="0" collapsed="false">
      <c r="A719" s="108" t="n">
        <v>77234740757</v>
      </c>
      <c r="B719" s="108" t="n">
        <v>22</v>
      </c>
      <c r="C719" s="108" t="n">
        <v>2</v>
      </c>
      <c r="D719" s="108" t="s">
        <v>717</v>
      </c>
      <c r="E719" s="108" t="s">
        <v>931</v>
      </c>
      <c r="F719" s="108" t="s">
        <v>190</v>
      </c>
      <c r="G719" s="108" t="s">
        <v>190</v>
      </c>
      <c r="H719" s="108" t="s">
        <v>190</v>
      </c>
    </row>
    <row r="720" customFormat="false" ht="15" hidden="false" customHeight="false" outlineLevel="0" collapsed="false">
      <c r="A720" s="108" t="n">
        <v>77234740747</v>
      </c>
      <c r="B720" s="108" t="n">
        <v>24</v>
      </c>
      <c r="C720" s="108" t="n">
        <v>2</v>
      </c>
      <c r="D720" s="108" t="s">
        <v>715</v>
      </c>
      <c r="E720" s="108" t="s">
        <v>932</v>
      </c>
      <c r="F720" s="108" t="s">
        <v>190</v>
      </c>
      <c r="G720" s="108" t="s">
        <v>190</v>
      </c>
      <c r="H720" s="108" t="s">
        <v>190</v>
      </c>
    </row>
    <row r="721" customFormat="false" ht="15" hidden="false" customHeight="false" outlineLevel="0" collapsed="false">
      <c r="A721" s="108" t="n">
        <v>77234740712</v>
      </c>
      <c r="B721" s="108" t="n">
        <v>22</v>
      </c>
      <c r="C721" s="108" t="n">
        <v>0</v>
      </c>
      <c r="D721" s="108" t="s">
        <v>717</v>
      </c>
      <c r="E721" s="108" t="s">
        <v>933</v>
      </c>
      <c r="F721" s="108" t="s">
        <v>190</v>
      </c>
      <c r="G721" s="108" t="s">
        <v>190</v>
      </c>
      <c r="H721" s="108" t="s">
        <v>190</v>
      </c>
    </row>
    <row r="722" customFormat="false" ht="15" hidden="false" customHeight="false" outlineLevel="0" collapsed="false">
      <c r="A722" s="108" t="n">
        <v>77234740707</v>
      </c>
      <c r="B722" s="108" t="n">
        <v>24</v>
      </c>
      <c r="C722" s="108" t="n">
        <v>2</v>
      </c>
      <c r="D722" s="108" t="s">
        <v>715</v>
      </c>
      <c r="E722" s="108" t="s">
        <v>934</v>
      </c>
      <c r="F722" s="108" t="s">
        <v>190</v>
      </c>
      <c r="G722" s="108" t="s">
        <v>190</v>
      </c>
      <c r="H722" s="108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1996-10-08T23:32:33Z</dcterms:created>
  <dc:creator>Microsoft Corporation</dc:creator>
  <dc:description/>
  <dc:language>en-US</dc:language>
  <cp:lastModifiedBy>Ихметжанов Фарит</cp:lastModifiedBy>
  <cp:lastPrinted>2012-02-16T02:22:30Z</cp:lastPrinted>
  <dcterms:modified xsi:type="dcterms:W3CDTF">2026-08-06T10:49:25Z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